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owlsy\Downloads\"/>
    </mc:Choice>
  </mc:AlternateContent>
  <xr:revisionPtr revIDLastSave="0" documentId="13_ncr:1_{85827D26-CAE4-4108-AC95-991789B3D5EC}" xr6:coauthVersionLast="47" xr6:coauthVersionMax="47" xr10:uidLastSave="{00000000-0000-0000-0000-000000000000}"/>
  <bookViews>
    <workbookView xWindow="30612" yWindow="-108" windowWidth="30936" windowHeight="16776" tabRatio="500" activeTab="2" xr2:uid="{00000000-000D-0000-FFFF-FFFF00000000}"/>
  </bookViews>
  <sheets>
    <sheet name="계약리스트" sheetId="1" r:id="rId1"/>
    <sheet name="계약서" sheetId="2" r:id="rId2"/>
    <sheet name="이용약관" sheetId="3" r:id="rId3"/>
  </sheets>
  <definedNames>
    <definedName name="_xleta.IF" hidden="1">#NAME?</definedName>
    <definedName name="_xlnm.Print_Area" localSheetId="1">계약서!$A$1:$Q$74</definedName>
    <definedName name="_xlnm.Print_Area" localSheetId="2">이용약관!$A$1:$C$190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72" i="2" l="1"/>
  <c r="I1936" i="1"/>
  <c r="G1936" i="1"/>
  <c r="A1936" i="1"/>
  <c r="I1935" i="1"/>
  <c r="G1935" i="1"/>
  <c r="A1935" i="1"/>
  <c r="I1934" i="1"/>
  <c r="G1934" i="1"/>
  <c r="A1934" i="1"/>
  <c r="I1933" i="1"/>
  <c r="G1933" i="1"/>
  <c r="A1933" i="1"/>
  <c r="I1932" i="1"/>
  <c r="G1932" i="1"/>
  <c r="A1932" i="1"/>
  <c r="I1931" i="1"/>
  <c r="G1931" i="1"/>
  <c r="A1931" i="1"/>
  <c r="I1930" i="1"/>
  <c r="G1930" i="1"/>
  <c r="A1930" i="1"/>
  <c r="I1929" i="1"/>
  <c r="G1929" i="1"/>
  <c r="A1929" i="1"/>
  <c r="I1928" i="1"/>
  <c r="G1928" i="1"/>
  <c r="A1928" i="1"/>
  <c r="I1927" i="1"/>
  <c r="G1927" i="1"/>
  <c r="A1927" i="1"/>
  <c r="I1926" i="1"/>
  <c r="G1926" i="1"/>
  <c r="A1926" i="1"/>
  <c r="I1925" i="1"/>
  <c r="G1925" i="1"/>
  <c r="A1925" i="1"/>
  <c r="I1924" i="1"/>
  <c r="G1924" i="1"/>
  <c r="A1924" i="1"/>
  <c r="I1923" i="1"/>
  <c r="G1923" i="1"/>
  <c r="A1923" i="1"/>
  <c r="I1922" i="1"/>
  <c r="G1922" i="1"/>
  <c r="A1922" i="1"/>
  <c r="I1921" i="1"/>
  <c r="G1921" i="1"/>
  <c r="A1921" i="1"/>
  <c r="I1920" i="1"/>
  <c r="G1920" i="1"/>
  <c r="A1920" i="1"/>
  <c r="I1919" i="1"/>
  <c r="G1919" i="1"/>
  <c r="A1919" i="1"/>
  <c r="I1918" i="1"/>
  <c r="G1918" i="1"/>
  <c r="A1918" i="1"/>
  <c r="I1917" i="1"/>
  <c r="G1917" i="1"/>
  <c r="A1917" i="1"/>
  <c r="I1916" i="1"/>
  <c r="G1916" i="1"/>
  <c r="A1916" i="1"/>
  <c r="I1915" i="1"/>
  <c r="G1915" i="1"/>
  <c r="A1915" i="1"/>
  <c r="I1914" i="1"/>
  <c r="G1914" i="1"/>
  <c r="A1914" i="1"/>
  <c r="I1913" i="1"/>
  <c r="G1913" i="1"/>
  <c r="A1913" i="1"/>
  <c r="I1912" i="1"/>
  <c r="G1912" i="1"/>
  <c r="A1912" i="1"/>
  <c r="I1911" i="1"/>
  <c r="G1911" i="1"/>
  <c r="A1911" i="1"/>
  <c r="I1910" i="1"/>
  <c r="G1910" i="1"/>
  <c r="A1910" i="1"/>
  <c r="I1909" i="1"/>
  <c r="G1909" i="1"/>
  <c r="A1909" i="1"/>
  <c r="I1908" i="1"/>
  <c r="G1908" i="1"/>
  <c r="A1908" i="1"/>
  <c r="I1907" i="1"/>
  <c r="G1907" i="1"/>
  <c r="A1907" i="1"/>
  <c r="I1906" i="1"/>
  <c r="G1906" i="1"/>
  <c r="A1906" i="1"/>
  <c r="I1905" i="1"/>
  <c r="G1905" i="1"/>
  <c r="A1905" i="1"/>
  <c r="I1904" i="1"/>
  <c r="G1904" i="1"/>
  <c r="A1904" i="1"/>
  <c r="I1903" i="1"/>
  <c r="G1903" i="1"/>
  <c r="A1903" i="1"/>
  <c r="I1902" i="1"/>
  <c r="G1902" i="1"/>
  <c r="A1902" i="1"/>
  <c r="I1901" i="1"/>
  <c r="G1901" i="1"/>
  <c r="A1901" i="1"/>
  <c r="I1900" i="1"/>
  <c r="G1900" i="1"/>
  <c r="A1900" i="1"/>
  <c r="I1899" i="1"/>
  <c r="G1899" i="1"/>
  <c r="A1899" i="1"/>
  <c r="I1898" i="1"/>
  <c r="G1898" i="1"/>
  <c r="A1898" i="1"/>
  <c r="I1897" i="1"/>
  <c r="G1897" i="1"/>
  <c r="A1897" i="1"/>
  <c r="I1896" i="1"/>
  <c r="G1896" i="1"/>
  <c r="A1896" i="1"/>
  <c r="I1895" i="1"/>
  <c r="G1895" i="1"/>
  <c r="A1895" i="1"/>
  <c r="I1894" i="1"/>
  <c r="G1894" i="1"/>
  <c r="A1894" i="1"/>
  <c r="I1893" i="1"/>
  <c r="G1893" i="1"/>
  <c r="A1893" i="1"/>
  <c r="I1892" i="1"/>
  <c r="G1892" i="1"/>
  <c r="A1892" i="1"/>
  <c r="I1891" i="1"/>
  <c r="G1891" i="1"/>
  <c r="A1891" i="1"/>
  <c r="I1890" i="1"/>
  <c r="G1890" i="1"/>
  <c r="A1890" i="1"/>
  <c r="I1889" i="1"/>
  <c r="G1889" i="1"/>
  <c r="A1889" i="1"/>
  <c r="I1888" i="1"/>
  <c r="G1888" i="1"/>
  <c r="A1888" i="1"/>
  <c r="I1887" i="1"/>
  <c r="G1887" i="1"/>
  <c r="A1887" i="1"/>
  <c r="I1886" i="1"/>
  <c r="G1886" i="1"/>
  <c r="A1886" i="1"/>
  <c r="I1885" i="1"/>
  <c r="G1885" i="1"/>
  <c r="A1885" i="1"/>
  <c r="I1884" i="1"/>
  <c r="G1884" i="1"/>
  <c r="A1884" i="1"/>
  <c r="I1883" i="1"/>
  <c r="G1883" i="1"/>
  <c r="A1883" i="1"/>
  <c r="I1882" i="1"/>
  <c r="G1882" i="1"/>
  <c r="A1882" i="1"/>
  <c r="I1881" i="1"/>
  <c r="G1881" i="1"/>
  <c r="A1881" i="1"/>
  <c r="I1880" i="1"/>
  <c r="G1880" i="1"/>
  <c r="A1880" i="1"/>
  <c r="I1879" i="1"/>
  <c r="G1879" i="1"/>
  <c r="A1879" i="1"/>
  <c r="I1878" i="1"/>
  <c r="G1878" i="1"/>
  <c r="A1878" i="1"/>
  <c r="I1877" i="1"/>
  <c r="G1877" i="1"/>
  <c r="A1877" i="1"/>
  <c r="I1876" i="1"/>
  <c r="G1876" i="1"/>
  <c r="A1876" i="1"/>
  <c r="I1875" i="1"/>
  <c r="G1875" i="1"/>
  <c r="A1875" i="1"/>
  <c r="I1874" i="1"/>
  <c r="G1874" i="1"/>
  <c r="A1874" i="1"/>
  <c r="I1873" i="1"/>
  <c r="G1873" i="1"/>
  <c r="A1873" i="1"/>
  <c r="I1872" i="1"/>
  <c r="G1872" i="1"/>
  <c r="A1872" i="1"/>
  <c r="I1871" i="1"/>
  <c r="G1871" i="1"/>
  <c r="A1871" i="1"/>
  <c r="I1870" i="1"/>
  <c r="G1870" i="1"/>
  <c r="A1870" i="1"/>
  <c r="I1869" i="1"/>
  <c r="G1869" i="1"/>
  <c r="A1869" i="1"/>
  <c r="I1868" i="1"/>
  <c r="G1868" i="1"/>
  <c r="A1868" i="1"/>
  <c r="I1867" i="1"/>
  <c r="G1867" i="1"/>
  <c r="A1867" i="1"/>
  <c r="I1866" i="1"/>
  <c r="G1866" i="1"/>
  <c r="A1866" i="1"/>
  <c r="I1865" i="1"/>
  <c r="G1865" i="1"/>
  <c r="A1865" i="1"/>
  <c r="I1864" i="1"/>
  <c r="G1864" i="1"/>
  <c r="A1864" i="1"/>
  <c r="I1863" i="1"/>
  <c r="G1863" i="1"/>
  <c r="A1863" i="1"/>
  <c r="I1862" i="1"/>
  <c r="G1862" i="1"/>
  <c r="A1862" i="1"/>
  <c r="I1861" i="1"/>
  <c r="G1861" i="1"/>
  <c r="A1861" i="1"/>
  <c r="I1860" i="1"/>
  <c r="G1860" i="1"/>
  <c r="A1860" i="1"/>
  <c r="I1859" i="1"/>
  <c r="G1859" i="1"/>
  <c r="A1859" i="1"/>
  <c r="I1858" i="1"/>
  <c r="G1858" i="1"/>
  <c r="A1858" i="1"/>
  <c r="I1857" i="1"/>
  <c r="G1857" i="1"/>
  <c r="A1857" i="1"/>
  <c r="I1856" i="1"/>
  <c r="G1856" i="1"/>
  <c r="A1856" i="1"/>
  <c r="I1855" i="1"/>
  <c r="G1855" i="1"/>
  <c r="A1855" i="1"/>
  <c r="I1854" i="1"/>
  <c r="G1854" i="1"/>
  <c r="A1854" i="1"/>
  <c r="I1853" i="1"/>
  <c r="G1853" i="1"/>
  <c r="A1853" i="1"/>
  <c r="I1852" i="1"/>
  <c r="G1852" i="1"/>
  <c r="A1852" i="1"/>
  <c r="I1851" i="1"/>
  <c r="G1851" i="1"/>
  <c r="A1851" i="1"/>
  <c r="I1850" i="1"/>
  <c r="G1850" i="1"/>
  <c r="A1850" i="1"/>
  <c r="I1849" i="1"/>
  <c r="G1849" i="1"/>
  <c r="A1849" i="1"/>
  <c r="I1848" i="1"/>
  <c r="G1848" i="1"/>
  <c r="A1848" i="1"/>
  <c r="I1847" i="1"/>
  <c r="G1847" i="1"/>
  <c r="A1847" i="1"/>
  <c r="I1846" i="1"/>
  <c r="G1846" i="1"/>
  <c r="A1846" i="1"/>
  <c r="I1845" i="1"/>
  <c r="G1845" i="1"/>
  <c r="A1845" i="1"/>
  <c r="I1844" i="1"/>
  <c r="G1844" i="1"/>
  <c r="A1844" i="1"/>
  <c r="I1843" i="1"/>
  <c r="G1843" i="1"/>
  <c r="A1843" i="1"/>
  <c r="I1842" i="1"/>
  <c r="G1842" i="1"/>
  <c r="A1842" i="1"/>
  <c r="I1841" i="1"/>
  <c r="G1841" i="1"/>
  <c r="A1841" i="1"/>
  <c r="I1840" i="1"/>
  <c r="G1840" i="1"/>
  <c r="A1840" i="1"/>
  <c r="I1839" i="1"/>
  <c r="G1839" i="1"/>
  <c r="A1839" i="1"/>
  <c r="I1838" i="1"/>
  <c r="G1838" i="1"/>
  <c r="A1838" i="1"/>
  <c r="I1837" i="1"/>
  <c r="G1837" i="1"/>
  <c r="A1837" i="1"/>
  <c r="I1836" i="1"/>
  <c r="G1836" i="1"/>
  <c r="A1836" i="1"/>
  <c r="I1835" i="1"/>
  <c r="G1835" i="1"/>
  <c r="A1835" i="1"/>
  <c r="I1834" i="1"/>
  <c r="G1834" i="1"/>
  <c r="A1834" i="1"/>
  <c r="I1833" i="1"/>
  <c r="G1833" i="1"/>
  <c r="A1833" i="1"/>
  <c r="I1832" i="1"/>
  <c r="G1832" i="1"/>
  <c r="A1832" i="1"/>
  <c r="I1831" i="1"/>
  <c r="G1831" i="1"/>
  <c r="A1831" i="1"/>
  <c r="I1830" i="1"/>
  <c r="G1830" i="1"/>
  <c r="A1830" i="1"/>
  <c r="I1829" i="1"/>
  <c r="G1829" i="1"/>
  <c r="A1829" i="1"/>
  <c r="I1828" i="1"/>
  <c r="G1828" i="1"/>
  <c r="A1828" i="1"/>
  <c r="I1827" i="1"/>
  <c r="G1827" i="1"/>
  <c r="A1827" i="1"/>
  <c r="I1826" i="1"/>
  <c r="G1826" i="1"/>
  <c r="A1826" i="1"/>
  <c r="I1825" i="1"/>
  <c r="G1825" i="1"/>
  <c r="A1825" i="1"/>
  <c r="I1824" i="1"/>
  <c r="G1824" i="1"/>
  <c r="A1824" i="1"/>
  <c r="I1823" i="1"/>
  <c r="G1823" i="1"/>
  <c r="A1823" i="1"/>
  <c r="I1822" i="1"/>
  <c r="G1822" i="1"/>
  <c r="A1822" i="1"/>
  <c r="I1821" i="1"/>
  <c r="G1821" i="1"/>
  <c r="A1821" i="1"/>
  <c r="I1820" i="1"/>
  <c r="G1820" i="1"/>
  <c r="A1820" i="1"/>
  <c r="I1819" i="1"/>
  <c r="G1819" i="1"/>
  <c r="A1819" i="1"/>
  <c r="I1818" i="1"/>
  <c r="G1818" i="1"/>
  <c r="A1818" i="1"/>
  <c r="I1817" i="1"/>
  <c r="G1817" i="1"/>
  <c r="A1817" i="1"/>
  <c r="I1816" i="1"/>
  <c r="G1816" i="1"/>
  <c r="A1816" i="1"/>
  <c r="I1815" i="1"/>
  <c r="G1815" i="1"/>
  <c r="A1815" i="1"/>
  <c r="I1814" i="1"/>
  <c r="G1814" i="1"/>
  <c r="A1814" i="1"/>
  <c r="I1813" i="1"/>
  <c r="G1813" i="1"/>
  <c r="A1813" i="1"/>
  <c r="I1812" i="1"/>
  <c r="G1812" i="1"/>
  <c r="A1812" i="1"/>
  <c r="I1811" i="1"/>
  <c r="G1811" i="1"/>
  <c r="A1811" i="1"/>
  <c r="I1810" i="1"/>
  <c r="G1810" i="1"/>
  <c r="A1810" i="1"/>
  <c r="I1809" i="1"/>
  <c r="G1809" i="1"/>
  <c r="A1809" i="1"/>
  <c r="I1808" i="1"/>
  <c r="G1808" i="1"/>
  <c r="A1808" i="1"/>
  <c r="I1807" i="1"/>
  <c r="G1807" i="1"/>
  <c r="A1807" i="1"/>
  <c r="I1806" i="1"/>
  <c r="G1806" i="1"/>
  <c r="A1806" i="1"/>
  <c r="I1805" i="1"/>
  <c r="G1805" i="1"/>
  <c r="A1805" i="1"/>
  <c r="I1804" i="1"/>
  <c r="G1804" i="1"/>
  <c r="A1804" i="1"/>
  <c r="I1803" i="1"/>
  <c r="G1803" i="1"/>
  <c r="A1803" i="1"/>
  <c r="I1802" i="1"/>
  <c r="G1802" i="1"/>
  <c r="A1802" i="1"/>
  <c r="I1801" i="1"/>
  <c r="G1801" i="1"/>
  <c r="A1801" i="1"/>
  <c r="I1800" i="1"/>
  <c r="G1800" i="1"/>
  <c r="A1800" i="1"/>
  <c r="I1799" i="1"/>
  <c r="G1799" i="1"/>
  <c r="A1799" i="1"/>
  <c r="I1798" i="1"/>
  <c r="G1798" i="1"/>
  <c r="A1798" i="1"/>
  <c r="I1797" i="1"/>
  <c r="G1797" i="1"/>
  <c r="A1797" i="1"/>
  <c r="I1796" i="1"/>
  <c r="G1796" i="1"/>
  <c r="A1796" i="1"/>
  <c r="I1795" i="1"/>
  <c r="G1795" i="1"/>
  <c r="A1795" i="1"/>
  <c r="I1794" i="1"/>
  <c r="G1794" i="1"/>
  <c r="A1794" i="1"/>
  <c r="I1793" i="1"/>
  <c r="G1793" i="1"/>
  <c r="A1793" i="1"/>
  <c r="I1792" i="1"/>
  <c r="G1792" i="1"/>
  <c r="A1792" i="1"/>
  <c r="I1791" i="1"/>
  <c r="G1791" i="1"/>
  <c r="A1791" i="1"/>
  <c r="I1790" i="1"/>
  <c r="G1790" i="1"/>
  <c r="A1790" i="1"/>
  <c r="I1789" i="1"/>
  <c r="G1789" i="1"/>
  <c r="A1789" i="1"/>
  <c r="I1788" i="1"/>
  <c r="G1788" i="1"/>
  <c r="A1788" i="1"/>
  <c r="I1787" i="1"/>
  <c r="G1787" i="1"/>
  <c r="A1787" i="1"/>
  <c r="I1786" i="1"/>
  <c r="G1786" i="1"/>
  <c r="A1786" i="1"/>
  <c r="I1785" i="1"/>
  <c r="G1785" i="1"/>
  <c r="A1785" i="1"/>
  <c r="I1784" i="1"/>
  <c r="G1784" i="1"/>
  <c r="A1784" i="1"/>
  <c r="I1783" i="1"/>
  <c r="G1783" i="1"/>
  <c r="A1783" i="1"/>
  <c r="I1782" i="1"/>
  <c r="G1782" i="1"/>
  <c r="A1782" i="1"/>
  <c r="I1781" i="1"/>
  <c r="G1781" i="1"/>
  <c r="A1781" i="1"/>
  <c r="I1780" i="1"/>
  <c r="G1780" i="1"/>
  <c r="A1780" i="1"/>
  <c r="I1779" i="1"/>
  <c r="G1779" i="1"/>
  <c r="A1779" i="1"/>
  <c r="I1778" i="1"/>
  <c r="G1778" i="1"/>
  <c r="A1778" i="1"/>
  <c r="I1777" i="1"/>
  <c r="G1777" i="1"/>
  <c r="A1777" i="1"/>
  <c r="I1776" i="1"/>
  <c r="G1776" i="1"/>
  <c r="A1776" i="1"/>
  <c r="I1775" i="1"/>
  <c r="G1775" i="1"/>
  <c r="A1775" i="1"/>
  <c r="I1774" i="1"/>
  <c r="G1774" i="1"/>
  <c r="A1774" i="1"/>
  <c r="I1773" i="1"/>
  <c r="G1773" i="1"/>
  <c r="A1773" i="1"/>
  <c r="I1772" i="1"/>
  <c r="G1772" i="1"/>
  <c r="A1772" i="1"/>
  <c r="I1771" i="1"/>
  <c r="G1771" i="1"/>
  <c r="A1771" i="1"/>
  <c r="I1770" i="1"/>
  <c r="G1770" i="1"/>
  <c r="A1770" i="1"/>
  <c r="I1769" i="1"/>
  <c r="G1769" i="1"/>
  <c r="A1769" i="1"/>
  <c r="I1768" i="1"/>
  <c r="G1768" i="1"/>
  <c r="A1768" i="1"/>
  <c r="I1767" i="1"/>
  <c r="G1767" i="1"/>
  <c r="A1767" i="1"/>
  <c r="I1766" i="1"/>
  <c r="G1766" i="1"/>
  <c r="A1766" i="1"/>
  <c r="I1765" i="1"/>
  <c r="G1765" i="1"/>
  <c r="A1765" i="1"/>
  <c r="I1764" i="1"/>
  <c r="G1764" i="1"/>
  <c r="A1764" i="1"/>
  <c r="I1763" i="1"/>
  <c r="G1763" i="1"/>
  <c r="A1763" i="1"/>
  <c r="I1762" i="1"/>
  <c r="G1762" i="1"/>
  <c r="A1762" i="1"/>
  <c r="I1761" i="1"/>
  <c r="G1761" i="1"/>
  <c r="A1761" i="1"/>
  <c r="I1760" i="1"/>
  <c r="G1760" i="1"/>
  <c r="A1760" i="1"/>
  <c r="I1759" i="1"/>
  <c r="G1759" i="1"/>
  <c r="A1759" i="1"/>
  <c r="I1758" i="1"/>
  <c r="G1758" i="1"/>
  <c r="A1758" i="1"/>
  <c r="I1757" i="1"/>
  <c r="G1757" i="1"/>
  <c r="A1757" i="1"/>
  <c r="I1756" i="1"/>
  <c r="G1756" i="1"/>
  <c r="A1756" i="1"/>
  <c r="I1755" i="1"/>
  <c r="G1755" i="1"/>
  <c r="A1755" i="1"/>
  <c r="I1754" i="1"/>
  <c r="G1754" i="1"/>
  <c r="A1754" i="1"/>
  <c r="I1753" i="1"/>
  <c r="G1753" i="1"/>
  <c r="A1753" i="1"/>
  <c r="I1752" i="1"/>
  <c r="G1752" i="1"/>
  <c r="A1752" i="1"/>
  <c r="I1751" i="1"/>
  <c r="G1751" i="1"/>
  <c r="A1751" i="1"/>
  <c r="I1750" i="1"/>
  <c r="G1750" i="1"/>
  <c r="A1750" i="1"/>
  <c r="I1749" i="1"/>
  <c r="G1749" i="1"/>
  <c r="A1749" i="1"/>
  <c r="I1748" i="1"/>
  <c r="G1748" i="1"/>
  <c r="A1748" i="1"/>
  <c r="I1747" i="1"/>
  <c r="G1747" i="1"/>
  <c r="A1747" i="1"/>
  <c r="I1746" i="1"/>
  <c r="G1746" i="1"/>
  <c r="A1746" i="1"/>
  <c r="I1745" i="1"/>
  <c r="G1745" i="1"/>
  <c r="A1745" i="1"/>
  <c r="I1744" i="1"/>
  <c r="G1744" i="1"/>
  <c r="A1744" i="1"/>
  <c r="I1743" i="1"/>
  <c r="G1743" i="1"/>
  <c r="A1743" i="1"/>
  <c r="I1742" i="1"/>
  <c r="G1742" i="1"/>
  <c r="A1742" i="1"/>
  <c r="I1741" i="1"/>
  <c r="G1741" i="1"/>
  <c r="A1741" i="1"/>
  <c r="I1740" i="1"/>
  <c r="G1740" i="1"/>
  <c r="A1740" i="1"/>
  <c r="I1739" i="1"/>
  <c r="G1739" i="1"/>
  <c r="A1739" i="1"/>
  <c r="I1738" i="1"/>
  <c r="G1738" i="1"/>
  <c r="A1738" i="1"/>
  <c r="I1737" i="1"/>
  <c r="G1737" i="1"/>
  <c r="A1737" i="1"/>
  <c r="I1736" i="1"/>
  <c r="G1736" i="1"/>
  <c r="A1736" i="1"/>
  <c r="I1735" i="1"/>
  <c r="G1735" i="1"/>
  <c r="A1735" i="1"/>
  <c r="I1734" i="1"/>
  <c r="G1734" i="1"/>
  <c r="A1734" i="1"/>
  <c r="I1733" i="1"/>
  <c r="G1733" i="1"/>
  <c r="A1733" i="1"/>
  <c r="I1732" i="1"/>
  <c r="G1732" i="1"/>
  <c r="A1732" i="1"/>
  <c r="I1731" i="1"/>
  <c r="G1731" i="1"/>
  <c r="A1731" i="1"/>
  <c r="I1730" i="1"/>
  <c r="G1730" i="1"/>
  <c r="A1730" i="1"/>
  <c r="I1729" i="1"/>
  <c r="G1729" i="1"/>
  <c r="A1729" i="1"/>
  <c r="I1728" i="1"/>
  <c r="G1728" i="1"/>
  <c r="A1728" i="1"/>
  <c r="I1727" i="1"/>
  <c r="G1727" i="1"/>
  <c r="A1727" i="1"/>
  <c r="I1726" i="1"/>
  <c r="G1726" i="1"/>
  <c r="A1726" i="1"/>
  <c r="I1725" i="1"/>
  <c r="G1725" i="1"/>
  <c r="A1725" i="1"/>
  <c r="I1724" i="1"/>
  <c r="G1724" i="1"/>
  <c r="A1724" i="1"/>
  <c r="I1723" i="1"/>
  <c r="G1723" i="1"/>
  <c r="A1723" i="1"/>
  <c r="I1722" i="1"/>
  <c r="G1722" i="1"/>
  <c r="A1722" i="1"/>
  <c r="I1721" i="1"/>
  <c r="G1721" i="1"/>
  <c r="A1721" i="1"/>
  <c r="I1720" i="1"/>
  <c r="G1720" i="1"/>
  <c r="A1720" i="1"/>
  <c r="I1719" i="1"/>
  <c r="G1719" i="1"/>
  <c r="A1719" i="1"/>
  <c r="I1718" i="1"/>
  <c r="G1718" i="1"/>
  <c r="A1718" i="1"/>
  <c r="I1717" i="1"/>
  <c r="G1717" i="1"/>
  <c r="A1717" i="1"/>
  <c r="I1716" i="1"/>
  <c r="G1716" i="1"/>
  <c r="A1716" i="1"/>
  <c r="I1715" i="1"/>
  <c r="G1715" i="1"/>
  <c r="A1715" i="1"/>
  <c r="I1714" i="1"/>
  <c r="G1714" i="1"/>
  <c r="A1714" i="1"/>
  <c r="I1713" i="1"/>
  <c r="G1713" i="1"/>
  <c r="A1713" i="1"/>
  <c r="I1712" i="1"/>
  <c r="G1712" i="1"/>
  <c r="A1712" i="1"/>
  <c r="I1711" i="1"/>
  <c r="G1711" i="1"/>
  <c r="A1711" i="1"/>
  <c r="I1710" i="1"/>
  <c r="G1710" i="1"/>
  <c r="A1710" i="1"/>
  <c r="I1709" i="1"/>
  <c r="G1709" i="1"/>
  <c r="A1709" i="1"/>
  <c r="I1708" i="1"/>
  <c r="G1708" i="1"/>
  <c r="A1708" i="1"/>
  <c r="I1707" i="1"/>
  <c r="G1707" i="1"/>
  <c r="A1707" i="1"/>
  <c r="I1706" i="1"/>
  <c r="G1706" i="1"/>
  <c r="A1706" i="1"/>
  <c r="I1705" i="1"/>
  <c r="G1705" i="1"/>
  <c r="A1705" i="1"/>
  <c r="I1704" i="1"/>
  <c r="G1704" i="1"/>
  <c r="A1704" i="1"/>
  <c r="I1703" i="1"/>
  <c r="G1703" i="1"/>
  <c r="A1703" i="1"/>
  <c r="I1702" i="1"/>
  <c r="G1702" i="1"/>
  <c r="A1702" i="1"/>
  <c r="I1701" i="1"/>
  <c r="G1701" i="1"/>
  <c r="A1701" i="1"/>
  <c r="I1700" i="1"/>
  <c r="G1700" i="1"/>
  <c r="A1700" i="1"/>
  <c r="I1699" i="1"/>
  <c r="G1699" i="1"/>
  <c r="A1699" i="1"/>
  <c r="I1698" i="1"/>
  <c r="G1698" i="1"/>
  <c r="A1698" i="1"/>
  <c r="I1697" i="1"/>
  <c r="G1697" i="1"/>
  <c r="A1697" i="1"/>
  <c r="I1696" i="1"/>
  <c r="G1696" i="1"/>
  <c r="A1696" i="1"/>
  <c r="I1695" i="1"/>
  <c r="G1695" i="1"/>
  <c r="A1695" i="1"/>
  <c r="I1694" i="1"/>
  <c r="G1694" i="1"/>
  <c r="A1694" i="1"/>
  <c r="I1693" i="1"/>
  <c r="G1693" i="1"/>
  <c r="A1693" i="1"/>
  <c r="I1692" i="1"/>
  <c r="G1692" i="1"/>
  <c r="A1692" i="1"/>
  <c r="I1691" i="1"/>
  <c r="G1691" i="1"/>
  <c r="A1691" i="1"/>
  <c r="I1690" i="1"/>
  <c r="G1690" i="1"/>
  <c r="A1690" i="1"/>
  <c r="I1689" i="1"/>
  <c r="G1689" i="1"/>
  <c r="A1689" i="1"/>
  <c r="I1688" i="1"/>
  <c r="G1688" i="1"/>
  <c r="A1688" i="1"/>
  <c r="I1687" i="1"/>
  <c r="G1687" i="1"/>
  <c r="A1687" i="1"/>
  <c r="I1686" i="1"/>
  <c r="G1686" i="1"/>
  <c r="A1686" i="1"/>
  <c r="I1685" i="1"/>
  <c r="G1685" i="1"/>
  <c r="A1685" i="1"/>
  <c r="I1684" i="1"/>
  <c r="G1684" i="1"/>
  <c r="A1684" i="1"/>
  <c r="I1683" i="1"/>
  <c r="G1683" i="1"/>
  <c r="A1683" i="1"/>
  <c r="I1682" i="1"/>
  <c r="G1682" i="1"/>
  <c r="A1682" i="1"/>
  <c r="I1681" i="1"/>
  <c r="G1681" i="1"/>
  <c r="A1681" i="1"/>
  <c r="I1680" i="1"/>
  <c r="G1680" i="1"/>
  <c r="A1680" i="1"/>
  <c r="I1679" i="1"/>
  <c r="G1679" i="1"/>
  <c r="A1679" i="1"/>
  <c r="I1678" i="1"/>
  <c r="G1678" i="1"/>
  <c r="A1678" i="1"/>
  <c r="I1677" i="1"/>
  <c r="G1677" i="1"/>
  <c r="A1677" i="1"/>
  <c r="I1676" i="1"/>
  <c r="G1676" i="1"/>
  <c r="A1676" i="1"/>
  <c r="I1675" i="1"/>
  <c r="G1675" i="1"/>
  <c r="A1675" i="1"/>
  <c r="I1674" i="1"/>
  <c r="G1674" i="1"/>
  <c r="A1674" i="1"/>
  <c r="I1673" i="1"/>
  <c r="G1673" i="1"/>
  <c r="A1673" i="1"/>
  <c r="I1672" i="1"/>
  <c r="G1672" i="1"/>
  <c r="A1672" i="1"/>
  <c r="I1671" i="1"/>
  <c r="G1671" i="1"/>
  <c r="A1671" i="1"/>
  <c r="I1670" i="1"/>
  <c r="G1670" i="1"/>
  <c r="A1670" i="1"/>
  <c r="I1669" i="1"/>
  <c r="G1669" i="1"/>
  <c r="A1669" i="1"/>
  <c r="I1668" i="1"/>
  <c r="G1668" i="1"/>
  <c r="A1668" i="1"/>
  <c r="I1667" i="1"/>
  <c r="G1667" i="1"/>
  <c r="A1667" i="1"/>
  <c r="I1666" i="1"/>
  <c r="G1666" i="1"/>
  <c r="A1666" i="1"/>
  <c r="I1665" i="1"/>
  <c r="G1665" i="1"/>
  <c r="A1665" i="1"/>
  <c r="I1664" i="1"/>
  <c r="G1664" i="1"/>
  <c r="A1664" i="1"/>
  <c r="I1663" i="1"/>
  <c r="G1663" i="1"/>
  <c r="A1663" i="1"/>
  <c r="I1662" i="1"/>
  <c r="G1662" i="1"/>
  <c r="A1662" i="1"/>
  <c r="I1661" i="1"/>
  <c r="G1661" i="1"/>
  <c r="A1661" i="1"/>
  <c r="I1660" i="1"/>
  <c r="G1660" i="1"/>
  <c r="A1660" i="1"/>
  <c r="I1659" i="1"/>
  <c r="G1659" i="1"/>
  <c r="A1659" i="1"/>
  <c r="I1658" i="1"/>
  <c r="G1658" i="1"/>
  <c r="A1658" i="1"/>
  <c r="I1657" i="1"/>
  <c r="G1657" i="1"/>
  <c r="A1657" i="1"/>
  <c r="I1656" i="1"/>
  <c r="G1656" i="1"/>
  <c r="A1656" i="1"/>
  <c r="I1655" i="1"/>
  <c r="G1655" i="1"/>
  <c r="A1655" i="1"/>
  <c r="I1654" i="1"/>
  <c r="G1654" i="1"/>
  <c r="A1654" i="1"/>
  <c r="I1653" i="1"/>
  <c r="G1653" i="1"/>
  <c r="A1653" i="1"/>
  <c r="I1652" i="1"/>
  <c r="G1652" i="1"/>
  <c r="A1652" i="1"/>
  <c r="I1651" i="1"/>
  <c r="G1651" i="1"/>
  <c r="A1651" i="1"/>
  <c r="I1650" i="1"/>
  <c r="G1650" i="1"/>
  <c r="A1650" i="1"/>
  <c r="I1649" i="1"/>
  <c r="G1649" i="1"/>
  <c r="A1649" i="1"/>
  <c r="I1648" i="1"/>
  <c r="G1648" i="1"/>
  <c r="A1648" i="1"/>
  <c r="I1647" i="1"/>
  <c r="G1647" i="1"/>
  <c r="A1647" i="1"/>
  <c r="I1646" i="1"/>
  <c r="G1646" i="1"/>
  <c r="A1646" i="1"/>
  <c r="I1645" i="1"/>
  <c r="G1645" i="1"/>
  <c r="A1645" i="1"/>
  <c r="I1644" i="1"/>
  <c r="G1644" i="1"/>
  <c r="A1644" i="1"/>
  <c r="I1643" i="1"/>
  <c r="G1643" i="1"/>
  <c r="A1643" i="1"/>
  <c r="I1642" i="1"/>
  <c r="G1642" i="1"/>
  <c r="A1642" i="1"/>
  <c r="I1641" i="1"/>
  <c r="G1641" i="1"/>
  <c r="A1641" i="1"/>
  <c r="I1640" i="1"/>
  <c r="G1640" i="1"/>
  <c r="A1640" i="1"/>
  <c r="I1639" i="1"/>
  <c r="G1639" i="1"/>
  <c r="A1639" i="1"/>
  <c r="I1638" i="1"/>
  <c r="G1638" i="1"/>
  <c r="A1638" i="1"/>
  <c r="I1637" i="1"/>
  <c r="G1637" i="1"/>
  <c r="A1637" i="1"/>
  <c r="I1636" i="1"/>
  <c r="G1636" i="1"/>
  <c r="A1636" i="1"/>
  <c r="I1635" i="1"/>
  <c r="G1635" i="1"/>
  <c r="A1635" i="1"/>
  <c r="I1634" i="1"/>
  <c r="G1634" i="1"/>
  <c r="A1634" i="1"/>
  <c r="I1633" i="1"/>
  <c r="G1633" i="1"/>
  <c r="A1633" i="1"/>
  <c r="I1632" i="1"/>
  <c r="G1632" i="1"/>
  <c r="A1632" i="1"/>
  <c r="I1631" i="1"/>
  <c r="G1631" i="1"/>
  <c r="A1631" i="1"/>
  <c r="I1630" i="1"/>
  <c r="G1630" i="1"/>
  <c r="A1630" i="1"/>
  <c r="I1629" i="1"/>
  <c r="G1629" i="1"/>
  <c r="A1629" i="1"/>
  <c r="I1628" i="1"/>
  <c r="G1628" i="1"/>
  <c r="A1628" i="1"/>
  <c r="I1627" i="1"/>
  <c r="G1627" i="1"/>
  <c r="A1627" i="1"/>
  <c r="I1626" i="1"/>
  <c r="G1626" i="1"/>
  <c r="A1626" i="1"/>
  <c r="I1625" i="1"/>
  <c r="G1625" i="1"/>
  <c r="A1625" i="1"/>
  <c r="I1624" i="1"/>
  <c r="G1624" i="1"/>
  <c r="A1624" i="1"/>
  <c r="I1623" i="1"/>
  <c r="G1623" i="1"/>
  <c r="A1623" i="1"/>
  <c r="I1622" i="1"/>
  <c r="G1622" i="1"/>
  <c r="A1622" i="1"/>
  <c r="I1621" i="1"/>
  <c r="G1621" i="1"/>
  <c r="A1621" i="1"/>
  <c r="I1620" i="1"/>
  <c r="G1620" i="1"/>
  <c r="A1620" i="1"/>
  <c r="I1619" i="1"/>
  <c r="G1619" i="1"/>
  <c r="A1619" i="1"/>
  <c r="I1618" i="1"/>
  <c r="G1618" i="1"/>
  <c r="A1618" i="1"/>
  <c r="I1617" i="1"/>
  <c r="G1617" i="1"/>
  <c r="A1617" i="1"/>
  <c r="I1616" i="1"/>
  <c r="G1616" i="1"/>
  <c r="A1616" i="1"/>
  <c r="I1615" i="1"/>
  <c r="G1615" i="1"/>
  <c r="A1615" i="1"/>
  <c r="I1614" i="1"/>
  <c r="G1614" i="1"/>
  <c r="A1614" i="1"/>
  <c r="I1613" i="1"/>
  <c r="G1613" i="1"/>
  <c r="A1613" i="1"/>
  <c r="I1612" i="1"/>
  <c r="G1612" i="1"/>
  <c r="A1612" i="1"/>
  <c r="I1611" i="1"/>
  <c r="G1611" i="1"/>
  <c r="A1611" i="1"/>
  <c r="I1610" i="1"/>
  <c r="G1610" i="1"/>
  <c r="A1610" i="1"/>
  <c r="I1609" i="1"/>
  <c r="G1609" i="1"/>
  <c r="A1609" i="1"/>
  <c r="I1608" i="1"/>
  <c r="G1608" i="1"/>
  <c r="A1608" i="1"/>
  <c r="I1607" i="1"/>
  <c r="G1607" i="1"/>
  <c r="A1607" i="1"/>
  <c r="I1606" i="1"/>
  <c r="G1606" i="1"/>
  <c r="A1606" i="1"/>
  <c r="I1605" i="1"/>
  <c r="G1605" i="1"/>
  <c r="A1605" i="1"/>
  <c r="I1604" i="1"/>
  <c r="G1604" i="1"/>
  <c r="A1604" i="1"/>
  <c r="I1603" i="1"/>
  <c r="G1603" i="1"/>
  <c r="A1603" i="1"/>
  <c r="I1602" i="1"/>
  <c r="G1602" i="1"/>
  <c r="A1602" i="1"/>
  <c r="I1601" i="1"/>
  <c r="G1601" i="1"/>
  <c r="A1601" i="1"/>
  <c r="I1600" i="1"/>
  <c r="G1600" i="1"/>
  <c r="A1600" i="1"/>
  <c r="I1599" i="1"/>
  <c r="G1599" i="1"/>
  <c r="A1599" i="1"/>
  <c r="I1598" i="1"/>
  <c r="G1598" i="1"/>
  <c r="A1598" i="1"/>
  <c r="I1597" i="1"/>
  <c r="G1597" i="1"/>
  <c r="A1597" i="1"/>
  <c r="I1596" i="1"/>
  <c r="G1596" i="1"/>
  <c r="A1596" i="1"/>
  <c r="I1595" i="1"/>
  <c r="G1595" i="1"/>
  <c r="A1595" i="1"/>
  <c r="I1594" i="1"/>
  <c r="G1594" i="1"/>
  <c r="A1594" i="1"/>
  <c r="I1593" i="1"/>
  <c r="G1593" i="1"/>
  <c r="A1593" i="1"/>
  <c r="I1592" i="1"/>
  <c r="G1592" i="1"/>
  <c r="A1592" i="1"/>
  <c r="I1591" i="1"/>
  <c r="G1591" i="1"/>
  <c r="A1591" i="1"/>
  <c r="I1590" i="1"/>
  <c r="G1590" i="1"/>
  <c r="A1590" i="1"/>
  <c r="I1589" i="1"/>
  <c r="G1589" i="1"/>
  <c r="A1589" i="1"/>
  <c r="I1588" i="1"/>
  <c r="G1588" i="1"/>
  <c r="A1588" i="1"/>
  <c r="I1587" i="1"/>
  <c r="G1587" i="1"/>
  <c r="A1587" i="1"/>
  <c r="I1586" i="1"/>
  <c r="G1586" i="1"/>
  <c r="A1586" i="1"/>
  <c r="I1585" i="1"/>
  <c r="G1585" i="1"/>
  <c r="A1585" i="1"/>
  <c r="I1584" i="1"/>
  <c r="G1584" i="1"/>
  <c r="A1584" i="1"/>
  <c r="I1583" i="1"/>
  <c r="G1583" i="1"/>
  <c r="A1583" i="1"/>
  <c r="I1582" i="1"/>
  <c r="G1582" i="1"/>
  <c r="A1582" i="1"/>
  <c r="I1581" i="1"/>
  <c r="G1581" i="1"/>
  <c r="A1581" i="1"/>
  <c r="I1580" i="1"/>
  <c r="G1580" i="1"/>
  <c r="A1580" i="1"/>
  <c r="I1579" i="1"/>
  <c r="G1579" i="1"/>
  <c r="A1579" i="1"/>
  <c r="I1578" i="1"/>
  <c r="G1578" i="1"/>
  <c r="A1578" i="1"/>
  <c r="I1577" i="1"/>
  <c r="G1577" i="1"/>
  <c r="A1577" i="1"/>
  <c r="I1576" i="1"/>
  <c r="G1576" i="1"/>
  <c r="A1576" i="1"/>
  <c r="I1575" i="1"/>
  <c r="G1575" i="1"/>
  <c r="A1575" i="1"/>
  <c r="I1574" i="1"/>
  <c r="G1574" i="1"/>
  <c r="A1574" i="1"/>
  <c r="I1573" i="1"/>
  <c r="G1573" i="1"/>
  <c r="A1573" i="1"/>
  <c r="I1572" i="1"/>
  <c r="G1572" i="1"/>
  <c r="A1572" i="1"/>
  <c r="I1571" i="1"/>
  <c r="G1571" i="1"/>
  <c r="A1571" i="1"/>
  <c r="I1570" i="1"/>
  <c r="G1570" i="1"/>
  <c r="A1570" i="1"/>
  <c r="I1569" i="1"/>
  <c r="G1569" i="1"/>
  <c r="A1569" i="1"/>
  <c r="I1568" i="1"/>
  <c r="G1568" i="1"/>
  <c r="A1568" i="1"/>
  <c r="I1567" i="1"/>
  <c r="G1567" i="1"/>
  <c r="A1567" i="1"/>
  <c r="I1566" i="1"/>
  <c r="G1566" i="1"/>
  <c r="A1566" i="1"/>
  <c r="I1565" i="1"/>
  <c r="G1565" i="1"/>
  <c r="A1565" i="1"/>
  <c r="I1564" i="1"/>
  <c r="G1564" i="1"/>
  <c r="A1564" i="1"/>
  <c r="I1563" i="1"/>
  <c r="G1563" i="1"/>
  <c r="A1563" i="1"/>
  <c r="I1562" i="1"/>
  <c r="G1562" i="1"/>
  <c r="A1562" i="1"/>
  <c r="I1561" i="1"/>
  <c r="G1561" i="1"/>
  <c r="A1561" i="1"/>
  <c r="I1560" i="1"/>
  <c r="G1560" i="1"/>
  <c r="A1560" i="1"/>
  <c r="I1559" i="1"/>
  <c r="G1559" i="1"/>
  <c r="A1559" i="1"/>
  <c r="I1558" i="1"/>
  <c r="G1558" i="1"/>
  <c r="A1558" i="1"/>
  <c r="I1557" i="1"/>
  <c r="G1557" i="1"/>
  <c r="A1557" i="1"/>
  <c r="I1556" i="1"/>
  <c r="G1556" i="1"/>
  <c r="A1556" i="1"/>
  <c r="I1555" i="1"/>
  <c r="G1555" i="1"/>
  <c r="A1555" i="1"/>
  <c r="I1554" i="1"/>
  <c r="G1554" i="1"/>
  <c r="A1554" i="1"/>
  <c r="I1553" i="1"/>
  <c r="G1553" i="1"/>
  <c r="A1553" i="1"/>
  <c r="I1552" i="1"/>
  <c r="G1552" i="1"/>
  <c r="A1552" i="1"/>
  <c r="I1551" i="1"/>
  <c r="G1551" i="1"/>
  <c r="A1551" i="1"/>
  <c r="I1550" i="1"/>
  <c r="G1550" i="1"/>
  <c r="A1550" i="1"/>
  <c r="I1549" i="1"/>
  <c r="G1549" i="1"/>
  <c r="A1549" i="1"/>
  <c r="I1548" i="1"/>
  <c r="G1548" i="1"/>
  <c r="A1548" i="1"/>
  <c r="I1547" i="1"/>
  <c r="G1547" i="1"/>
  <c r="A1547" i="1"/>
  <c r="I1546" i="1"/>
  <c r="G1546" i="1"/>
  <c r="A1546" i="1"/>
  <c r="I1545" i="1"/>
  <c r="G1545" i="1"/>
  <c r="A1545" i="1"/>
  <c r="I1544" i="1"/>
  <c r="G1544" i="1"/>
  <c r="A1544" i="1"/>
  <c r="I1543" i="1"/>
  <c r="G1543" i="1"/>
  <c r="A1543" i="1"/>
  <c r="I1542" i="1"/>
  <c r="G1542" i="1"/>
  <c r="A1542" i="1"/>
  <c r="I1541" i="1"/>
  <c r="G1541" i="1"/>
  <c r="A1541" i="1"/>
  <c r="I1540" i="1"/>
  <c r="G1540" i="1"/>
  <c r="A1540" i="1"/>
  <c r="I1539" i="1"/>
  <c r="G1539" i="1"/>
  <c r="A1539" i="1"/>
  <c r="I1538" i="1"/>
  <c r="G1538" i="1"/>
  <c r="A1538" i="1"/>
  <c r="I1537" i="1"/>
  <c r="G1537" i="1"/>
  <c r="A1537" i="1"/>
  <c r="I1536" i="1"/>
  <c r="G1536" i="1"/>
  <c r="A1536" i="1"/>
  <c r="I1535" i="1"/>
  <c r="G1535" i="1"/>
  <c r="A1535" i="1"/>
  <c r="I1534" i="1"/>
  <c r="G1534" i="1"/>
  <c r="A1534" i="1"/>
  <c r="I1533" i="1"/>
  <c r="G1533" i="1"/>
  <c r="A1533" i="1"/>
  <c r="I1532" i="1"/>
  <c r="G1532" i="1"/>
  <c r="A1532" i="1"/>
  <c r="I1531" i="1"/>
  <c r="G1531" i="1"/>
  <c r="A1531" i="1"/>
  <c r="I1530" i="1"/>
  <c r="G1530" i="1"/>
  <c r="A1530" i="1"/>
  <c r="I1529" i="1"/>
  <c r="G1529" i="1"/>
  <c r="A1529" i="1"/>
  <c r="I1528" i="1"/>
  <c r="G1528" i="1"/>
  <c r="A1528" i="1"/>
  <c r="I1527" i="1"/>
  <c r="G1527" i="1"/>
  <c r="A1527" i="1"/>
  <c r="I1526" i="1"/>
  <c r="G1526" i="1"/>
  <c r="A1526" i="1"/>
  <c r="I1525" i="1"/>
  <c r="G1525" i="1"/>
  <c r="A1525" i="1"/>
  <c r="I1524" i="1"/>
  <c r="G1524" i="1"/>
  <c r="A1524" i="1"/>
  <c r="I1523" i="1"/>
  <c r="G1523" i="1"/>
  <c r="A1523" i="1"/>
  <c r="I1522" i="1"/>
  <c r="G1522" i="1"/>
  <c r="A1522" i="1"/>
  <c r="I1521" i="1"/>
  <c r="G1521" i="1"/>
  <c r="A1521" i="1"/>
  <c r="I1520" i="1"/>
  <c r="G1520" i="1"/>
  <c r="A1520" i="1"/>
  <c r="I1519" i="1"/>
  <c r="G1519" i="1"/>
  <c r="A1519" i="1"/>
  <c r="I1518" i="1"/>
  <c r="G1518" i="1"/>
  <c r="A1518" i="1"/>
  <c r="I1517" i="1"/>
  <c r="G1517" i="1"/>
  <c r="A1517" i="1"/>
  <c r="I1516" i="1"/>
  <c r="G1516" i="1"/>
  <c r="A1516" i="1"/>
  <c r="I1515" i="1"/>
  <c r="G1515" i="1"/>
  <c r="A1515" i="1"/>
  <c r="I1514" i="1"/>
  <c r="G1514" i="1"/>
  <c r="A1514" i="1"/>
  <c r="I1513" i="1"/>
  <c r="G1513" i="1"/>
  <c r="A1513" i="1"/>
  <c r="I1512" i="1"/>
  <c r="G1512" i="1"/>
  <c r="A1512" i="1"/>
  <c r="I1511" i="1"/>
  <c r="G1511" i="1"/>
  <c r="A1511" i="1"/>
  <c r="I1510" i="1"/>
  <c r="G1510" i="1"/>
  <c r="A1510" i="1"/>
  <c r="I1509" i="1"/>
  <c r="G1509" i="1"/>
  <c r="A1509" i="1"/>
  <c r="I1508" i="1"/>
  <c r="G1508" i="1"/>
  <c r="A1508" i="1"/>
  <c r="I1507" i="1"/>
  <c r="G1507" i="1"/>
  <c r="A1507" i="1"/>
  <c r="I1506" i="1"/>
  <c r="G1506" i="1"/>
  <c r="A1506" i="1"/>
  <c r="I1505" i="1"/>
  <c r="G1505" i="1"/>
  <c r="A1505" i="1"/>
  <c r="I1504" i="1"/>
  <c r="G1504" i="1"/>
  <c r="A1504" i="1"/>
  <c r="I1503" i="1"/>
  <c r="G1503" i="1"/>
  <c r="A1503" i="1"/>
  <c r="I1502" i="1"/>
  <c r="G1502" i="1"/>
  <c r="A1502" i="1"/>
  <c r="I1501" i="1"/>
  <c r="G1501" i="1"/>
  <c r="A1501" i="1"/>
  <c r="I1500" i="1"/>
  <c r="G1500" i="1"/>
  <c r="A1500" i="1"/>
  <c r="I1499" i="1"/>
  <c r="G1499" i="1"/>
  <c r="A1499" i="1"/>
  <c r="I1498" i="1"/>
  <c r="G1498" i="1"/>
  <c r="A1498" i="1"/>
  <c r="I1497" i="1"/>
  <c r="G1497" i="1"/>
  <c r="A1497" i="1"/>
  <c r="I1496" i="1"/>
  <c r="G1496" i="1"/>
  <c r="A1496" i="1"/>
  <c r="I1495" i="1"/>
  <c r="G1495" i="1"/>
  <c r="A1495" i="1"/>
  <c r="I1494" i="1"/>
  <c r="G1494" i="1"/>
  <c r="A1494" i="1"/>
  <c r="I1493" i="1"/>
  <c r="G1493" i="1"/>
  <c r="A1493" i="1"/>
  <c r="I1492" i="1"/>
  <c r="G1492" i="1"/>
  <c r="A1492" i="1"/>
  <c r="I1491" i="1"/>
  <c r="G1491" i="1"/>
  <c r="A1491" i="1"/>
  <c r="I1490" i="1"/>
  <c r="G1490" i="1"/>
  <c r="A1490" i="1"/>
  <c r="I1489" i="1"/>
  <c r="G1489" i="1"/>
  <c r="A1489" i="1"/>
  <c r="I1488" i="1"/>
  <c r="G1488" i="1"/>
  <c r="A1488" i="1"/>
  <c r="I1487" i="1"/>
  <c r="G1487" i="1"/>
  <c r="A1487" i="1"/>
  <c r="I1486" i="1"/>
  <c r="G1486" i="1"/>
  <c r="A1486" i="1"/>
  <c r="I1485" i="1"/>
  <c r="G1485" i="1"/>
  <c r="A1485" i="1"/>
  <c r="I1484" i="1"/>
  <c r="G1484" i="1"/>
  <c r="A1484" i="1"/>
  <c r="I1483" i="1"/>
  <c r="G1483" i="1"/>
  <c r="A1483" i="1"/>
  <c r="I1482" i="1"/>
  <c r="G1482" i="1"/>
  <c r="A1482" i="1"/>
  <c r="I1481" i="1"/>
  <c r="G1481" i="1"/>
  <c r="A1481" i="1"/>
  <c r="I1480" i="1"/>
  <c r="G1480" i="1"/>
  <c r="A1480" i="1"/>
  <c r="I1479" i="1"/>
  <c r="G1479" i="1"/>
  <c r="A1479" i="1"/>
  <c r="I1478" i="1"/>
  <c r="G1478" i="1"/>
  <c r="A1478" i="1"/>
  <c r="I1477" i="1"/>
  <c r="G1477" i="1"/>
  <c r="A1477" i="1"/>
  <c r="I1476" i="1"/>
  <c r="G1476" i="1"/>
  <c r="A1476" i="1"/>
  <c r="I1475" i="1"/>
  <c r="G1475" i="1"/>
  <c r="A1475" i="1"/>
  <c r="I1474" i="1"/>
  <c r="G1474" i="1"/>
  <c r="A1474" i="1"/>
  <c r="I1473" i="1"/>
  <c r="G1473" i="1"/>
  <c r="A1473" i="1"/>
  <c r="I1472" i="1"/>
  <c r="G1472" i="1"/>
  <c r="A1472" i="1"/>
  <c r="I1471" i="1"/>
  <c r="G1471" i="1"/>
  <c r="A1471" i="1"/>
  <c r="I1470" i="1"/>
  <c r="G1470" i="1"/>
  <c r="A1470" i="1"/>
  <c r="I1469" i="1"/>
  <c r="G1469" i="1"/>
  <c r="A1469" i="1"/>
  <c r="I1468" i="1"/>
  <c r="G1468" i="1"/>
  <c r="A1468" i="1"/>
  <c r="I1467" i="1"/>
  <c r="G1467" i="1"/>
  <c r="A1467" i="1"/>
  <c r="I1466" i="1"/>
  <c r="G1466" i="1"/>
  <c r="A1466" i="1"/>
  <c r="I1465" i="1"/>
  <c r="G1465" i="1"/>
  <c r="A1465" i="1"/>
  <c r="I1464" i="1"/>
  <c r="G1464" i="1"/>
  <c r="A1464" i="1"/>
  <c r="I1463" i="1"/>
  <c r="G1463" i="1"/>
  <c r="A1463" i="1"/>
  <c r="I1462" i="1"/>
  <c r="G1462" i="1"/>
  <c r="A1462" i="1"/>
  <c r="I1461" i="1"/>
  <c r="G1461" i="1"/>
  <c r="A1461" i="1"/>
  <c r="I1460" i="1"/>
  <c r="G1460" i="1"/>
  <c r="A1460" i="1"/>
  <c r="I1459" i="1"/>
  <c r="G1459" i="1"/>
  <c r="A1459" i="1"/>
  <c r="I1458" i="1"/>
  <c r="G1458" i="1"/>
  <c r="A1458" i="1"/>
  <c r="I1457" i="1"/>
  <c r="G1457" i="1"/>
  <c r="A1457" i="1"/>
  <c r="I1456" i="1"/>
  <c r="G1456" i="1"/>
  <c r="A1456" i="1"/>
  <c r="I1455" i="1"/>
  <c r="G1455" i="1"/>
  <c r="A1455" i="1"/>
  <c r="I1454" i="1"/>
  <c r="G1454" i="1"/>
  <c r="A1454" i="1"/>
  <c r="I1453" i="1"/>
  <c r="G1453" i="1"/>
  <c r="A1453" i="1"/>
  <c r="I1452" i="1"/>
  <c r="G1452" i="1"/>
  <c r="A1452" i="1"/>
  <c r="I1451" i="1"/>
  <c r="G1451" i="1"/>
  <c r="A1451" i="1"/>
  <c r="I1450" i="1"/>
  <c r="G1450" i="1"/>
  <c r="A1450" i="1"/>
  <c r="I1449" i="1"/>
  <c r="G1449" i="1"/>
  <c r="A1449" i="1"/>
  <c r="I1448" i="1"/>
  <c r="G1448" i="1"/>
  <c r="A1448" i="1"/>
  <c r="I1447" i="1"/>
  <c r="G1447" i="1"/>
  <c r="A1447" i="1"/>
  <c r="I1446" i="1"/>
  <c r="G1446" i="1"/>
  <c r="A1446" i="1"/>
  <c r="I1445" i="1"/>
  <c r="G1445" i="1"/>
  <c r="A1445" i="1"/>
  <c r="I1444" i="1"/>
  <c r="G1444" i="1"/>
  <c r="A1444" i="1"/>
  <c r="I1443" i="1"/>
  <c r="G1443" i="1"/>
  <c r="A1443" i="1"/>
  <c r="I1442" i="1"/>
  <c r="G1442" i="1"/>
  <c r="A1442" i="1"/>
  <c r="I1441" i="1"/>
  <c r="G1441" i="1"/>
  <c r="A1441" i="1"/>
  <c r="I1440" i="1"/>
  <c r="G1440" i="1"/>
  <c r="A1440" i="1"/>
  <c r="I1439" i="1"/>
  <c r="G1439" i="1"/>
  <c r="A1439" i="1"/>
  <c r="I1438" i="1"/>
  <c r="G1438" i="1"/>
  <c r="A1438" i="1"/>
  <c r="I1437" i="1"/>
  <c r="G1437" i="1"/>
  <c r="A1437" i="1"/>
  <c r="I1436" i="1"/>
  <c r="G1436" i="1"/>
  <c r="A1436" i="1"/>
  <c r="I1435" i="1"/>
  <c r="G1435" i="1"/>
  <c r="A1435" i="1"/>
  <c r="I1434" i="1"/>
  <c r="G1434" i="1"/>
  <c r="A1434" i="1"/>
  <c r="I1433" i="1"/>
  <c r="G1433" i="1"/>
  <c r="A1433" i="1"/>
  <c r="I1432" i="1"/>
  <c r="G1432" i="1"/>
  <c r="A1432" i="1"/>
  <c r="I1431" i="1"/>
  <c r="G1431" i="1"/>
  <c r="A1431" i="1"/>
  <c r="I1430" i="1"/>
  <c r="G1430" i="1"/>
  <c r="A1430" i="1"/>
  <c r="I1429" i="1"/>
  <c r="G1429" i="1"/>
  <c r="A1429" i="1"/>
  <c r="I1428" i="1"/>
  <c r="G1428" i="1"/>
  <c r="A1428" i="1"/>
  <c r="I1427" i="1"/>
  <c r="G1427" i="1"/>
  <c r="A1427" i="1"/>
  <c r="I1426" i="1"/>
  <c r="G1426" i="1"/>
  <c r="A1426" i="1"/>
  <c r="I1425" i="1"/>
  <c r="G1425" i="1"/>
  <c r="A1425" i="1"/>
  <c r="I1424" i="1"/>
  <c r="G1424" i="1"/>
  <c r="A1424" i="1"/>
  <c r="I1423" i="1"/>
  <c r="G1423" i="1"/>
  <c r="A1423" i="1"/>
  <c r="I1422" i="1"/>
  <c r="G1422" i="1"/>
  <c r="A1422" i="1"/>
  <c r="I1421" i="1"/>
  <c r="G1421" i="1"/>
  <c r="A1421" i="1"/>
  <c r="I1420" i="1"/>
  <c r="G1420" i="1"/>
  <c r="A1420" i="1"/>
  <c r="I1419" i="1"/>
  <c r="G1419" i="1"/>
  <c r="A1419" i="1"/>
  <c r="I1418" i="1"/>
  <c r="G1418" i="1"/>
  <c r="A1418" i="1"/>
  <c r="I1417" i="1"/>
  <c r="G1417" i="1"/>
  <c r="A1417" i="1"/>
  <c r="I1416" i="1"/>
  <c r="G1416" i="1"/>
  <c r="A1416" i="1"/>
  <c r="I1415" i="1"/>
  <c r="G1415" i="1"/>
  <c r="A1415" i="1"/>
  <c r="I1414" i="1"/>
  <c r="G1414" i="1"/>
  <c r="A1414" i="1"/>
  <c r="I1413" i="1"/>
  <c r="G1413" i="1"/>
  <c r="A1413" i="1"/>
  <c r="I1412" i="1"/>
  <c r="G1412" i="1"/>
  <c r="A1412" i="1"/>
  <c r="I1411" i="1"/>
  <c r="G1411" i="1"/>
  <c r="A1411" i="1"/>
  <c r="I1410" i="1"/>
  <c r="G1410" i="1"/>
  <c r="A1410" i="1"/>
  <c r="I1409" i="1"/>
  <c r="G1409" i="1"/>
  <c r="A1409" i="1"/>
  <c r="I1408" i="1"/>
  <c r="G1408" i="1"/>
  <c r="A1408" i="1"/>
  <c r="I1407" i="1"/>
  <c r="G1407" i="1"/>
  <c r="A1407" i="1"/>
  <c r="I1406" i="1"/>
  <c r="G1406" i="1"/>
  <c r="A1406" i="1"/>
  <c r="I1405" i="1"/>
  <c r="G1405" i="1"/>
  <c r="A1405" i="1"/>
  <c r="I1404" i="1"/>
  <c r="G1404" i="1"/>
  <c r="A1404" i="1"/>
  <c r="I1403" i="1"/>
  <c r="G1403" i="1"/>
  <c r="A1403" i="1"/>
  <c r="I1402" i="1"/>
  <c r="G1402" i="1"/>
  <c r="A1402" i="1"/>
  <c r="I1401" i="1"/>
  <c r="G1401" i="1"/>
  <c r="A1401" i="1"/>
  <c r="I1400" i="1"/>
  <c r="G1400" i="1"/>
  <c r="A1400" i="1"/>
  <c r="I1399" i="1"/>
  <c r="G1399" i="1"/>
  <c r="A1399" i="1"/>
  <c r="I1398" i="1"/>
  <c r="G1398" i="1"/>
  <c r="A1398" i="1"/>
  <c r="I1397" i="1"/>
  <c r="G1397" i="1"/>
  <c r="A1397" i="1"/>
  <c r="I1396" i="1"/>
  <c r="G1396" i="1"/>
  <c r="A1396" i="1"/>
  <c r="I1395" i="1"/>
  <c r="G1395" i="1"/>
  <c r="A1395" i="1"/>
  <c r="I1394" i="1"/>
  <c r="G1394" i="1"/>
  <c r="A1394" i="1"/>
  <c r="I1393" i="1"/>
  <c r="G1393" i="1"/>
  <c r="A1393" i="1"/>
  <c r="I1392" i="1"/>
  <c r="G1392" i="1"/>
  <c r="A1392" i="1"/>
  <c r="I1391" i="1"/>
  <c r="G1391" i="1"/>
  <c r="A1391" i="1"/>
  <c r="I1390" i="1"/>
  <c r="G1390" i="1"/>
  <c r="A1390" i="1"/>
  <c r="I1389" i="1"/>
  <c r="G1389" i="1"/>
  <c r="A1389" i="1"/>
  <c r="I1388" i="1"/>
  <c r="G1388" i="1"/>
  <c r="A1388" i="1"/>
  <c r="I1387" i="1"/>
  <c r="G1387" i="1"/>
  <c r="A1387" i="1"/>
  <c r="I1386" i="1"/>
  <c r="G1386" i="1"/>
  <c r="A1386" i="1"/>
  <c r="I1385" i="1"/>
  <c r="G1385" i="1"/>
  <c r="A1385" i="1"/>
  <c r="I1384" i="1"/>
  <c r="G1384" i="1"/>
  <c r="A1384" i="1"/>
  <c r="I1383" i="1"/>
  <c r="G1383" i="1"/>
  <c r="A1383" i="1"/>
  <c r="I1382" i="1"/>
  <c r="G1382" i="1"/>
  <c r="A1382" i="1"/>
  <c r="I1381" i="1"/>
  <c r="G1381" i="1"/>
  <c r="A1381" i="1"/>
  <c r="I1380" i="1"/>
  <c r="G1380" i="1"/>
  <c r="A1380" i="1"/>
  <c r="I1379" i="1"/>
  <c r="G1379" i="1"/>
  <c r="A1379" i="1"/>
  <c r="I1378" i="1"/>
  <c r="G1378" i="1"/>
  <c r="A1378" i="1"/>
  <c r="I1377" i="1"/>
  <c r="G1377" i="1"/>
  <c r="A1377" i="1"/>
  <c r="I1376" i="1"/>
  <c r="G1376" i="1"/>
  <c r="A1376" i="1"/>
  <c r="I1375" i="1"/>
  <c r="G1375" i="1"/>
  <c r="A1375" i="1"/>
  <c r="I1374" i="1"/>
  <c r="G1374" i="1"/>
  <c r="A1374" i="1"/>
  <c r="I1373" i="1"/>
  <c r="G1373" i="1"/>
  <c r="A1373" i="1"/>
  <c r="I1372" i="1"/>
  <c r="G1372" i="1"/>
  <c r="A1372" i="1"/>
  <c r="I1371" i="1"/>
  <c r="G1371" i="1"/>
  <c r="A1371" i="1"/>
  <c r="I1370" i="1"/>
  <c r="G1370" i="1"/>
  <c r="A1370" i="1"/>
  <c r="I1369" i="1"/>
  <c r="G1369" i="1"/>
  <c r="A1369" i="1"/>
  <c r="I1368" i="1"/>
  <c r="G1368" i="1"/>
  <c r="A1368" i="1"/>
  <c r="I1367" i="1"/>
  <c r="G1367" i="1"/>
  <c r="A1367" i="1"/>
  <c r="I1366" i="1"/>
  <c r="G1366" i="1"/>
  <c r="A1366" i="1"/>
  <c r="I1365" i="1"/>
  <c r="G1365" i="1"/>
  <c r="A1365" i="1"/>
  <c r="I1364" i="1"/>
  <c r="G1364" i="1"/>
  <c r="A1364" i="1"/>
  <c r="I1363" i="1"/>
  <c r="G1363" i="1"/>
  <c r="A1363" i="1"/>
  <c r="I1362" i="1"/>
  <c r="G1362" i="1"/>
  <c r="A1362" i="1"/>
  <c r="I1361" i="1"/>
  <c r="G1361" i="1"/>
  <c r="A1361" i="1"/>
  <c r="I1360" i="1"/>
  <c r="G1360" i="1"/>
  <c r="A1360" i="1"/>
  <c r="I1359" i="1"/>
  <c r="G1359" i="1"/>
  <c r="A1359" i="1"/>
  <c r="I1358" i="1"/>
  <c r="G1358" i="1"/>
  <c r="A1358" i="1"/>
  <c r="I1357" i="1"/>
  <c r="G1357" i="1"/>
  <c r="A1357" i="1"/>
  <c r="I1356" i="1"/>
  <c r="G1356" i="1"/>
  <c r="A1356" i="1"/>
  <c r="I1355" i="1"/>
  <c r="G1355" i="1"/>
  <c r="A1355" i="1"/>
  <c r="I1354" i="1"/>
  <c r="G1354" i="1"/>
  <c r="A1354" i="1"/>
  <c r="I1353" i="1"/>
  <c r="G1353" i="1"/>
  <c r="A1353" i="1"/>
  <c r="I1352" i="1"/>
  <c r="G1352" i="1"/>
  <c r="A1352" i="1"/>
  <c r="I1351" i="1"/>
  <c r="G1351" i="1"/>
  <c r="A1351" i="1"/>
  <c r="I1350" i="1"/>
  <c r="G1350" i="1"/>
  <c r="A1350" i="1"/>
  <c r="I1349" i="1"/>
  <c r="G1349" i="1"/>
  <c r="A1349" i="1"/>
  <c r="I1348" i="1"/>
  <c r="G1348" i="1"/>
  <c r="A1348" i="1"/>
  <c r="I1347" i="1"/>
  <c r="G1347" i="1"/>
  <c r="A1347" i="1"/>
  <c r="I1346" i="1"/>
  <c r="G1346" i="1"/>
  <c r="A1346" i="1"/>
  <c r="I1345" i="1"/>
  <c r="G1345" i="1"/>
  <c r="A1345" i="1"/>
  <c r="I1344" i="1"/>
  <c r="G1344" i="1"/>
  <c r="A1344" i="1"/>
  <c r="I1343" i="1"/>
  <c r="G1343" i="1"/>
  <c r="A1343" i="1"/>
  <c r="I1342" i="1"/>
  <c r="G1342" i="1"/>
  <c r="A1342" i="1"/>
  <c r="I1341" i="1"/>
  <c r="G1341" i="1"/>
  <c r="A1341" i="1"/>
  <c r="I1340" i="1"/>
  <c r="G1340" i="1"/>
  <c r="A1340" i="1"/>
  <c r="I1339" i="1"/>
  <c r="G1339" i="1"/>
  <c r="A1339" i="1"/>
  <c r="I1338" i="1"/>
  <c r="G1338" i="1"/>
  <c r="A1338" i="1"/>
  <c r="I1337" i="1"/>
  <c r="G1337" i="1"/>
  <c r="A1337" i="1"/>
  <c r="I1336" i="1"/>
  <c r="G1336" i="1"/>
  <c r="A1336" i="1"/>
  <c r="I1335" i="1"/>
  <c r="G1335" i="1"/>
  <c r="A1335" i="1"/>
  <c r="I1334" i="1"/>
  <c r="G1334" i="1"/>
  <c r="A1334" i="1"/>
  <c r="I1333" i="1"/>
  <c r="G1333" i="1"/>
  <c r="A1333" i="1"/>
  <c r="I1332" i="1"/>
  <c r="G1332" i="1"/>
  <c r="A1332" i="1"/>
  <c r="I1331" i="1"/>
  <c r="G1331" i="1"/>
  <c r="A1331" i="1"/>
  <c r="I1330" i="1"/>
  <c r="G1330" i="1"/>
  <c r="A1330" i="1"/>
  <c r="I1329" i="1"/>
  <c r="G1329" i="1"/>
  <c r="A1329" i="1"/>
  <c r="I1328" i="1"/>
  <c r="G1328" i="1"/>
  <c r="A1328" i="1"/>
  <c r="I1327" i="1"/>
  <c r="G1327" i="1"/>
  <c r="A1327" i="1"/>
  <c r="I1326" i="1"/>
  <c r="G1326" i="1"/>
  <c r="A1326" i="1"/>
  <c r="I1325" i="1"/>
  <c r="G1325" i="1"/>
  <c r="A1325" i="1"/>
  <c r="I1324" i="1"/>
  <c r="G1324" i="1"/>
  <c r="A1324" i="1"/>
  <c r="I1323" i="1"/>
  <c r="G1323" i="1"/>
  <c r="A1323" i="1"/>
  <c r="I1322" i="1"/>
  <c r="G1322" i="1"/>
  <c r="A1322" i="1"/>
  <c r="I1321" i="1"/>
  <c r="G1321" i="1"/>
  <c r="A1321" i="1"/>
  <c r="I1320" i="1"/>
  <c r="G1320" i="1"/>
  <c r="A1320" i="1"/>
  <c r="I1319" i="1"/>
  <c r="G1319" i="1"/>
  <c r="A1319" i="1"/>
  <c r="I1318" i="1"/>
  <c r="G1318" i="1"/>
  <c r="A1318" i="1"/>
  <c r="I1317" i="1"/>
  <c r="G1317" i="1"/>
  <c r="A1317" i="1"/>
  <c r="I1316" i="1"/>
  <c r="G1316" i="1"/>
  <c r="A1316" i="1"/>
  <c r="I1315" i="1"/>
  <c r="G1315" i="1"/>
  <c r="A1315" i="1"/>
  <c r="I1314" i="1"/>
  <c r="G1314" i="1"/>
  <c r="A1314" i="1"/>
  <c r="I1313" i="1"/>
  <c r="G1313" i="1"/>
  <c r="A1313" i="1"/>
  <c r="I1312" i="1"/>
  <c r="G1312" i="1"/>
  <c r="A1312" i="1"/>
  <c r="I1311" i="1"/>
  <c r="G1311" i="1"/>
  <c r="A1311" i="1"/>
  <c r="I1310" i="1"/>
  <c r="G1310" i="1"/>
  <c r="A1310" i="1"/>
  <c r="I1309" i="1"/>
  <c r="G1309" i="1"/>
  <c r="A1309" i="1"/>
  <c r="I1308" i="1"/>
  <c r="G1308" i="1"/>
  <c r="A1308" i="1"/>
  <c r="I1307" i="1"/>
  <c r="G1307" i="1"/>
  <c r="A1307" i="1"/>
  <c r="I1306" i="1"/>
  <c r="G1306" i="1"/>
  <c r="A1306" i="1"/>
  <c r="I1305" i="1"/>
  <c r="G1305" i="1"/>
  <c r="A1305" i="1"/>
  <c r="I1304" i="1"/>
  <c r="G1304" i="1"/>
  <c r="A1304" i="1"/>
  <c r="I1303" i="1"/>
  <c r="G1303" i="1"/>
  <c r="A1303" i="1"/>
  <c r="I1302" i="1"/>
  <c r="G1302" i="1"/>
  <c r="A1302" i="1"/>
  <c r="I1301" i="1"/>
  <c r="G1301" i="1"/>
  <c r="A1301" i="1"/>
  <c r="I1300" i="1"/>
  <c r="G1300" i="1"/>
  <c r="A1300" i="1"/>
  <c r="I1299" i="1"/>
  <c r="G1299" i="1"/>
  <c r="A1299" i="1"/>
  <c r="I1298" i="1"/>
  <c r="G1298" i="1"/>
  <c r="A1298" i="1"/>
  <c r="I1297" i="1"/>
  <c r="G1297" i="1"/>
  <c r="A1297" i="1"/>
  <c r="I1296" i="1"/>
  <c r="G1296" i="1"/>
  <c r="A1296" i="1"/>
  <c r="I1295" i="1"/>
  <c r="G1295" i="1"/>
  <c r="A1295" i="1"/>
  <c r="I1294" i="1"/>
  <c r="G1294" i="1"/>
  <c r="A1294" i="1"/>
  <c r="I1293" i="1"/>
  <c r="G1293" i="1"/>
  <c r="A1293" i="1"/>
  <c r="I1292" i="1"/>
  <c r="G1292" i="1"/>
  <c r="A1292" i="1"/>
  <c r="I1291" i="1"/>
  <c r="G1291" i="1"/>
  <c r="A1291" i="1"/>
  <c r="I1290" i="1"/>
  <c r="G1290" i="1"/>
  <c r="A1290" i="1"/>
  <c r="I1289" i="1"/>
  <c r="G1289" i="1"/>
  <c r="A1289" i="1"/>
  <c r="I1288" i="1"/>
  <c r="G1288" i="1"/>
  <c r="A1288" i="1"/>
  <c r="I1287" i="1"/>
  <c r="G1287" i="1"/>
  <c r="A1287" i="1"/>
  <c r="I1286" i="1"/>
  <c r="G1286" i="1"/>
  <c r="A1286" i="1"/>
  <c r="I1285" i="1"/>
  <c r="G1285" i="1"/>
  <c r="A1285" i="1"/>
  <c r="I1284" i="1"/>
  <c r="G1284" i="1"/>
  <c r="A1284" i="1"/>
  <c r="I1283" i="1"/>
  <c r="G1283" i="1"/>
  <c r="A1283" i="1"/>
  <c r="I1282" i="1"/>
  <c r="G1282" i="1"/>
  <c r="A1282" i="1"/>
  <c r="I1281" i="1"/>
  <c r="G1281" i="1"/>
  <c r="A1281" i="1"/>
  <c r="I1280" i="1"/>
  <c r="G1280" i="1"/>
  <c r="A1280" i="1"/>
  <c r="I1279" i="1"/>
  <c r="G1279" i="1"/>
  <c r="A1279" i="1"/>
  <c r="I1278" i="1"/>
  <c r="G1278" i="1"/>
  <c r="A1278" i="1"/>
  <c r="I1277" i="1"/>
  <c r="G1277" i="1"/>
  <c r="A1277" i="1"/>
  <c r="I1276" i="1"/>
  <c r="G1276" i="1"/>
  <c r="A1276" i="1"/>
  <c r="I1275" i="1"/>
  <c r="G1275" i="1"/>
  <c r="A1275" i="1"/>
  <c r="I1274" i="1"/>
  <c r="G1274" i="1"/>
  <c r="A1274" i="1"/>
  <c r="I1273" i="1"/>
  <c r="G1273" i="1"/>
  <c r="A1273" i="1"/>
  <c r="I1272" i="1"/>
  <c r="G1272" i="1"/>
  <c r="A1272" i="1"/>
  <c r="I1271" i="1"/>
  <c r="G1271" i="1"/>
  <c r="A1271" i="1"/>
  <c r="I1270" i="1"/>
  <c r="G1270" i="1"/>
  <c r="A1270" i="1"/>
  <c r="I1269" i="1"/>
  <c r="G1269" i="1"/>
  <c r="A1269" i="1"/>
  <c r="I1268" i="1"/>
  <c r="G1268" i="1"/>
  <c r="A1268" i="1"/>
  <c r="I1267" i="1"/>
  <c r="G1267" i="1"/>
  <c r="A1267" i="1"/>
  <c r="I1266" i="1"/>
  <c r="G1266" i="1"/>
  <c r="A1266" i="1"/>
  <c r="I1265" i="1"/>
  <c r="G1265" i="1"/>
  <c r="A1265" i="1"/>
  <c r="I1264" i="1"/>
  <c r="G1264" i="1"/>
  <c r="A1264" i="1"/>
  <c r="I1263" i="1"/>
  <c r="G1263" i="1"/>
  <c r="A1263" i="1"/>
  <c r="I1262" i="1"/>
  <c r="G1262" i="1"/>
  <c r="A1262" i="1"/>
  <c r="I1261" i="1"/>
  <c r="G1261" i="1"/>
  <c r="A1261" i="1"/>
  <c r="I1260" i="1"/>
  <c r="G1260" i="1"/>
  <c r="A1260" i="1"/>
  <c r="I1259" i="1"/>
  <c r="G1259" i="1"/>
  <c r="A1259" i="1"/>
  <c r="I1258" i="1"/>
  <c r="G1258" i="1"/>
  <c r="A1258" i="1"/>
  <c r="I1257" i="1"/>
  <c r="G1257" i="1"/>
  <c r="A1257" i="1"/>
  <c r="I1256" i="1"/>
  <c r="G1256" i="1"/>
  <c r="A1256" i="1"/>
  <c r="I1255" i="1"/>
  <c r="G1255" i="1"/>
  <c r="A1255" i="1"/>
  <c r="I1254" i="1"/>
  <c r="G1254" i="1"/>
  <c r="A1254" i="1"/>
  <c r="I1253" i="1"/>
  <c r="G1253" i="1"/>
  <c r="A1253" i="1"/>
  <c r="I1252" i="1"/>
  <c r="G1252" i="1"/>
  <c r="A1252" i="1"/>
  <c r="I1251" i="1"/>
  <c r="G1251" i="1"/>
  <c r="A1251" i="1"/>
  <c r="I1250" i="1"/>
  <c r="G1250" i="1"/>
  <c r="A1250" i="1"/>
  <c r="I1249" i="1"/>
  <c r="G1249" i="1"/>
  <c r="A1249" i="1"/>
  <c r="I1248" i="1"/>
  <c r="G1248" i="1"/>
  <c r="A1248" i="1"/>
  <c r="I1247" i="1"/>
  <c r="G1247" i="1"/>
  <c r="A1247" i="1"/>
  <c r="I1246" i="1"/>
  <c r="G1246" i="1"/>
  <c r="A1246" i="1"/>
  <c r="I1245" i="1"/>
  <c r="G1245" i="1"/>
  <c r="A1245" i="1"/>
  <c r="I1244" i="1"/>
  <c r="G1244" i="1"/>
  <c r="A1244" i="1"/>
  <c r="I1243" i="1"/>
  <c r="G1243" i="1"/>
  <c r="A1243" i="1"/>
  <c r="I1242" i="1"/>
  <c r="G1242" i="1"/>
  <c r="A1242" i="1"/>
  <c r="I1241" i="1"/>
  <c r="G1241" i="1"/>
  <c r="A1241" i="1"/>
  <c r="I1240" i="1"/>
  <c r="G1240" i="1"/>
  <c r="A1240" i="1"/>
  <c r="I1239" i="1"/>
  <c r="G1239" i="1"/>
  <c r="A1239" i="1"/>
  <c r="I1238" i="1"/>
  <c r="G1238" i="1"/>
  <c r="A1238" i="1"/>
  <c r="I1237" i="1"/>
  <c r="G1237" i="1"/>
  <c r="A1237" i="1"/>
  <c r="I1236" i="1"/>
  <c r="G1236" i="1"/>
  <c r="A1236" i="1"/>
  <c r="I1235" i="1"/>
  <c r="G1235" i="1"/>
  <c r="A1235" i="1"/>
  <c r="I1234" i="1"/>
  <c r="G1234" i="1"/>
  <c r="A1234" i="1"/>
  <c r="I1233" i="1"/>
  <c r="G1233" i="1"/>
  <c r="A1233" i="1"/>
  <c r="I1232" i="1"/>
  <c r="G1232" i="1"/>
  <c r="A1232" i="1"/>
  <c r="I1231" i="1"/>
  <c r="G1231" i="1"/>
  <c r="A1231" i="1"/>
  <c r="I1230" i="1"/>
  <c r="G1230" i="1"/>
  <c r="A1230" i="1"/>
  <c r="I1229" i="1"/>
  <c r="G1229" i="1"/>
  <c r="A1229" i="1"/>
  <c r="I1228" i="1"/>
  <c r="G1228" i="1"/>
  <c r="A1228" i="1"/>
  <c r="I1227" i="1"/>
  <c r="G1227" i="1"/>
  <c r="A1227" i="1"/>
  <c r="I1226" i="1"/>
  <c r="G1226" i="1"/>
  <c r="A1226" i="1"/>
  <c r="I1225" i="1"/>
  <c r="G1225" i="1"/>
  <c r="A1225" i="1"/>
  <c r="I1224" i="1"/>
  <c r="G1224" i="1"/>
  <c r="A1224" i="1"/>
  <c r="I1223" i="1"/>
  <c r="G1223" i="1"/>
  <c r="A1223" i="1"/>
  <c r="I1222" i="1"/>
  <c r="G1222" i="1"/>
  <c r="A1222" i="1"/>
  <c r="I1221" i="1"/>
  <c r="G1221" i="1"/>
  <c r="A1221" i="1"/>
  <c r="I1220" i="1"/>
  <c r="G1220" i="1"/>
  <c r="A1220" i="1"/>
  <c r="I1219" i="1"/>
  <c r="G1219" i="1"/>
  <c r="A1219" i="1"/>
  <c r="I1218" i="1"/>
  <c r="G1218" i="1"/>
  <c r="A1218" i="1"/>
  <c r="I1217" i="1"/>
  <c r="G1217" i="1"/>
  <c r="A1217" i="1"/>
  <c r="I1216" i="1"/>
  <c r="G1216" i="1"/>
  <c r="A1216" i="1"/>
  <c r="I1215" i="1"/>
  <c r="G1215" i="1"/>
  <c r="A1215" i="1"/>
  <c r="I1214" i="1"/>
  <c r="G1214" i="1"/>
  <c r="A1214" i="1"/>
  <c r="I1213" i="1"/>
  <c r="G1213" i="1"/>
  <c r="A1213" i="1"/>
  <c r="I1212" i="1"/>
  <c r="G1212" i="1"/>
  <c r="A1212" i="1"/>
  <c r="I1211" i="1"/>
  <c r="G1211" i="1"/>
  <c r="A1211" i="1"/>
  <c r="I1210" i="1"/>
  <c r="G1210" i="1"/>
  <c r="A1210" i="1"/>
  <c r="I1209" i="1"/>
  <c r="G1209" i="1"/>
  <c r="A1209" i="1"/>
  <c r="I1208" i="1"/>
  <c r="G1208" i="1"/>
  <c r="A1208" i="1"/>
  <c r="I1207" i="1"/>
  <c r="G1207" i="1"/>
  <c r="A1207" i="1"/>
  <c r="I1206" i="1"/>
  <c r="G1206" i="1"/>
  <c r="A1206" i="1"/>
  <c r="I1205" i="1"/>
  <c r="G1205" i="1"/>
  <c r="A1205" i="1"/>
  <c r="I1204" i="1"/>
  <c r="G1204" i="1"/>
  <c r="A1204" i="1"/>
  <c r="I1203" i="1"/>
  <c r="G1203" i="1"/>
  <c r="A1203" i="1"/>
  <c r="I1202" i="1"/>
  <c r="G1202" i="1"/>
  <c r="A1202" i="1"/>
  <c r="I1201" i="1"/>
  <c r="G1201" i="1"/>
  <c r="A1201" i="1"/>
  <c r="I1200" i="1"/>
  <c r="G1200" i="1"/>
  <c r="A1200" i="1"/>
  <c r="I1199" i="1"/>
  <c r="G1199" i="1"/>
  <c r="A1199" i="1"/>
  <c r="I1198" i="1"/>
  <c r="G1198" i="1"/>
  <c r="A1198" i="1"/>
  <c r="I1197" i="1"/>
  <c r="G1197" i="1"/>
  <c r="A1197" i="1"/>
  <c r="I1196" i="1"/>
  <c r="G1196" i="1"/>
  <c r="A1196" i="1"/>
  <c r="I1195" i="1"/>
  <c r="G1195" i="1"/>
  <c r="A1195" i="1"/>
  <c r="I1194" i="1"/>
  <c r="G1194" i="1"/>
  <c r="A1194" i="1"/>
  <c r="I1193" i="1"/>
  <c r="G1193" i="1"/>
  <c r="A1193" i="1"/>
  <c r="I1192" i="1"/>
  <c r="G1192" i="1"/>
  <c r="A1192" i="1"/>
  <c r="I1191" i="1"/>
  <c r="G1191" i="1"/>
  <c r="A1191" i="1"/>
  <c r="I1190" i="1"/>
  <c r="G1190" i="1"/>
  <c r="A1190" i="1"/>
  <c r="I1189" i="1"/>
  <c r="G1189" i="1"/>
  <c r="A1189" i="1"/>
  <c r="I1188" i="1"/>
  <c r="G1188" i="1"/>
  <c r="A1188" i="1"/>
  <c r="I1187" i="1"/>
  <c r="G1187" i="1"/>
  <c r="A1187" i="1"/>
  <c r="I1186" i="1"/>
  <c r="G1186" i="1"/>
  <c r="A1186" i="1"/>
  <c r="I1185" i="1"/>
  <c r="G1185" i="1"/>
  <c r="A1185" i="1"/>
  <c r="I1184" i="1"/>
  <c r="G1184" i="1"/>
  <c r="A1184" i="1"/>
  <c r="I1183" i="1"/>
  <c r="G1183" i="1"/>
  <c r="A1183" i="1"/>
  <c r="I1182" i="1"/>
  <c r="G1182" i="1"/>
  <c r="A1182" i="1"/>
  <c r="I1181" i="1"/>
  <c r="G1181" i="1"/>
  <c r="A1181" i="1"/>
  <c r="I1180" i="1"/>
  <c r="G1180" i="1"/>
  <c r="A1180" i="1"/>
  <c r="I1179" i="1"/>
  <c r="G1179" i="1"/>
  <c r="A1179" i="1"/>
  <c r="I1178" i="1"/>
  <c r="G1178" i="1"/>
  <c r="A1178" i="1"/>
  <c r="I1177" i="1"/>
  <c r="G1177" i="1"/>
  <c r="A1177" i="1"/>
  <c r="I1176" i="1"/>
  <c r="G1176" i="1"/>
  <c r="A1176" i="1"/>
  <c r="I1175" i="1"/>
  <c r="G1175" i="1"/>
  <c r="A1175" i="1"/>
  <c r="I1174" i="1"/>
  <c r="G1174" i="1"/>
  <c r="A1174" i="1"/>
  <c r="I1173" i="1"/>
  <c r="G1173" i="1"/>
  <c r="A1173" i="1"/>
  <c r="I1172" i="1"/>
  <c r="G1172" i="1"/>
  <c r="A1172" i="1"/>
  <c r="I1171" i="1"/>
  <c r="G1171" i="1"/>
  <c r="A1171" i="1"/>
  <c r="I1170" i="1"/>
  <c r="G1170" i="1"/>
  <c r="A1170" i="1"/>
  <c r="I1169" i="1"/>
  <c r="G1169" i="1"/>
  <c r="A1169" i="1"/>
  <c r="I1168" i="1"/>
  <c r="G1168" i="1"/>
  <c r="A1168" i="1"/>
  <c r="I1167" i="1"/>
  <c r="G1167" i="1"/>
  <c r="A1167" i="1"/>
  <c r="I1166" i="1"/>
  <c r="G1166" i="1"/>
  <c r="A1166" i="1"/>
  <c r="I1165" i="1"/>
  <c r="G1165" i="1"/>
  <c r="A1165" i="1"/>
  <c r="I1164" i="1"/>
  <c r="G1164" i="1"/>
  <c r="A1164" i="1"/>
  <c r="I1163" i="1"/>
  <c r="G1163" i="1"/>
  <c r="A1163" i="1"/>
  <c r="I1162" i="1"/>
  <c r="G1162" i="1"/>
  <c r="A1162" i="1"/>
  <c r="I1161" i="1"/>
  <c r="G1161" i="1"/>
  <c r="A1161" i="1"/>
  <c r="I1160" i="1"/>
  <c r="G1160" i="1"/>
  <c r="A1160" i="1"/>
  <c r="I1159" i="1"/>
  <c r="G1159" i="1"/>
  <c r="A1159" i="1"/>
  <c r="I1158" i="1"/>
  <c r="G1158" i="1"/>
  <c r="A1158" i="1"/>
  <c r="I1157" i="1"/>
  <c r="G1157" i="1"/>
  <c r="A1157" i="1"/>
  <c r="I1156" i="1"/>
  <c r="G1156" i="1"/>
  <c r="A1156" i="1"/>
  <c r="I1155" i="1"/>
  <c r="G1155" i="1"/>
  <c r="A1155" i="1"/>
  <c r="I1154" i="1"/>
  <c r="G1154" i="1"/>
  <c r="A1154" i="1"/>
  <c r="I1153" i="1"/>
  <c r="G1153" i="1"/>
  <c r="A1153" i="1"/>
  <c r="I1152" i="1"/>
  <c r="G1152" i="1"/>
  <c r="A1152" i="1"/>
  <c r="I1151" i="1"/>
  <c r="G1151" i="1"/>
  <c r="A1151" i="1"/>
  <c r="I1150" i="1"/>
  <c r="G1150" i="1"/>
  <c r="A1150" i="1"/>
  <c r="I1149" i="1"/>
  <c r="G1149" i="1"/>
  <c r="A1149" i="1"/>
  <c r="I1148" i="1"/>
  <c r="G1148" i="1"/>
  <c r="A1148" i="1"/>
  <c r="I1147" i="1"/>
  <c r="G1147" i="1"/>
  <c r="A1147" i="1"/>
  <c r="I1146" i="1"/>
  <c r="G1146" i="1"/>
  <c r="A1146" i="1"/>
  <c r="I1145" i="1"/>
  <c r="G1145" i="1"/>
  <c r="A1145" i="1"/>
  <c r="I1144" i="1"/>
  <c r="G1144" i="1"/>
  <c r="A1144" i="1"/>
  <c r="I1143" i="1"/>
  <c r="G1143" i="1"/>
  <c r="A1143" i="1"/>
  <c r="I1142" i="1"/>
  <c r="G1142" i="1"/>
  <c r="A1142" i="1"/>
  <c r="I1141" i="1"/>
  <c r="G1141" i="1"/>
  <c r="A1141" i="1"/>
  <c r="I1140" i="1"/>
  <c r="G1140" i="1"/>
  <c r="A1140" i="1"/>
  <c r="I1139" i="1"/>
  <c r="G1139" i="1"/>
  <c r="A1139" i="1"/>
  <c r="I1138" i="1"/>
  <c r="G1138" i="1"/>
  <c r="A1138" i="1"/>
  <c r="I1137" i="1"/>
  <c r="G1137" i="1"/>
  <c r="A1137" i="1"/>
  <c r="I1136" i="1"/>
  <c r="G1136" i="1"/>
  <c r="A1136" i="1"/>
  <c r="I1135" i="1"/>
  <c r="G1135" i="1"/>
  <c r="A1135" i="1"/>
  <c r="I1134" i="1"/>
  <c r="G1134" i="1"/>
  <c r="A1134" i="1"/>
  <c r="I1133" i="1"/>
  <c r="G1133" i="1"/>
  <c r="A1133" i="1"/>
  <c r="I1132" i="1"/>
  <c r="G1132" i="1"/>
  <c r="A1132" i="1"/>
  <c r="I1131" i="1"/>
  <c r="G1131" i="1"/>
  <c r="A1131" i="1"/>
  <c r="I1130" i="1"/>
  <c r="G1130" i="1"/>
  <c r="A1130" i="1"/>
  <c r="I1129" i="1"/>
  <c r="G1129" i="1"/>
  <c r="A1129" i="1"/>
  <c r="I1128" i="1"/>
  <c r="G1128" i="1"/>
  <c r="A1128" i="1"/>
  <c r="I1127" i="1"/>
  <c r="G1127" i="1"/>
  <c r="A1127" i="1"/>
  <c r="I1126" i="1"/>
  <c r="G1126" i="1"/>
  <c r="A1126" i="1"/>
  <c r="I1125" i="1"/>
  <c r="G1125" i="1"/>
  <c r="A1125" i="1"/>
  <c r="I1124" i="1"/>
  <c r="G1124" i="1"/>
  <c r="A1124" i="1"/>
  <c r="I1123" i="1"/>
  <c r="G1123" i="1"/>
  <c r="A1123" i="1"/>
  <c r="I1122" i="1"/>
  <c r="G1122" i="1"/>
  <c r="A1122" i="1"/>
  <c r="I1121" i="1"/>
  <c r="G1121" i="1"/>
  <c r="A1121" i="1"/>
  <c r="I1120" i="1"/>
  <c r="G1120" i="1"/>
  <c r="A1120" i="1"/>
  <c r="I1119" i="1"/>
  <c r="G1119" i="1"/>
  <c r="A1119" i="1"/>
  <c r="I1118" i="1"/>
  <c r="G1118" i="1"/>
  <c r="A1118" i="1"/>
  <c r="I1117" i="1"/>
  <c r="G1117" i="1"/>
  <c r="A1117" i="1"/>
  <c r="I1116" i="1"/>
  <c r="G1116" i="1"/>
  <c r="A1116" i="1"/>
  <c r="I1115" i="1"/>
  <c r="G1115" i="1"/>
  <c r="A1115" i="1"/>
  <c r="I1114" i="1"/>
  <c r="G1114" i="1"/>
  <c r="A1114" i="1"/>
  <c r="I1113" i="1"/>
  <c r="G1113" i="1"/>
  <c r="A1113" i="1"/>
  <c r="I1112" i="1"/>
  <c r="G1112" i="1"/>
  <c r="A1112" i="1"/>
  <c r="I1111" i="1"/>
  <c r="G1111" i="1"/>
  <c r="A1111" i="1"/>
  <c r="I1110" i="1"/>
  <c r="G1110" i="1"/>
  <c r="A1110" i="1"/>
  <c r="I1109" i="1"/>
  <c r="G1109" i="1"/>
  <c r="A1109" i="1"/>
  <c r="I1108" i="1"/>
  <c r="G1108" i="1"/>
  <c r="A1108" i="1"/>
  <c r="I1107" i="1"/>
  <c r="G1107" i="1"/>
  <c r="A1107" i="1"/>
  <c r="I1106" i="1"/>
  <c r="G1106" i="1"/>
  <c r="A1106" i="1"/>
  <c r="I1105" i="1"/>
  <c r="G1105" i="1"/>
  <c r="A1105" i="1"/>
  <c r="I1104" i="1"/>
  <c r="G1104" i="1"/>
  <c r="A1104" i="1"/>
  <c r="I1103" i="1"/>
  <c r="G1103" i="1"/>
  <c r="A1103" i="1"/>
  <c r="I1102" i="1"/>
  <c r="G1102" i="1"/>
  <c r="A1102" i="1"/>
  <c r="I1101" i="1"/>
  <c r="G1101" i="1"/>
  <c r="A1101" i="1"/>
  <c r="I1100" i="1"/>
  <c r="G1100" i="1"/>
  <c r="A1100" i="1"/>
  <c r="I1099" i="1"/>
  <c r="G1099" i="1"/>
  <c r="A1099" i="1"/>
  <c r="I1098" i="1"/>
  <c r="G1098" i="1"/>
  <c r="A1098" i="1"/>
  <c r="I1097" i="1"/>
  <c r="G1097" i="1"/>
  <c r="A1097" i="1"/>
  <c r="I1096" i="1"/>
  <c r="G1096" i="1"/>
  <c r="A1096" i="1"/>
  <c r="I1095" i="1"/>
  <c r="G1095" i="1"/>
  <c r="A1095" i="1"/>
  <c r="I1094" i="1"/>
  <c r="G1094" i="1"/>
  <c r="A1094" i="1"/>
  <c r="I1093" i="1"/>
  <c r="G1093" i="1"/>
  <c r="A1093" i="1"/>
  <c r="I1092" i="1"/>
  <c r="G1092" i="1"/>
  <c r="A1092" i="1"/>
  <c r="I1091" i="1"/>
  <c r="G1091" i="1"/>
  <c r="A1091" i="1"/>
  <c r="I1090" i="1"/>
  <c r="G1090" i="1"/>
  <c r="A1090" i="1"/>
  <c r="I1089" i="1"/>
  <c r="G1089" i="1"/>
  <c r="A1089" i="1"/>
  <c r="I1088" i="1"/>
  <c r="G1088" i="1"/>
  <c r="A1088" i="1"/>
  <c r="I1087" i="1"/>
  <c r="G1087" i="1"/>
  <c r="A1087" i="1"/>
  <c r="I1086" i="1"/>
  <c r="G1086" i="1"/>
  <c r="A1086" i="1"/>
  <c r="I1085" i="1"/>
  <c r="G1085" i="1"/>
  <c r="A1085" i="1"/>
  <c r="I1084" i="1"/>
  <c r="G1084" i="1"/>
  <c r="A1084" i="1"/>
  <c r="I1083" i="1"/>
  <c r="G1083" i="1"/>
  <c r="A1083" i="1"/>
  <c r="I1082" i="1"/>
  <c r="G1082" i="1"/>
  <c r="A1082" i="1"/>
  <c r="I1081" i="1"/>
  <c r="G1081" i="1"/>
  <c r="A1081" i="1"/>
  <c r="I1080" i="1"/>
  <c r="G1080" i="1"/>
  <c r="A1080" i="1"/>
  <c r="I1079" i="1"/>
  <c r="G1079" i="1"/>
  <c r="A1079" i="1"/>
  <c r="I1078" i="1"/>
  <c r="G1078" i="1"/>
  <c r="A1078" i="1"/>
  <c r="I1077" i="1"/>
  <c r="G1077" i="1"/>
  <c r="A1077" i="1"/>
  <c r="I1076" i="1"/>
  <c r="G1076" i="1"/>
  <c r="A1076" i="1"/>
  <c r="I1075" i="1"/>
  <c r="G1075" i="1"/>
  <c r="A1075" i="1"/>
  <c r="I1074" i="1"/>
  <c r="G1074" i="1"/>
  <c r="A1074" i="1"/>
  <c r="I1073" i="1"/>
  <c r="G1073" i="1"/>
  <c r="A1073" i="1"/>
  <c r="I1072" i="1"/>
  <c r="G1072" i="1"/>
  <c r="A1072" i="1"/>
  <c r="I1071" i="1"/>
  <c r="G1071" i="1"/>
  <c r="A1071" i="1"/>
  <c r="I1070" i="1"/>
  <c r="G1070" i="1"/>
  <c r="A1070" i="1"/>
  <c r="I1069" i="1"/>
  <c r="G1069" i="1"/>
  <c r="A1069" i="1"/>
  <c r="I1068" i="1"/>
  <c r="G1068" i="1"/>
  <c r="A1068" i="1"/>
  <c r="I1067" i="1"/>
  <c r="G1067" i="1"/>
  <c r="A1067" i="1"/>
  <c r="I1066" i="1"/>
  <c r="G1066" i="1"/>
  <c r="A1066" i="1"/>
  <c r="I1065" i="1"/>
  <c r="G1065" i="1"/>
  <c r="A1065" i="1"/>
  <c r="I1064" i="1"/>
  <c r="G1064" i="1"/>
  <c r="A1064" i="1"/>
  <c r="I1063" i="1"/>
  <c r="G1063" i="1"/>
  <c r="A1063" i="1"/>
  <c r="I1062" i="1"/>
  <c r="G1062" i="1"/>
  <c r="A1062" i="1"/>
  <c r="I1061" i="1"/>
  <c r="G1061" i="1"/>
  <c r="A1061" i="1"/>
  <c r="I1060" i="1"/>
  <c r="G1060" i="1"/>
  <c r="A1060" i="1"/>
  <c r="I1059" i="1"/>
  <c r="G1059" i="1"/>
  <c r="A1059" i="1"/>
  <c r="I1058" i="1"/>
  <c r="G1058" i="1"/>
  <c r="A1058" i="1"/>
  <c r="I1057" i="1"/>
  <c r="G1057" i="1"/>
  <c r="A1057" i="1"/>
  <c r="I1056" i="1"/>
  <c r="G1056" i="1"/>
  <c r="A1056" i="1"/>
  <c r="I1055" i="1"/>
  <c r="G1055" i="1"/>
  <c r="A1055" i="1"/>
  <c r="I1054" i="1"/>
  <c r="G1054" i="1"/>
  <c r="A1054" i="1"/>
  <c r="I1053" i="1"/>
  <c r="G1053" i="1"/>
  <c r="A1053" i="1"/>
  <c r="I1052" i="1"/>
  <c r="G1052" i="1"/>
  <c r="A1052" i="1"/>
  <c r="I1051" i="1"/>
  <c r="G1051" i="1"/>
  <c r="A1051" i="1"/>
  <c r="I1050" i="1"/>
  <c r="G1050" i="1"/>
  <c r="A1050" i="1"/>
  <c r="I1049" i="1"/>
  <c r="G1049" i="1"/>
  <c r="A1049" i="1"/>
  <c r="I1048" i="1"/>
  <c r="G1048" i="1"/>
  <c r="A1048" i="1"/>
  <c r="I1047" i="1"/>
  <c r="G1047" i="1"/>
  <c r="A1047" i="1"/>
  <c r="I1046" i="1"/>
  <c r="G1046" i="1"/>
  <c r="A1046" i="1"/>
  <c r="I1045" i="1"/>
  <c r="G1045" i="1"/>
  <c r="A1045" i="1"/>
  <c r="I1044" i="1"/>
  <c r="G1044" i="1"/>
  <c r="A1044" i="1"/>
  <c r="I1043" i="1"/>
  <c r="G1043" i="1"/>
  <c r="A1043" i="1"/>
  <c r="I1042" i="1"/>
  <c r="G1042" i="1"/>
  <c r="A1042" i="1"/>
  <c r="I1041" i="1"/>
  <c r="G1041" i="1"/>
  <c r="A1041" i="1"/>
  <c r="I1040" i="1"/>
  <c r="G1040" i="1"/>
  <c r="A1040" i="1"/>
  <c r="I1039" i="1"/>
  <c r="G1039" i="1"/>
  <c r="A1039" i="1"/>
  <c r="I1038" i="1"/>
  <c r="G1038" i="1"/>
  <c r="A1038" i="1"/>
  <c r="I1037" i="1"/>
  <c r="G1037" i="1"/>
  <c r="A1037" i="1"/>
  <c r="I1036" i="1"/>
  <c r="G1036" i="1"/>
  <c r="A1036" i="1"/>
  <c r="I1035" i="1"/>
  <c r="G1035" i="1"/>
  <c r="A1035" i="1"/>
  <c r="I1034" i="1"/>
  <c r="G1034" i="1"/>
  <c r="A1034" i="1"/>
  <c r="I1033" i="1"/>
  <c r="G1033" i="1"/>
  <c r="A1033" i="1"/>
  <c r="I1032" i="1"/>
  <c r="G1032" i="1"/>
  <c r="A1032" i="1"/>
  <c r="I1031" i="1"/>
  <c r="G1031" i="1"/>
  <c r="A1031" i="1"/>
  <c r="I1030" i="1"/>
  <c r="G1030" i="1"/>
  <c r="A1030" i="1"/>
  <c r="I1029" i="1"/>
  <c r="G1029" i="1"/>
  <c r="A1029" i="1"/>
  <c r="I1028" i="1"/>
  <c r="G1028" i="1"/>
  <c r="A1028" i="1"/>
  <c r="I1027" i="1"/>
  <c r="G1027" i="1"/>
  <c r="A1027" i="1"/>
  <c r="I1026" i="1"/>
  <c r="G1026" i="1"/>
  <c r="A1026" i="1"/>
  <c r="I1025" i="1"/>
  <c r="G1025" i="1"/>
  <c r="A1025" i="1"/>
  <c r="I1024" i="1"/>
  <c r="G1024" i="1"/>
  <c r="A1024" i="1"/>
  <c r="I1023" i="1"/>
  <c r="G1023" i="1"/>
  <c r="A1023" i="1"/>
  <c r="I1022" i="1"/>
  <c r="G1022" i="1"/>
  <c r="A1022" i="1"/>
  <c r="I1021" i="1"/>
  <c r="G1021" i="1"/>
  <c r="A1021" i="1"/>
  <c r="I1020" i="1"/>
  <c r="G1020" i="1"/>
  <c r="A1020" i="1"/>
  <c r="I1019" i="1"/>
  <c r="G1019" i="1"/>
  <c r="A1019" i="1"/>
  <c r="I1018" i="1"/>
  <c r="G1018" i="1"/>
  <c r="A1018" i="1"/>
  <c r="I1017" i="1"/>
  <c r="G1017" i="1"/>
  <c r="A1017" i="1"/>
  <c r="I1016" i="1"/>
  <c r="G1016" i="1"/>
  <c r="A1016" i="1"/>
  <c r="I1015" i="1"/>
  <c r="G1015" i="1"/>
  <c r="A1015" i="1"/>
  <c r="I1014" i="1"/>
  <c r="G1014" i="1"/>
  <c r="A1014" i="1"/>
  <c r="I1013" i="1"/>
  <c r="G1013" i="1"/>
  <c r="A1013" i="1"/>
  <c r="I1012" i="1"/>
  <c r="G1012" i="1"/>
  <c r="A1012" i="1"/>
  <c r="I1011" i="1"/>
  <c r="G1011" i="1"/>
  <c r="A1011" i="1"/>
  <c r="I1010" i="1"/>
  <c r="G1010" i="1"/>
  <c r="A1010" i="1"/>
  <c r="I1009" i="1"/>
  <c r="G1009" i="1"/>
  <c r="A1009" i="1"/>
  <c r="I1008" i="1"/>
  <c r="G1008" i="1"/>
  <c r="A1008" i="1"/>
  <c r="I1007" i="1"/>
  <c r="G1007" i="1"/>
  <c r="A1007" i="1"/>
  <c r="I1006" i="1"/>
  <c r="G1006" i="1"/>
  <c r="A1006" i="1"/>
  <c r="I1005" i="1"/>
  <c r="G1005" i="1"/>
  <c r="A1005" i="1"/>
  <c r="I1004" i="1"/>
  <c r="G1004" i="1"/>
  <c r="A1004" i="1"/>
  <c r="I1003" i="1"/>
  <c r="G1003" i="1"/>
  <c r="A1003" i="1"/>
  <c r="I1002" i="1"/>
  <c r="G1002" i="1"/>
  <c r="A1002" i="1"/>
  <c r="I1001" i="1"/>
  <c r="G1001" i="1"/>
  <c r="A1001" i="1"/>
  <c r="I1000" i="1"/>
  <c r="G1000" i="1"/>
  <c r="A1000" i="1"/>
  <c r="I999" i="1"/>
  <c r="G999" i="1"/>
  <c r="A999" i="1"/>
  <c r="I998" i="1"/>
  <c r="G998" i="1"/>
  <c r="A998" i="1"/>
  <c r="I997" i="1"/>
  <c r="G997" i="1"/>
  <c r="A997" i="1"/>
  <c r="I996" i="1"/>
  <c r="G996" i="1"/>
  <c r="A996" i="1"/>
  <c r="I995" i="1"/>
  <c r="G995" i="1"/>
  <c r="A995" i="1"/>
  <c r="I994" i="1"/>
  <c r="G994" i="1"/>
  <c r="A994" i="1"/>
  <c r="I993" i="1"/>
  <c r="G993" i="1"/>
  <c r="A993" i="1"/>
  <c r="I992" i="1"/>
  <c r="G992" i="1"/>
  <c r="A992" i="1"/>
  <c r="I991" i="1"/>
  <c r="G991" i="1"/>
  <c r="A991" i="1"/>
  <c r="I990" i="1"/>
  <c r="G990" i="1"/>
  <c r="A990" i="1"/>
  <c r="I989" i="1"/>
  <c r="G989" i="1"/>
  <c r="A989" i="1"/>
  <c r="I988" i="1"/>
  <c r="G988" i="1"/>
  <c r="A988" i="1"/>
  <c r="I987" i="1"/>
  <c r="G987" i="1"/>
  <c r="A987" i="1"/>
  <c r="I986" i="1"/>
  <c r="G986" i="1"/>
  <c r="A986" i="1"/>
  <c r="I985" i="1"/>
  <c r="G985" i="1"/>
  <c r="A985" i="1"/>
  <c r="I984" i="1"/>
  <c r="G984" i="1"/>
  <c r="A984" i="1"/>
  <c r="I983" i="1"/>
  <c r="G983" i="1"/>
  <c r="A983" i="1"/>
  <c r="I982" i="1"/>
  <c r="G982" i="1"/>
  <c r="A982" i="1"/>
  <c r="I981" i="1"/>
  <c r="G981" i="1"/>
  <c r="A981" i="1"/>
  <c r="I980" i="1"/>
  <c r="G980" i="1"/>
  <c r="A980" i="1"/>
  <c r="I979" i="1"/>
  <c r="G979" i="1"/>
  <c r="A979" i="1"/>
  <c r="I978" i="1"/>
  <c r="G978" i="1"/>
  <c r="A978" i="1"/>
  <c r="I977" i="1"/>
  <c r="G977" i="1"/>
  <c r="A977" i="1"/>
  <c r="I976" i="1"/>
  <c r="G976" i="1"/>
  <c r="A976" i="1"/>
  <c r="I975" i="1"/>
  <c r="G975" i="1"/>
  <c r="A975" i="1"/>
  <c r="I974" i="1"/>
  <c r="G974" i="1"/>
  <c r="A974" i="1"/>
  <c r="I973" i="1"/>
  <c r="G973" i="1"/>
  <c r="A973" i="1"/>
  <c r="I972" i="1"/>
  <c r="G972" i="1"/>
  <c r="A972" i="1"/>
  <c r="I971" i="1"/>
  <c r="G971" i="1"/>
  <c r="A971" i="1"/>
  <c r="I970" i="1"/>
  <c r="G970" i="1"/>
  <c r="A970" i="1"/>
  <c r="I969" i="1"/>
  <c r="G969" i="1"/>
  <c r="A969" i="1"/>
  <c r="I968" i="1"/>
  <c r="G968" i="1"/>
  <c r="A968" i="1"/>
  <c r="I967" i="1"/>
  <c r="G967" i="1"/>
  <c r="A967" i="1"/>
  <c r="I966" i="1"/>
  <c r="G966" i="1"/>
  <c r="A966" i="1"/>
  <c r="I965" i="1"/>
  <c r="G965" i="1"/>
  <c r="A965" i="1"/>
  <c r="I964" i="1"/>
  <c r="G964" i="1"/>
  <c r="A964" i="1"/>
  <c r="I963" i="1"/>
  <c r="G963" i="1"/>
  <c r="A963" i="1"/>
  <c r="I962" i="1"/>
  <c r="G962" i="1"/>
  <c r="A962" i="1"/>
  <c r="I961" i="1"/>
  <c r="G961" i="1"/>
  <c r="A961" i="1"/>
  <c r="I960" i="1"/>
  <c r="G960" i="1"/>
  <c r="A960" i="1"/>
  <c r="I959" i="1"/>
  <c r="G959" i="1"/>
  <c r="A959" i="1"/>
  <c r="I958" i="1"/>
  <c r="G958" i="1"/>
  <c r="A958" i="1"/>
  <c r="I957" i="1"/>
  <c r="G957" i="1"/>
  <c r="A957" i="1"/>
  <c r="I956" i="1"/>
  <c r="G956" i="1"/>
  <c r="A956" i="1"/>
  <c r="I955" i="1"/>
  <c r="G955" i="1"/>
  <c r="A955" i="1"/>
  <c r="I954" i="1"/>
  <c r="G954" i="1"/>
  <c r="A954" i="1"/>
  <c r="I953" i="1"/>
  <c r="G953" i="1"/>
  <c r="A953" i="1"/>
  <c r="I952" i="1"/>
  <c r="G952" i="1"/>
  <c r="A952" i="1"/>
  <c r="I951" i="1"/>
  <c r="G951" i="1"/>
  <c r="A951" i="1"/>
  <c r="I950" i="1"/>
  <c r="G950" i="1"/>
  <c r="A950" i="1"/>
  <c r="I949" i="1"/>
  <c r="G949" i="1"/>
  <c r="A949" i="1"/>
  <c r="I948" i="1"/>
  <c r="G948" i="1"/>
  <c r="A948" i="1"/>
  <c r="I947" i="1"/>
  <c r="G947" i="1"/>
  <c r="A947" i="1"/>
  <c r="I946" i="1"/>
  <c r="G946" i="1"/>
  <c r="A946" i="1"/>
  <c r="I945" i="1"/>
  <c r="G945" i="1"/>
  <c r="A945" i="1"/>
  <c r="I944" i="1"/>
  <c r="G944" i="1"/>
  <c r="A944" i="1"/>
  <c r="I943" i="1"/>
  <c r="G943" i="1"/>
  <c r="A943" i="1"/>
  <c r="I942" i="1"/>
  <c r="G942" i="1"/>
  <c r="A942" i="1"/>
  <c r="I941" i="1"/>
  <c r="G941" i="1"/>
  <c r="A941" i="1"/>
  <c r="I940" i="1"/>
  <c r="G940" i="1"/>
  <c r="A940" i="1"/>
  <c r="I939" i="1"/>
  <c r="G939" i="1"/>
  <c r="A939" i="1"/>
  <c r="I938" i="1"/>
  <c r="G938" i="1"/>
  <c r="A938" i="1"/>
  <c r="I937" i="1"/>
  <c r="G937" i="1"/>
  <c r="A937" i="1"/>
  <c r="I936" i="1"/>
  <c r="G936" i="1"/>
  <c r="A936" i="1"/>
  <c r="I935" i="1"/>
  <c r="G935" i="1"/>
  <c r="A935" i="1"/>
  <c r="I934" i="1"/>
  <c r="G934" i="1"/>
  <c r="A934" i="1"/>
  <c r="I933" i="1"/>
  <c r="G933" i="1"/>
  <c r="A933" i="1"/>
  <c r="I932" i="1"/>
  <c r="G932" i="1"/>
  <c r="A932" i="1"/>
  <c r="I931" i="1"/>
  <c r="G931" i="1"/>
  <c r="A931" i="1"/>
  <c r="I930" i="1"/>
  <c r="G930" i="1"/>
  <c r="A930" i="1"/>
  <c r="I929" i="1"/>
  <c r="G929" i="1"/>
  <c r="A929" i="1"/>
  <c r="I928" i="1"/>
  <c r="G928" i="1"/>
  <c r="A928" i="1"/>
  <c r="I927" i="1"/>
  <c r="G927" i="1"/>
  <c r="A927" i="1"/>
  <c r="I926" i="1"/>
  <c r="G926" i="1"/>
  <c r="A926" i="1"/>
  <c r="I925" i="1"/>
  <c r="G925" i="1"/>
  <c r="A925" i="1"/>
  <c r="I924" i="1"/>
  <c r="G924" i="1"/>
  <c r="A924" i="1"/>
  <c r="I923" i="1"/>
  <c r="G923" i="1"/>
  <c r="A923" i="1"/>
  <c r="I922" i="1"/>
  <c r="G922" i="1"/>
  <c r="A922" i="1"/>
  <c r="I921" i="1"/>
  <c r="G921" i="1"/>
  <c r="A921" i="1"/>
  <c r="I920" i="1"/>
  <c r="G920" i="1"/>
  <c r="A920" i="1"/>
  <c r="I919" i="1"/>
  <c r="G919" i="1"/>
  <c r="A919" i="1"/>
  <c r="I918" i="1"/>
  <c r="G918" i="1"/>
  <c r="A918" i="1"/>
  <c r="I917" i="1"/>
  <c r="G917" i="1"/>
  <c r="A917" i="1"/>
  <c r="I916" i="1"/>
  <c r="G916" i="1"/>
  <c r="A916" i="1"/>
  <c r="I915" i="1"/>
  <c r="G915" i="1"/>
  <c r="A915" i="1"/>
  <c r="I914" i="1"/>
  <c r="G914" i="1"/>
  <c r="A914" i="1"/>
  <c r="I913" i="1"/>
  <c r="G913" i="1"/>
  <c r="A913" i="1"/>
  <c r="I912" i="1"/>
  <c r="G912" i="1"/>
  <c r="A912" i="1"/>
  <c r="I911" i="1"/>
  <c r="G911" i="1"/>
  <c r="A911" i="1"/>
  <c r="I910" i="1"/>
  <c r="G910" i="1"/>
  <c r="A910" i="1"/>
  <c r="I909" i="1"/>
  <c r="G909" i="1"/>
  <c r="A909" i="1"/>
  <c r="I908" i="1"/>
  <c r="G908" i="1"/>
  <c r="A908" i="1"/>
  <c r="I907" i="1"/>
  <c r="G907" i="1"/>
  <c r="A907" i="1"/>
  <c r="I906" i="1"/>
  <c r="G906" i="1"/>
  <c r="A906" i="1"/>
  <c r="I905" i="1"/>
  <c r="G905" i="1"/>
  <c r="A905" i="1"/>
  <c r="I904" i="1"/>
  <c r="G904" i="1"/>
  <c r="A904" i="1"/>
  <c r="I903" i="1"/>
  <c r="G903" i="1"/>
  <c r="A903" i="1"/>
  <c r="I902" i="1"/>
  <c r="G902" i="1"/>
  <c r="A902" i="1"/>
  <c r="I901" i="1"/>
  <c r="G901" i="1"/>
  <c r="A901" i="1"/>
  <c r="I900" i="1"/>
  <c r="G900" i="1"/>
  <c r="A900" i="1"/>
  <c r="I899" i="1"/>
  <c r="G899" i="1"/>
  <c r="A899" i="1"/>
  <c r="I898" i="1"/>
  <c r="G898" i="1"/>
  <c r="A898" i="1"/>
  <c r="I897" i="1"/>
  <c r="G897" i="1"/>
  <c r="A897" i="1"/>
  <c r="I896" i="1"/>
  <c r="G896" i="1"/>
  <c r="A896" i="1"/>
  <c r="I895" i="1"/>
  <c r="G895" i="1"/>
  <c r="A895" i="1"/>
  <c r="I894" i="1"/>
  <c r="G894" i="1"/>
  <c r="A894" i="1"/>
  <c r="I893" i="1"/>
  <c r="G893" i="1"/>
  <c r="A893" i="1"/>
  <c r="I892" i="1"/>
  <c r="G892" i="1"/>
  <c r="A892" i="1"/>
  <c r="I891" i="1"/>
  <c r="G891" i="1"/>
  <c r="A891" i="1"/>
  <c r="I890" i="1"/>
  <c r="G890" i="1"/>
  <c r="A890" i="1"/>
  <c r="I889" i="1"/>
  <c r="G889" i="1"/>
  <c r="A889" i="1"/>
  <c r="I888" i="1"/>
  <c r="G888" i="1"/>
  <c r="A888" i="1"/>
  <c r="I887" i="1"/>
  <c r="G887" i="1"/>
  <c r="A887" i="1"/>
  <c r="I886" i="1"/>
  <c r="G886" i="1"/>
  <c r="A886" i="1"/>
  <c r="I885" i="1"/>
  <c r="G885" i="1"/>
  <c r="A885" i="1"/>
  <c r="I884" i="1"/>
  <c r="G884" i="1"/>
  <c r="A884" i="1"/>
  <c r="I883" i="1"/>
  <c r="G883" i="1"/>
  <c r="A883" i="1"/>
  <c r="I882" i="1"/>
  <c r="G882" i="1"/>
  <c r="A882" i="1"/>
  <c r="I881" i="1"/>
  <c r="G881" i="1"/>
  <c r="A881" i="1"/>
  <c r="I880" i="1"/>
  <c r="G880" i="1"/>
  <c r="A880" i="1"/>
  <c r="I879" i="1"/>
  <c r="G879" i="1"/>
  <c r="A879" i="1"/>
  <c r="I878" i="1"/>
  <c r="G878" i="1"/>
  <c r="A878" i="1"/>
  <c r="I877" i="1"/>
  <c r="G877" i="1"/>
  <c r="A877" i="1"/>
  <c r="I876" i="1"/>
  <c r="G876" i="1"/>
  <c r="A876" i="1"/>
  <c r="I875" i="1"/>
  <c r="G875" i="1"/>
  <c r="A875" i="1"/>
  <c r="I874" i="1"/>
  <c r="G874" i="1"/>
  <c r="A874" i="1"/>
  <c r="I873" i="1"/>
  <c r="G873" i="1"/>
  <c r="A873" i="1"/>
  <c r="I872" i="1"/>
  <c r="G872" i="1"/>
  <c r="A872" i="1"/>
  <c r="I871" i="1"/>
  <c r="G871" i="1"/>
  <c r="A871" i="1"/>
  <c r="I870" i="1"/>
  <c r="G870" i="1"/>
  <c r="A870" i="1"/>
  <c r="I869" i="1"/>
  <c r="G869" i="1"/>
  <c r="A869" i="1"/>
  <c r="I868" i="1"/>
  <c r="G868" i="1"/>
  <c r="A868" i="1"/>
  <c r="I867" i="1"/>
  <c r="G867" i="1"/>
  <c r="A867" i="1"/>
  <c r="I866" i="1"/>
  <c r="G866" i="1"/>
  <c r="A866" i="1"/>
  <c r="I865" i="1"/>
  <c r="G865" i="1"/>
  <c r="A865" i="1"/>
  <c r="I864" i="1"/>
  <c r="G864" i="1"/>
  <c r="A864" i="1"/>
  <c r="I863" i="1"/>
  <c r="G863" i="1"/>
  <c r="A863" i="1"/>
  <c r="I862" i="1"/>
  <c r="G862" i="1"/>
  <c r="A862" i="1"/>
  <c r="I861" i="1"/>
  <c r="G861" i="1"/>
  <c r="A861" i="1"/>
  <c r="I860" i="1"/>
  <c r="G860" i="1"/>
  <c r="A860" i="1"/>
  <c r="I859" i="1"/>
  <c r="G859" i="1"/>
  <c r="A859" i="1"/>
  <c r="I858" i="1"/>
  <c r="G858" i="1"/>
  <c r="A858" i="1"/>
  <c r="I857" i="1"/>
  <c r="G857" i="1"/>
  <c r="A857" i="1"/>
  <c r="I856" i="1"/>
  <c r="G856" i="1"/>
  <c r="A856" i="1"/>
  <c r="I855" i="1"/>
  <c r="G855" i="1"/>
  <c r="A855" i="1"/>
  <c r="I854" i="1"/>
  <c r="G854" i="1"/>
  <c r="A854" i="1"/>
  <c r="I853" i="1"/>
  <c r="G853" i="1"/>
  <c r="A853" i="1"/>
  <c r="I852" i="1"/>
  <c r="G852" i="1"/>
  <c r="A852" i="1"/>
  <c r="I851" i="1"/>
  <c r="G851" i="1"/>
  <c r="A851" i="1"/>
  <c r="I850" i="1"/>
  <c r="G850" i="1"/>
  <c r="A850" i="1"/>
  <c r="I849" i="1"/>
  <c r="G849" i="1"/>
  <c r="A849" i="1"/>
  <c r="I848" i="1"/>
  <c r="G848" i="1"/>
  <c r="A848" i="1"/>
  <c r="I847" i="1"/>
  <c r="G847" i="1"/>
  <c r="A847" i="1"/>
  <c r="I846" i="1"/>
  <c r="G846" i="1"/>
  <c r="A846" i="1"/>
  <c r="I845" i="1"/>
  <c r="G845" i="1"/>
  <c r="A845" i="1"/>
  <c r="I844" i="1"/>
  <c r="G844" i="1"/>
  <c r="A844" i="1"/>
  <c r="I843" i="1"/>
  <c r="G843" i="1"/>
  <c r="A843" i="1"/>
  <c r="I842" i="1"/>
  <c r="G842" i="1"/>
  <c r="A842" i="1"/>
  <c r="I841" i="1"/>
  <c r="G841" i="1"/>
  <c r="A841" i="1"/>
  <c r="I840" i="1"/>
  <c r="G840" i="1"/>
  <c r="A840" i="1"/>
  <c r="I839" i="1"/>
  <c r="G839" i="1"/>
  <c r="A839" i="1"/>
  <c r="I838" i="1"/>
  <c r="G838" i="1"/>
  <c r="A838" i="1"/>
  <c r="I837" i="1"/>
  <c r="G837" i="1"/>
  <c r="A837" i="1"/>
  <c r="I836" i="1"/>
  <c r="G836" i="1"/>
  <c r="A836" i="1"/>
  <c r="I835" i="1"/>
  <c r="G835" i="1"/>
  <c r="A835" i="1"/>
  <c r="I834" i="1"/>
  <c r="G834" i="1"/>
  <c r="A834" i="1"/>
  <c r="I833" i="1"/>
  <c r="G833" i="1"/>
  <c r="A833" i="1"/>
  <c r="I832" i="1"/>
  <c r="G832" i="1"/>
  <c r="A832" i="1"/>
  <c r="I831" i="1"/>
  <c r="G831" i="1"/>
  <c r="A831" i="1"/>
  <c r="I830" i="1"/>
  <c r="G830" i="1"/>
  <c r="A830" i="1"/>
  <c r="I829" i="1"/>
  <c r="G829" i="1"/>
  <c r="A829" i="1"/>
  <c r="I828" i="1"/>
  <c r="G828" i="1"/>
  <c r="A828" i="1"/>
  <c r="I827" i="1"/>
  <c r="G827" i="1"/>
  <c r="A827" i="1"/>
  <c r="I826" i="1"/>
  <c r="G826" i="1"/>
  <c r="A826" i="1"/>
  <c r="I825" i="1"/>
  <c r="G825" i="1"/>
  <c r="A825" i="1"/>
  <c r="I824" i="1"/>
  <c r="G824" i="1"/>
  <c r="A824" i="1"/>
  <c r="I823" i="1"/>
  <c r="G823" i="1"/>
  <c r="A823" i="1"/>
  <c r="I822" i="1"/>
  <c r="G822" i="1"/>
  <c r="A822" i="1"/>
  <c r="I821" i="1"/>
  <c r="G821" i="1"/>
  <c r="A821" i="1"/>
  <c r="I820" i="1"/>
  <c r="G820" i="1"/>
  <c r="A820" i="1"/>
  <c r="I819" i="1"/>
  <c r="G819" i="1"/>
  <c r="A819" i="1"/>
  <c r="I818" i="1"/>
  <c r="G818" i="1"/>
  <c r="A818" i="1"/>
  <c r="I817" i="1"/>
  <c r="G817" i="1"/>
  <c r="A817" i="1"/>
  <c r="I816" i="1"/>
  <c r="G816" i="1"/>
  <c r="A816" i="1"/>
  <c r="I815" i="1"/>
  <c r="G815" i="1"/>
  <c r="A815" i="1"/>
  <c r="I814" i="1"/>
  <c r="G814" i="1"/>
  <c r="A814" i="1"/>
  <c r="I813" i="1"/>
  <c r="G813" i="1"/>
  <c r="A813" i="1"/>
  <c r="I812" i="1"/>
  <c r="G812" i="1"/>
  <c r="A812" i="1"/>
  <c r="I811" i="1"/>
  <c r="G811" i="1"/>
  <c r="A811" i="1"/>
  <c r="I810" i="1"/>
  <c r="G810" i="1"/>
  <c r="A810" i="1"/>
  <c r="I809" i="1"/>
  <c r="G809" i="1"/>
  <c r="A809" i="1"/>
  <c r="I808" i="1"/>
  <c r="G808" i="1"/>
  <c r="A808" i="1"/>
  <c r="I807" i="1"/>
  <c r="G807" i="1"/>
  <c r="A807" i="1"/>
  <c r="I806" i="1"/>
  <c r="G806" i="1"/>
  <c r="A806" i="1"/>
  <c r="I805" i="1"/>
  <c r="G805" i="1"/>
  <c r="A805" i="1"/>
  <c r="I804" i="1"/>
  <c r="G804" i="1"/>
  <c r="A804" i="1"/>
  <c r="I803" i="1"/>
  <c r="G803" i="1"/>
  <c r="A803" i="1"/>
  <c r="I802" i="1"/>
  <c r="G802" i="1"/>
  <c r="A802" i="1"/>
  <c r="I801" i="1"/>
  <c r="G801" i="1"/>
  <c r="A801" i="1"/>
  <c r="I800" i="1"/>
  <c r="G800" i="1"/>
  <c r="A800" i="1"/>
  <c r="I799" i="1"/>
  <c r="G799" i="1"/>
  <c r="A799" i="1"/>
  <c r="I798" i="1"/>
  <c r="G798" i="1"/>
  <c r="A798" i="1"/>
  <c r="I797" i="1"/>
  <c r="G797" i="1"/>
  <c r="A797" i="1"/>
  <c r="I796" i="1"/>
  <c r="G796" i="1"/>
  <c r="A796" i="1"/>
  <c r="I795" i="1"/>
  <c r="G795" i="1"/>
  <c r="A795" i="1"/>
  <c r="I794" i="1"/>
  <c r="G794" i="1"/>
  <c r="A794" i="1"/>
  <c r="I793" i="1"/>
  <c r="G793" i="1"/>
  <c r="A793" i="1"/>
  <c r="I792" i="1"/>
  <c r="G792" i="1"/>
  <c r="A792" i="1"/>
  <c r="I791" i="1"/>
  <c r="G791" i="1"/>
  <c r="A791" i="1"/>
  <c r="I790" i="1"/>
  <c r="G790" i="1"/>
  <c r="A790" i="1"/>
  <c r="I789" i="1"/>
  <c r="G789" i="1"/>
  <c r="A789" i="1"/>
  <c r="I788" i="1"/>
  <c r="G788" i="1"/>
  <c r="A788" i="1"/>
  <c r="I787" i="1"/>
  <c r="G787" i="1"/>
  <c r="A787" i="1"/>
  <c r="I786" i="1"/>
  <c r="G786" i="1"/>
  <c r="A786" i="1"/>
  <c r="I785" i="1"/>
  <c r="G785" i="1"/>
  <c r="A785" i="1"/>
  <c r="I784" i="1"/>
  <c r="G784" i="1"/>
  <c r="A784" i="1"/>
  <c r="I783" i="1"/>
  <c r="G783" i="1"/>
  <c r="A783" i="1"/>
  <c r="I782" i="1"/>
  <c r="G782" i="1"/>
  <c r="A782" i="1"/>
  <c r="I781" i="1"/>
  <c r="G781" i="1"/>
  <c r="A781" i="1"/>
  <c r="I780" i="1"/>
  <c r="G780" i="1"/>
  <c r="A780" i="1"/>
  <c r="I779" i="1"/>
  <c r="G779" i="1"/>
  <c r="A779" i="1"/>
  <c r="I778" i="1"/>
  <c r="G778" i="1"/>
  <c r="A778" i="1"/>
  <c r="I777" i="1"/>
  <c r="G777" i="1"/>
  <c r="A777" i="1"/>
  <c r="I776" i="1"/>
  <c r="G776" i="1"/>
  <c r="A776" i="1"/>
  <c r="I775" i="1"/>
  <c r="G775" i="1"/>
  <c r="A775" i="1"/>
  <c r="I774" i="1"/>
  <c r="G774" i="1"/>
  <c r="A774" i="1"/>
  <c r="I773" i="1"/>
  <c r="G773" i="1"/>
  <c r="A773" i="1"/>
  <c r="I772" i="1"/>
  <c r="G772" i="1"/>
  <c r="A772" i="1"/>
  <c r="I771" i="1"/>
  <c r="G771" i="1"/>
  <c r="A771" i="1"/>
  <c r="I770" i="1"/>
  <c r="G770" i="1"/>
  <c r="A770" i="1"/>
  <c r="I769" i="1"/>
  <c r="G769" i="1"/>
  <c r="A769" i="1"/>
  <c r="I768" i="1"/>
  <c r="G768" i="1"/>
  <c r="A768" i="1"/>
  <c r="I767" i="1"/>
  <c r="G767" i="1"/>
  <c r="A767" i="1"/>
  <c r="I766" i="1"/>
  <c r="G766" i="1"/>
  <c r="A766" i="1"/>
  <c r="I765" i="1"/>
  <c r="G765" i="1"/>
  <c r="A765" i="1"/>
  <c r="I764" i="1"/>
  <c r="G764" i="1"/>
  <c r="A764" i="1"/>
  <c r="I763" i="1"/>
  <c r="G763" i="1"/>
  <c r="A763" i="1"/>
  <c r="I762" i="1"/>
  <c r="G762" i="1"/>
  <c r="A762" i="1"/>
  <c r="I761" i="1"/>
  <c r="G761" i="1"/>
  <c r="A761" i="1"/>
  <c r="I760" i="1"/>
  <c r="G760" i="1"/>
  <c r="A760" i="1"/>
  <c r="I759" i="1"/>
  <c r="G759" i="1"/>
  <c r="A759" i="1"/>
  <c r="I758" i="1"/>
  <c r="G758" i="1"/>
  <c r="A758" i="1"/>
  <c r="I757" i="1"/>
  <c r="G757" i="1"/>
  <c r="A757" i="1"/>
  <c r="I756" i="1"/>
  <c r="G756" i="1"/>
  <c r="A756" i="1"/>
  <c r="I755" i="1"/>
  <c r="G755" i="1"/>
  <c r="A755" i="1"/>
  <c r="I754" i="1"/>
  <c r="G754" i="1"/>
  <c r="A754" i="1"/>
  <c r="I753" i="1"/>
  <c r="G753" i="1"/>
  <c r="A753" i="1"/>
  <c r="I752" i="1"/>
  <c r="G752" i="1"/>
  <c r="A752" i="1"/>
  <c r="I751" i="1"/>
  <c r="G751" i="1"/>
  <c r="A751" i="1"/>
  <c r="I750" i="1"/>
  <c r="G750" i="1"/>
  <c r="A750" i="1"/>
  <c r="I749" i="1"/>
  <c r="G749" i="1"/>
  <c r="A749" i="1"/>
  <c r="I748" i="1"/>
  <c r="G748" i="1"/>
  <c r="A748" i="1"/>
  <c r="I747" i="1"/>
  <c r="G747" i="1"/>
  <c r="A747" i="1"/>
  <c r="I746" i="1"/>
  <c r="G746" i="1"/>
  <c r="A746" i="1"/>
  <c r="I745" i="1"/>
  <c r="G745" i="1"/>
  <c r="A745" i="1"/>
  <c r="I744" i="1"/>
  <c r="G744" i="1"/>
  <c r="A744" i="1"/>
  <c r="I743" i="1"/>
  <c r="G743" i="1"/>
  <c r="A743" i="1"/>
  <c r="I742" i="1"/>
  <c r="G742" i="1"/>
  <c r="A742" i="1"/>
  <c r="I741" i="1"/>
  <c r="G741" i="1"/>
  <c r="A741" i="1"/>
  <c r="I740" i="1"/>
  <c r="G740" i="1"/>
  <c r="A740" i="1"/>
  <c r="I739" i="1"/>
  <c r="G739" i="1"/>
  <c r="A739" i="1"/>
  <c r="I738" i="1"/>
  <c r="G738" i="1"/>
  <c r="A738" i="1"/>
  <c r="I737" i="1"/>
  <c r="G737" i="1"/>
  <c r="A737" i="1"/>
  <c r="I736" i="1"/>
  <c r="G736" i="1"/>
  <c r="A736" i="1"/>
  <c r="I735" i="1"/>
  <c r="G735" i="1"/>
  <c r="A735" i="1"/>
  <c r="I734" i="1"/>
  <c r="G734" i="1"/>
  <c r="A734" i="1"/>
  <c r="I733" i="1"/>
  <c r="G733" i="1"/>
  <c r="A733" i="1"/>
  <c r="I732" i="1"/>
  <c r="G732" i="1"/>
  <c r="A732" i="1"/>
  <c r="I731" i="1"/>
  <c r="G731" i="1"/>
  <c r="A731" i="1"/>
  <c r="I730" i="1"/>
  <c r="G730" i="1"/>
  <c r="A730" i="1"/>
  <c r="I729" i="1"/>
  <c r="G729" i="1"/>
  <c r="A729" i="1"/>
  <c r="I728" i="1"/>
  <c r="G728" i="1"/>
  <c r="A728" i="1"/>
  <c r="I727" i="1"/>
  <c r="G727" i="1"/>
  <c r="A727" i="1"/>
  <c r="I726" i="1"/>
  <c r="G726" i="1"/>
  <c r="A726" i="1"/>
  <c r="I725" i="1"/>
  <c r="G725" i="1"/>
  <c r="A725" i="1"/>
  <c r="I724" i="1"/>
  <c r="G724" i="1"/>
  <c r="A724" i="1"/>
  <c r="I723" i="1"/>
  <c r="G723" i="1"/>
  <c r="A723" i="1"/>
  <c r="I722" i="1"/>
  <c r="G722" i="1"/>
  <c r="A722" i="1"/>
  <c r="I721" i="1"/>
  <c r="G721" i="1"/>
  <c r="A721" i="1"/>
  <c r="I720" i="1"/>
  <c r="G720" i="1"/>
  <c r="A720" i="1"/>
  <c r="I719" i="1"/>
  <c r="G719" i="1"/>
  <c r="A719" i="1"/>
  <c r="I718" i="1"/>
  <c r="G718" i="1"/>
  <c r="A718" i="1"/>
  <c r="I717" i="1"/>
  <c r="G717" i="1"/>
  <c r="A717" i="1"/>
  <c r="I716" i="1"/>
  <c r="G716" i="1"/>
  <c r="A716" i="1"/>
  <c r="I715" i="1"/>
  <c r="G715" i="1"/>
  <c r="A715" i="1"/>
  <c r="I714" i="1"/>
  <c r="G714" i="1"/>
  <c r="A714" i="1"/>
  <c r="I713" i="1"/>
  <c r="G713" i="1"/>
  <c r="A713" i="1"/>
  <c r="I712" i="1"/>
  <c r="G712" i="1"/>
  <c r="A712" i="1"/>
  <c r="I711" i="1"/>
  <c r="G711" i="1"/>
  <c r="A711" i="1"/>
  <c r="I710" i="1"/>
  <c r="G710" i="1"/>
  <c r="A710" i="1"/>
  <c r="I709" i="1"/>
  <c r="G709" i="1"/>
  <c r="A709" i="1"/>
  <c r="I708" i="1"/>
  <c r="G708" i="1"/>
  <c r="A708" i="1"/>
  <c r="I707" i="1"/>
  <c r="G707" i="1"/>
  <c r="A707" i="1"/>
  <c r="I706" i="1"/>
  <c r="G706" i="1"/>
  <c r="A706" i="1"/>
  <c r="I705" i="1"/>
  <c r="G705" i="1"/>
  <c r="A705" i="1"/>
  <c r="I704" i="1"/>
  <c r="G704" i="1"/>
  <c r="A704" i="1"/>
  <c r="I703" i="1"/>
  <c r="G703" i="1"/>
  <c r="A703" i="1"/>
  <c r="I702" i="1"/>
  <c r="G702" i="1"/>
  <c r="A702" i="1"/>
  <c r="I701" i="1"/>
  <c r="G701" i="1"/>
  <c r="A701" i="1"/>
  <c r="I700" i="1"/>
  <c r="G700" i="1"/>
  <c r="A700" i="1"/>
  <c r="I699" i="1"/>
  <c r="G699" i="1"/>
  <c r="A699" i="1"/>
  <c r="I698" i="1"/>
  <c r="G698" i="1"/>
  <c r="A698" i="1"/>
  <c r="I697" i="1"/>
  <c r="G697" i="1"/>
  <c r="A697" i="1"/>
  <c r="I696" i="1"/>
  <c r="G696" i="1"/>
  <c r="A696" i="1"/>
  <c r="I695" i="1"/>
  <c r="G695" i="1"/>
  <c r="A695" i="1"/>
  <c r="I694" i="1"/>
  <c r="G694" i="1"/>
  <c r="A694" i="1"/>
  <c r="I693" i="1"/>
  <c r="G693" i="1"/>
  <c r="A693" i="1"/>
  <c r="I692" i="1"/>
  <c r="G692" i="1"/>
  <c r="A692" i="1"/>
  <c r="I691" i="1"/>
  <c r="G691" i="1"/>
  <c r="A691" i="1"/>
  <c r="I690" i="1"/>
  <c r="G690" i="1"/>
  <c r="A690" i="1"/>
  <c r="I689" i="1"/>
  <c r="G689" i="1"/>
  <c r="A689" i="1"/>
  <c r="I688" i="1"/>
  <c r="G688" i="1"/>
  <c r="A688" i="1"/>
  <c r="I687" i="1"/>
  <c r="G687" i="1"/>
  <c r="A687" i="1"/>
  <c r="I686" i="1"/>
  <c r="G686" i="1"/>
  <c r="A686" i="1"/>
  <c r="I685" i="1"/>
  <c r="G685" i="1"/>
  <c r="A685" i="1"/>
  <c r="I684" i="1"/>
  <c r="G684" i="1"/>
  <c r="A684" i="1"/>
  <c r="I683" i="1"/>
  <c r="G683" i="1"/>
  <c r="A683" i="1"/>
  <c r="I682" i="1"/>
  <c r="G682" i="1"/>
  <c r="A682" i="1"/>
  <c r="I681" i="1"/>
  <c r="G681" i="1"/>
  <c r="A681" i="1"/>
  <c r="I680" i="1"/>
  <c r="G680" i="1"/>
  <c r="A680" i="1"/>
  <c r="I679" i="1"/>
  <c r="G679" i="1"/>
  <c r="A679" i="1"/>
  <c r="I678" i="1"/>
  <c r="G678" i="1"/>
  <c r="A678" i="1"/>
  <c r="I677" i="1"/>
  <c r="G677" i="1"/>
  <c r="A677" i="1"/>
  <c r="I676" i="1"/>
  <c r="G676" i="1"/>
  <c r="A676" i="1"/>
  <c r="I675" i="1"/>
  <c r="G675" i="1"/>
  <c r="A675" i="1"/>
  <c r="I674" i="1"/>
  <c r="G674" i="1"/>
  <c r="A674" i="1"/>
  <c r="I673" i="1"/>
  <c r="G673" i="1"/>
  <c r="A673" i="1"/>
  <c r="I672" i="1"/>
  <c r="G672" i="1"/>
  <c r="A672" i="1"/>
  <c r="I671" i="1"/>
  <c r="G671" i="1"/>
  <c r="A671" i="1"/>
  <c r="I670" i="1"/>
  <c r="G670" i="1"/>
  <c r="A670" i="1"/>
  <c r="I669" i="1"/>
  <c r="G669" i="1"/>
  <c r="A669" i="1"/>
  <c r="I668" i="1"/>
  <c r="G668" i="1"/>
  <c r="A668" i="1"/>
  <c r="I667" i="1"/>
  <c r="G667" i="1"/>
  <c r="A667" i="1"/>
  <c r="I666" i="1"/>
  <c r="G666" i="1"/>
  <c r="A666" i="1"/>
  <c r="I665" i="1"/>
  <c r="G665" i="1"/>
  <c r="A665" i="1"/>
  <c r="I664" i="1"/>
  <c r="G664" i="1"/>
  <c r="A664" i="1"/>
  <c r="I663" i="1"/>
  <c r="G663" i="1"/>
  <c r="A663" i="1"/>
  <c r="I662" i="1"/>
  <c r="G662" i="1"/>
  <c r="A662" i="1"/>
  <c r="I661" i="1"/>
  <c r="G661" i="1"/>
  <c r="A661" i="1"/>
  <c r="I660" i="1"/>
  <c r="G660" i="1"/>
  <c r="A660" i="1"/>
  <c r="I659" i="1"/>
  <c r="G659" i="1"/>
  <c r="A659" i="1"/>
  <c r="I658" i="1"/>
  <c r="G658" i="1"/>
  <c r="A658" i="1"/>
  <c r="I657" i="1"/>
  <c r="G657" i="1"/>
  <c r="A657" i="1"/>
  <c r="I656" i="1"/>
  <c r="G656" i="1"/>
  <c r="A656" i="1"/>
  <c r="I655" i="1"/>
  <c r="G655" i="1"/>
  <c r="A655" i="1"/>
  <c r="I654" i="1"/>
  <c r="G654" i="1"/>
  <c r="A654" i="1"/>
  <c r="I653" i="1"/>
  <c r="G653" i="1"/>
  <c r="A653" i="1"/>
  <c r="I652" i="1"/>
  <c r="G652" i="1"/>
  <c r="A652" i="1"/>
  <c r="I651" i="1"/>
  <c r="G651" i="1"/>
  <c r="A651" i="1"/>
  <c r="I650" i="1"/>
  <c r="G650" i="1"/>
  <c r="A650" i="1"/>
  <c r="I649" i="1"/>
  <c r="G649" i="1"/>
  <c r="A649" i="1"/>
  <c r="I648" i="1"/>
  <c r="G648" i="1"/>
  <c r="A648" i="1"/>
  <c r="I647" i="1"/>
  <c r="G647" i="1"/>
  <c r="A647" i="1"/>
  <c r="I646" i="1"/>
  <c r="G646" i="1"/>
  <c r="A646" i="1"/>
  <c r="I645" i="1"/>
  <c r="G645" i="1"/>
  <c r="A645" i="1"/>
  <c r="I644" i="1"/>
  <c r="G644" i="1"/>
  <c r="A644" i="1"/>
  <c r="I643" i="1"/>
  <c r="G643" i="1"/>
  <c r="A643" i="1"/>
  <c r="I642" i="1"/>
  <c r="G642" i="1"/>
  <c r="A642" i="1"/>
  <c r="I641" i="1"/>
  <c r="G641" i="1"/>
  <c r="A641" i="1"/>
  <c r="I640" i="1"/>
  <c r="G640" i="1"/>
  <c r="A640" i="1"/>
  <c r="I639" i="1"/>
  <c r="G639" i="1"/>
  <c r="A639" i="1"/>
  <c r="I638" i="1"/>
  <c r="G638" i="1"/>
  <c r="A638" i="1"/>
  <c r="I637" i="1"/>
  <c r="G637" i="1"/>
  <c r="A637" i="1"/>
  <c r="I636" i="1"/>
  <c r="G636" i="1"/>
  <c r="A636" i="1"/>
  <c r="I635" i="1"/>
  <c r="G635" i="1"/>
  <c r="A635" i="1"/>
  <c r="I634" i="1"/>
  <c r="G634" i="1"/>
  <c r="A634" i="1"/>
  <c r="I633" i="1"/>
  <c r="G633" i="1"/>
  <c r="A633" i="1"/>
  <c r="I632" i="1"/>
  <c r="G632" i="1"/>
  <c r="A632" i="1"/>
  <c r="I631" i="1"/>
  <c r="G631" i="1"/>
  <c r="A631" i="1"/>
  <c r="I630" i="1"/>
  <c r="G630" i="1"/>
  <c r="A630" i="1"/>
  <c r="I629" i="1"/>
  <c r="G629" i="1"/>
  <c r="A629" i="1"/>
  <c r="I628" i="1"/>
  <c r="G628" i="1"/>
  <c r="A628" i="1"/>
  <c r="I627" i="1"/>
  <c r="G627" i="1"/>
  <c r="A627" i="1"/>
  <c r="I626" i="1"/>
  <c r="G626" i="1"/>
  <c r="A626" i="1"/>
  <c r="I625" i="1"/>
  <c r="G625" i="1"/>
  <c r="A625" i="1"/>
  <c r="I624" i="1"/>
  <c r="G624" i="1"/>
  <c r="A624" i="1"/>
  <c r="I623" i="1"/>
  <c r="G623" i="1"/>
  <c r="A623" i="1"/>
  <c r="I622" i="1"/>
  <c r="G622" i="1"/>
  <c r="A622" i="1"/>
  <c r="I621" i="1"/>
  <c r="G621" i="1"/>
  <c r="A621" i="1"/>
  <c r="I620" i="1"/>
  <c r="G620" i="1"/>
  <c r="A620" i="1"/>
  <c r="I619" i="1"/>
  <c r="G619" i="1"/>
  <c r="A619" i="1"/>
  <c r="I618" i="1"/>
  <c r="G618" i="1"/>
  <c r="A618" i="1"/>
  <c r="I617" i="1"/>
  <c r="G617" i="1"/>
  <c r="A617" i="1"/>
  <c r="I616" i="1"/>
  <c r="G616" i="1"/>
  <c r="A616" i="1"/>
  <c r="I615" i="1"/>
  <c r="G615" i="1"/>
  <c r="A615" i="1"/>
  <c r="I614" i="1"/>
  <c r="G614" i="1"/>
  <c r="A614" i="1"/>
  <c r="I613" i="1"/>
  <c r="G613" i="1"/>
  <c r="A613" i="1"/>
  <c r="I612" i="1"/>
  <c r="G612" i="1"/>
  <c r="A612" i="1"/>
  <c r="I611" i="1"/>
  <c r="G611" i="1"/>
  <c r="A611" i="1"/>
  <c r="I610" i="1"/>
  <c r="G610" i="1"/>
  <c r="A610" i="1"/>
  <c r="I609" i="1"/>
  <c r="G609" i="1"/>
  <c r="A609" i="1"/>
  <c r="I608" i="1"/>
  <c r="G608" i="1"/>
  <c r="A608" i="1"/>
  <c r="I607" i="1"/>
  <c r="G607" i="1"/>
  <c r="A607" i="1"/>
  <c r="I606" i="1"/>
  <c r="G606" i="1"/>
  <c r="A606" i="1"/>
  <c r="I605" i="1"/>
  <c r="G605" i="1"/>
  <c r="A605" i="1"/>
  <c r="I604" i="1"/>
  <c r="G604" i="1"/>
  <c r="A604" i="1"/>
  <c r="I603" i="1"/>
  <c r="G603" i="1"/>
  <c r="A603" i="1"/>
  <c r="I602" i="1"/>
  <c r="G602" i="1"/>
  <c r="A602" i="1"/>
  <c r="I601" i="1"/>
  <c r="G601" i="1"/>
  <c r="A601" i="1"/>
  <c r="I600" i="1"/>
  <c r="G600" i="1"/>
  <c r="A600" i="1"/>
  <c r="I599" i="1"/>
  <c r="G599" i="1"/>
  <c r="A599" i="1"/>
  <c r="I598" i="1"/>
  <c r="G598" i="1"/>
  <c r="A598" i="1"/>
  <c r="I597" i="1"/>
  <c r="G597" i="1"/>
  <c r="A597" i="1"/>
  <c r="I596" i="1"/>
  <c r="G596" i="1"/>
  <c r="A596" i="1"/>
  <c r="I595" i="1"/>
  <c r="G595" i="1"/>
  <c r="A595" i="1"/>
  <c r="I594" i="1"/>
  <c r="G594" i="1"/>
  <c r="A594" i="1"/>
  <c r="I593" i="1"/>
  <c r="G593" i="1"/>
  <c r="A593" i="1"/>
  <c r="I592" i="1"/>
  <c r="G592" i="1"/>
  <c r="A592" i="1"/>
  <c r="I591" i="1"/>
  <c r="G591" i="1"/>
  <c r="A591" i="1"/>
  <c r="I590" i="1"/>
  <c r="G590" i="1"/>
  <c r="A590" i="1"/>
  <c r="I589" i="1"/>
  <c r="G589" i="1"/>
  <c r="A589" i="1"/>
  <c r="I588" i="1"/>
  <c r="G588" i="1"/>
  <c r="A588" i="1"/>
  <c r="I587" i="1"/>
  <c r="G587" i="1"/>
  <c r="A587" i="1"/>
  <c r="I586" i="1"/>
  <c r="G586" i="1"/>
  <c r="A586" i="1"/>
  <c r="I585" i="1"/>
  <c r="G585" i="1"/>
  <c r="A585" i="1"/>
  <c r="I584" i="1"/>
  <c r="G584" i="1"/>
  <c r="A584" i="1"/>
  <c r="I583" i="1"/>
  <c r="G583" i="1"/>
  <c r="A583" i="1"/>
  <c r="I582" i="1"/>
  <c r="G582" i="1"/>
  <c r="A582" i="1"/>
  <c r="I581" i="1"/>
  <c r="G581" i="1"/>
  <c r="A581" i="1"/>
  <c r="I580" i="1"/>
  <c r="G580" i="1"/>
  <c r="A580" i="1"/>
  <c r="I579" i="1"/>
  <c r="G579" i="1"/>
  <c r="A579" i="1"/>
  <c r="I578" i="1"/>
  <c r="G578" i="1"/>
  <c r="A578" i="1"/>
  <c r="I577" i="1"/>
  <c r="G577" i="1"/>
  <c r="A577" i="1"/>
  <c r="I576" i="1"/>
  <c r="G576" i="1"/>
  <c r="A576" i="1"/>
  <c r="I575" i="1"/>
  <c r="G575" i="1"/>
  <c r="A575" i="1"/>
  <c r="I574" i="1"/>
  <c r="G574" i="1"/>
  <c r="A574" i="1"/>
  <c r="I573" i="1"/>
  <c r="G573" i="1"/>
  <c r="A573" i="1"/>
  <c r="I572" i="1"/>
  <c r="G572" i="1"/>
  <c r="A572" i="1"/>
  <c r="I571" i="1"/>
  <c r="G571" i="1"/>
  <c r="A571" i="1"/>
  <c r="I570" i="1"/>
  <c r="G570" i="1"/>
  <c r="A570" i="1"/>
  <c r="I569" i="1"/>
  <c r="G569" i="1"/>
  <c r="A569" i="1"/>
  <c r="I568" i="1"/>
  <c r="G568" i="1"/>
  <c r="A568" i="1"/>
  <c r="I567" i="1"/>
  <c r="G567" i="1"/>
  <c r="A567" i="1"/>
  <c r="I566" i="1"/>
  <c r="G566" i="1"/>
  <c r="A566" i="1"/>
  <c r="I565" i="1"/>
  <c r="G565" i="1"/>
  <c r="A565" i="1"/>
  <c r="I564" i="1"/>
  <c r="G564" i="1"/>
  <c r="A564" i="1"/>
  <c r="I563" i="1"/>
  <c r="G563" i="1"/>
  <c r="A563" i="1"/>
  <c r="I562" i="1"/>
  <c r="G562" i="1"/>
  <c r="A562" i="1"/>
  <c r="I561" i="1"/>
  <c r="G561" i="1"/>
  <c r="A561" i="1"/>
  <c r="I560" i="1"/>
  <c r="G560" i="1"/>
  <c r="A560" i="1"/>
  <c r="I559" i="1"/>
  <c r="G559" i="1"/>
  <c r="A559" i="1"/>
  <c r="I558" i="1"/>
  <c r="G558" i="1"/>
  <c r="A558" i="1"/>
  <c r="I557" i="1"/>
  <c r="G557" i="1"/>
  <c r="A557" i="1"/>
  <c r="I556" i="1"/>
  <c r="G556" i="1"/>
  <c r="A556" i="1"/>
  <c r="I555" i="1"/>
  <c r="G555" i="1"/>
  <c r="A555" i="1"/>
  <c r="I554" i="1"/>
  <c r="G554" i="1"/>
  <c r="A554" i="1"/>
  <c r="I553" i="1"/>
  <c r="G553" i="1"/>
  <c r="A553" i="1"/>
  <c r="I552" i="1"/>
  <c r="G552" i="1"/>
  <c r="A552" i="1"/>
  <c r="I551" i="1"/>
  <c r="G551" i="1"/>
  <c r="A551" i="1"/>
  <c r="I550" i="1"/>
  <c r="G550" i="1"/>
  <c r="A550" i="1"/>
  <c r="I549" i="1"/>
  <c r="G549" i="1"/>
  <c r="A549" i="1"/>
  <c r="I548" i="1"/>
  <c r="G548" i="1"/>
  <c r="A548" i="1"/>
  <c r="I547" i="1"/>
  <c r="G547" i="1"/>
  <c r="A547" i="1"/>
  <c r="I546" i="1"/>
  <c r="G546" i="1"/>
  <c r="A546" i="1"/>
  <c r="I545" i="1"/>
  <c r="G545" i="1"/>
  <c r="A545" i="1"/>
  <c r="I544" i="1"/>
  <c r="G544" i="1"/>
  <c r="A544" i="1"/>
  <c r="I543" i="1"/>
  <c r="G543" i="1"/>
  <c r="A543" i="1"/>
  <c r="I542" i="1"/>
  <c r="G542" i="1"/>
  <c r="A542" i="1"/>
  <c r="I541" i="1"/>
  <c r="G541" i="1"/>
  <c r="A541" i="1"/>
  <c r="I540" i="1"/>
  <c r="G540" i="1"/>
  <c r="A540" i="1"/>
  <c r="I539" i="1"/>
  <c r="G539" i="1"/>
  <c r="A539" i="1"/>
  <c r="I538" i="1"/>
  <c r="G538" i="1"/>
  <c r="A538" i="1"/>
  <c r="I537" i="1"/>
  <c r="G537" i="1"/>
  <c r="A537" i="1"/>
  <c r="I536" i="1"/>
  <c r="G536" i="1"/>
  <c r="A536" i="1"/>
  <c r="I535" i="1"/>
  <c r="G535" i="1"/>
  <c r="A535" i="1"/>
  <c r="I534" i="1"/>
  <c r="G534" i="1"/>
  <c r="A534" i="1"/>
  <c r="I533" i="1"/>
  <c r="G533" i="1"/>
  <c r="A533" i="1"/>
  <c r="I532" i="1"/>
  <c r="G532" i="1"/>
  <c r="A532" i="1"/>
  <c r="I531" i="1"/>
  <c r="G531" i="1"/>
  <c r="A531" i="1"/>
  <c r="I530" i="1"/>
  <c r="G530" i="1"/>
  <c r="A530" i="1"/>
  <c r="I529" i="1"/>
  <c r="G529" i="1"/>
  <c r="A529" i="1"/>
  <c r="I528" i="1"/>
  <c r="G528" i="1"/>
  <c r="A528" i="1"/>
  <c r="I527" i="1"/>
  <c r="G527" i="1"/>
  <c r="A527" i="1"/>
  <c r="I526" i="1"/>
  <c r="G526" i="1"/>
  <c r="A526" i="1"/>
  <c r="I525" i="1"/>
  <c r="G525" i="1"/>
  <c r="A525" i="1"/>
  <c r="I524" i="1"/>
  <c r="G524" i="1"/>
  <c r="A524" i="1"/>
  <c r="I523" i="1"/>
  <c r="G523" i="1"/>
  <c r="A523" i="1"/>
  <c r="I522" i="1"/>
  <c r="G522" i="1"/>
  <c r="A522" i="1"/>
  <c r="I521" i="1"/>
  <c r="G521" i="1"/>
  <c r="A521" i="1"/>
  <c r="I520" i="1"/>
  <c r="G520" i="1"/>
  <c r="A520" i="1"/>
  <c r="I519" i="1"/>
  <c r="G519" i="1"/>
  <c r="A519" i="1"/>
  <c r="I518" i="1"/>
  <c r="G518" i="1"/>
  <c r="A518" i="1"/>
  <c r="I517" i="1"/>
  <c r="G517" i="1"/>
  <c r="A517" i="1"/>
  <c r="I516" i="1"/>
  <c r="G516" i="1"/>
  <c r="A516" i="1"/>
  <c r="I515" i="1"/>
  <c r="G515" i="1"/>
  <c r="A515" i="1"/>
  <c r="I514" i="1"/>
  <c r="G514" i="1"/>
  <c r="A514" i="1"/>
  <c r="I513" i="1"/>
  <c r="G513" i="1"/>
  <c r="A513" i="1"/>
  <c r="I512" i="1"/>
  <c r="G512" i="1"/>
  <c r="A512" i="1"/>
  <c r="I511" i="1"/>
  <c r="G511" i="1"/>
  <c r="A511" i="1"/>
  <c r="I510" i="1"/>
  <c r="G510" i="1"/>
  <c r="A510" i="1"/>
  <c r="I509" i="1"/>
  <c r="G509" i="1"/>
  <c r="A509" i="1"/>
  <c r="I508" i="1"/>
  <c r="G508" i="1"/>
  <c r="A508" i="1"/>
  <c r="I507" i="1"/>
  <c r="G507" i="1"/>
  <c r="A507" i="1"/>
  <c r="I506" i="1"/>
  <c r="G506" i="1"/>
  <c r="A506" i="1"/>
  <c r="I505" i="1"/>
  <c r="G505" i="1"/>
  <c r="A505" i="1"/>
  <c r="I504" i="1"/>
  <c r="G504" i="1"/>
  <c r="A504" i="1"/>
  <c r="I503" i="1"/>
  <c r="G503" i="1"/>
  <c r="A503" i="1"/>
  <c r="I502" i="1"/>
  <c r="G502" i="1"/>
  <c r="A502" i="1"/>
  <c r="I501" i="1"/>
  <c r="G501" i="1"/>
  <c r="A501" i="1"/>
  <c r="I500" i="1"/>
  <c r="G500" i="1"/>
  <c r="A500" i="1"/>
  <c r="I499" i="1"/>
  <c r="G499" i="1"/>
  <c r="A499" i="1"/>
  <c r="I498" i="1"/>
  <c r="G498" i="1"/>
  <c r="A498" i="1"/>
  <c r="I497" i="1"/>
  <c r="G497" i="1"/>
  <c r="A497" i="1"/>
  <c r="I496" i="1"/>
  <c r="G496" i="1"/>
  <c r="A496" i="1"/>
  <c r="I495" i="1"/>
  <c r="G495" i="1"/>
  <c r="A495" i="1"/>
  <c r="I494" i="1"/>
  <c r="G494" i="1"/>
  <c r="A494" i="1"/>
  <c r="I493" i="1"/>
  <c r="G493" i="1"/>
  <c r="A493" i="1"/>
  <c r="I492" i="1"/>
  <c r="G492" i="1"/>
  <c r="A492" i="1"/>
  <c r="I491" i="1"/>
  <c r="G491" i="1"/>
  <c r="A491" i="1"/>
  <c r="I490" i="1"/>
  <c r="G490" i="1"/>
  <c r="A490" i="1"/>
  <c r="I489" i="1"/>
  <c r="G489" i="1"/>
  <c r="A489" i="1"/>
  <c r="I488" i="1"/>
  <c r="G488" i="1"/>
  <c r="A488" i="1"/>
  <c r="I487" i="1"/>
  <c r="G487" i="1"/>
  <c r="A487" i="1"/>
  <c r="I486" i="1"/>
  <c r="G486" i="1"/>
  <c r="A486" i="1"/>
  <c r="I485" i="1"/>
  <c r="G485" i="1"/>
  <c r="A485" i="1"/>
  <c r="I484" i="1"/>
  <c r="G484" i="1"/>
  <c r="A484" i="1"/>
  <c r="I483" i="1"/>
  <c r="G483" i="1"/>
  <c r="A483" i="1"/>
  <c r="I482" i="1"/>
  <c r="G482" i="1"/>
  <c r="A482" i="1"/>
  <c r="I481" i="1"/>
  <c r="G481" i="1"/>
  <c r="A481" i="1"/>
  <c r="I480" i="1"/>
  <c r="G480" i="1"/>
  <c r="A480" i="1"/>
  <c r="I479" i="1"/>
  <c r="G479" i="1"/>
  <c r="A479" i="1"/>
  <c r="I478" i="1"/>
  <c r="G478" i="1"/>
  <c r="A478" i="1"/>
  <c r="I477" i="1"/>
  <c r="G477" i="1"/>
  <c r="A477" i="1"/>
  <c r="I476" i="1"/>
  <c r="G476" i="1"/>
  <c r="A476" i="1"/>
  <c r="I475" i="1"/>
  <c r="G475" i="1"/>
  <c r="A475" i="1"/>
  <c r="I474" i="1"/>
  <c r="G474" i="1"/>
  <c r="A474" i="1"/>
  <c r="I473" i="1"/>
  <c r="G473" i="1"/>
  <c r="A473" i="1"/>
  <c r="I472" i="1"/>
  <c r="G472" i="1"/>
  <c r="A472" i="1"/>
  <c r="I471" i="1"/>
  <c r="G471" i="1"/>
  <c r="A471" i="1"/>
  <c r="I470" i="1"/>
  <c r="G470" i="1"/>
  <c r="A470" i="1"/>
  <c r="I469" i="1"/>
  <c r="G469" i="1"/>
  <c r="A469" i="1"/>
  <c r="I468" i="1"/>
  <c r="G468" i="1"/>
  <c r="A468" i="1"/>
  <c r="I467" i="1"/>
  <c r="G467" i="1"/>
  <c r="A467" i="1"/>
  <c r="I466" i="1"/>
  <c r="G466" i="1"/>
  <c r="A466" i="1"/>
  <c r="I465" i="1"/>
  <c r="G465" i="1"/>
  <c r="A465" i="1"/>
  <c r="I464" i="1"/>
  <c r="G464" i="1"/>
  <c r="A464" i="1"/>
  <c r="I463" i="1"/>
  <c r="G463" i="1"/>
  <c r="A463" i="1"/>
  <c r="I462" i="1"/>
  <c r="G462" i="1"/>
  <c r="A462" i="1"/>
  <c r="I461" i="1"/>
  <c r="G461" i="1"/>
  <c r="A461" i="1"/>
  <c r="I460" i="1"/>
  <c r="G460" i="1"/>
  <c r="A460" i="1"/>
  <c r="I459" i="1"/>
  <c r="G459" i="1"/>
  <c r="A459" i="1"/>
  <c r="I458" i="1"/>
  <c r="G458" i="1"/>
  <c r="A458" i="1"/>
  <c r="I457" i="1"/>
  <c r="G457" i="1"/>
  <c r="A457" i="1"/>
  <c r="I456" i="1"/>
  <c r="G456" i="1"/>
  <c r="A456" i="1"/>
  <c r="I455" i="1"/>
  <c r="G455" i="1"/>
  <c r="A455" i="1"/>
  <c r="I454" i="1"/>
  <c r="G454" i="1"/>
  <c r="A454" i="1"/>
  <c r="I453" i="1"/>
  <c r="G453" i="1"/>
  <c r="A453" i="1"/>
  <c r="I452" i="1"/>
  <c r="G452" i="1"/>
  <c r="A452" i="1"/>
  <c r="I451" i="1"/>
  <c r="G451" i="1"/>
  <c r="A451" i="1"/>
  <c r="I450" i="1"/>
  <c r="G450" i="1"/>
  <c r="A450" i="1"/>
  <c r="I449" i="1"/>
  <c r="G449" i="1"/>
  <c r="A449" i="1"/>
  <c r="I448" i="1"/>
  <c r="G448" i="1"/>
  <c r="A448" i="1"/>
  <c r="I447" i="1"/>
  <c r="G447" i="1"/>
  <c r="A447" i="1"/>
  <c r="I446" i="1"/>
  <c r="G446" i="1"/>
  <c r="A446" i="1"/>
  <c r="I445" i="1"/>
  <c r="G445" i="1"/>
  <c r="A445" i="1"/>
  <c r="I444" i="1"/>
  <c r="G444" i="1"/>
  <c r="A444" i="1"/>
  <c r="I443" i="1"/>
  <c r="G443" i="1"/>
  <c r="A443" i="1"/>
  <c r="I442" i="1"/>
  <c r="G442" i="1"/>
  <c r="A442" i="1"/>
  <c r="I441" i="1"/>
  <c r="G441" i="1"/>
  <c r="A441" i="1"/>
  <c r="I440" i="1"/>
  <c r="G440" i="1"/>
  <c r="A440" i="1"/>
  <c r="I439" i="1"/>
  <c r="G439" i="1"/>
  <c r="A439" i="1"/>
  <c r="I438" i="1"/>
  <c r="G438" i="1"/>
  <c r="A438" i="1"/>
  <c r="I437" i="1"/>
  <c r="G437" i="1"/>
  <c r="A437" i="1"/>
  <c r="I436" i="1"/>
  <c r="G436" i="1"/>
  <c r="A436" i="1"/>
  <c r="I435" i="1"/>
  <c r="G435" i="1"/>
  <c r="A435" i="1"/>
  <c r="I434" i="1"/>
  <c r="G434" i="1"/>
  <c r="A434" i="1"/>
  <c r="I433" i="1"/>
  <c r="G433" i="1"/>
  <c r="A433" i="1"/>
  <c r="I432" i="1"/>
  <c r="G432" i="1"/>
  <c r="A432" i="1"/>
  <c r="I431" i="1"/>
  <c r="G431" i="1"/>
  <c r="A431" i="1"/>
  <c r="I430" i="1"/>
  <c r="G430" i="1"/>
  <c r="A430" i="1"/>
  <c r="I429" i="1"/>
  <c r="G429" i="1"/>
  <c r="A429" i="1"/>
  <c r="I428" i="1"/>
  <c r="G428" i="1"/>
  <c r="A428" i="1"/>
  <c r="I427" i="1"/>
  <c r="G427" i="1"/>
  <c r="A427" i="1"/>
  <c r="I426" i="1"/>
  <c r="G426" i="1"/>
  <c r="A426" i="1"/>
  <c r="I425" i="1"/>
  <c r="G425" i="1"/>
  <c r="A425" i="1"/>
  <c r="I424" i="1"/>
  <c r="G424" i="1"/>
  <c r="A424" i="1"/>
  <c r="I423" i="1"/>
  <c r="G423" i="1"/>
  <c r="A423" i="1"/>
  <c r="I422" i="1"/>
  <c r="G422" i="1"/>
  <c r="A422" i="1"/>
  <c r="I421" i="1"/>
  <c r="G421" i="1"/>
  <c r="A421" i="1"/>
  <c r="I420" i="1"/>
  <c r="G420" i="1"/>
  <c r="A420" i="1"/>
  <c r="I419" i="1"/>
  <c r="G419" i="1"/>
  <c r="A419" i="1"/>
  <c r="I418" i="1"/>
  <c r="G418" i="1"/>
  <c r="A418" i="1"/>
  <c r="I417" i="1"/>
  <c r="G417" i="1"/>
  <c r="A417" i="1"/>
  <c r="I416" i="1"/>
  <c r="G416" i="1"/>
  <c r="A416" i="1"/>
  <c r="I415" i="1"/>
  <c r="G415" i="1"/>
  <c r="A415" i="1"/>
  <c r="I414" i="1"/>
  <c r="G414" i="1"/>
  <c r="A414" i="1"/>
  <c r="I413" i="1"/>
  <c r="G413" i="1"/>
  <c r="A413" i="1"/>
  <c r="I412" i="1"/>
  <c r="G412" i="1"/>
  <c r="A412" i="1"/>
  <c r="I411" i="1"/>
  <c r="G411" i="1"/>
  <c r="A411" i="1"/>
  <c r="I410" i="1"/>
  <c r="G410" i="1"/>
  <c r="A410" i="1"/>
  <c r="I409" i="1"/>
  <c r="G409" i="1"/>
  <c r="A409" i="1"/>
  <c r="I408" i="1"/>
  <c r="G408" i="1"/>
  <c r="A408" i="1"/>
  <c r="I407" i="1"/>
  <c r="G407" i="1"/>
  <c r="A407" i="1"/>
  <c r="I406" i="1"/>
  <c r="G406" i="1"/>
  <c r="A406" i="1"/>
  <c r="I405" i="1"/>
  <c r="G405" i="1"/>
  <c r="A405" i="1"/>
  <c r="I404" i="1"/>
  <c r="G404" i="1"/>
  <c r="A404" i="1"/>
  <c r="I403" i="1"/>
  <c r="G403" i="1"/>
  <c r="A403" i="1"/>
  <c r="I402" i="1"/>
  <c r="G402" i="1"/>
  <c r="A402" i="1"/>
  <c r="I401" i="1"/>
  <c r="G401" i="1"/>
  <c r="A401" i="1"/>
  <c r="I400" i="1"/>
  <c r="G400" i="1"/>
  <c r="A400" i="1"/>
  <c r="I399" i="1"/>
  <c r="G399" i="1"/>
  <c r="A399" i="1"/>
  <c r="I398" i="1"/>
  <c r="G398" i="1"/>
  <c r="A398" i="1"/>
  <c r="I397" i="1"/>
  <c r="G397" i="1"/>
  <c r="A397" i="1"/>
  <c r="I396" i="1"/>
  <c r="G396" i="1"/>
  <c r="A396" i="1"/>
  <c r="I395" i="1"/>
  <c r="G395" i="1"/>
  <c r="A395" i="1"/>
  <c r="I394" i="1"/>
  <c r="G394" i="1"/>
  <c r="A394" i="1"/>
  <c r="I393" i="1"/>
  <c r="G393" i="1"/>
  <c r="A393" i="1"/>
  <c r="I392" i="1"/>
  <c r="G392" i="1"/>
  <c r="A392" i="1"/>
  <c r="I391" i="1"/>
  <c r="G391" i="1"/>
  <c r="A391" i="1"/>
  <c r="I390" i="1"/>
  <c r="G390" i="1"/>
  <c r="A390" i="1"/>
  <c r="I389" i="1"/>
  <c r="G389" i="1"/>
  <c r="A389" i="1"/>
  <c r="I388" i="1"/>
  <c r="G388" i="1"/>
  <c r="A388" i="1"/>
  <c r="I387" i="1"/>
  <c r="G387" i="1"/>
  <c r="A387" i="1"/>
  <c r="I386" i="1"/>
  <c r="G386" i="1"/>
  <c r="A386" i="1"/>
  <c r="I385" i="1"/>
  <c r="G385" i="1"/>
  <c r="A385" i="1"/>
  <c r="I384" i="1"/>
  <c r="G384" i="1"/>
  <c r="A384" i="1"/>
  <c r="I383" i="1"/>
  <c r="G383" i="1"/>
  <c r="A383" i="1"/>
  <c r="I382" i="1"/>
  <c r="G382" i="1"/>
  <c r="A382" i="1"/>
  <c r="I381" i="1"/>
  <c r="G381" i="1"/>
  <c r="A381" i="1"/>
  <c r="I380" i="1"/>
  <c r="G380" i="1"/>
  <c r="A380" i="1"/>
  <c r="I379" i="1"/>
  <c r="G379" i="1"/>
  <c r="A379" i="1"/>
  <c r="I378" i="1"/>
  <c r="G378" i="1"/>
  <c r="A378" i="1"/>
  <c r="I377" i="1"/>
  <c r="G377" i="1"/>
  <c r="A377" i="1"/>
  <c r="I376" i="1"/>
  <c r="G376" i="1"/>
  <c r="A376" i="1"/>
  <c r="I375" i="1"/>
  <c r="G375" i="1"/>
  <c r="A375" i="1"/>
  <c r="I374" i="1"/>
  <c r="G374" i="1"/>
  <c r="A374" i="1"/>
  <c r="I373" i="1"/>
  <c r="G373" i="1"/>
  <c r="A373" i="1"/>
  <c r="I372" i="1"/>
  <c r="G372" i="1"/>
  <c r="A372" i="1"/>
  <c r="I371" i="1"/>
  <c r="G371" i="1"/>
  <c r="A371" i="1"/>
  <c r="I370" i="1"/>
  <c r="G370" i="1"/>
  <c r="A370" i="1"/>
  <c r="I369" i="1"/>
  <c r="G369" i="1"/>
  <c r="A369" i="1"/>
  <c r="I368" i="1"/>
  <c r="G368" i="1"/>
  <c r="A368" i="1"/>
  <c r="I367" i="1"/>
  <c r="G367" i="1"/>
  <c r="A367" i="1"/>
  <c r="I366" i="1"/>
  <c r="G366" i="1"/>
  <c r="A366" i="1"/>
  <c r="I365" i="1"/>
  <c r="G365" i="1"/>
  <c r="A365" i="1"/>
  <c r="I364" i="1"/>
  <c r="G364" i="1"/>
  <c r="A364" i="1"/>
  <c r="I363" i="1"/>
  <c r="G363" i="1"/>
  <c r="A363" i="1"/>
  <c r="I362" i="1"/>
  <c r="G362" i="1"/>
  <c r="A362" i="1"/>
  <c r="I361" i="1"/>
  <c r="G361" i="1"/>
  <c r="A361" i="1"/>
  <c r="I360" i="1"/>
  <c r="G360" i="1"/>
  <c r="A360" i="1"/>
  <c r="I359" i="1"/>
  <c r="G359" i="1"/>
  <c r="A359" i="1"/>
  <c r="I358" i="1"/>
  <c r="G358" i="1"/>
  <c r="A358" i="1"/>
  <c r="I357" i="1"/>
  <c r="G357" i="1"/>
  <c r="A357" i="1"/>
  <c r="I356" i="1"/>
  <c r="G356" i="1"/>
  <c r="A356" i="1"/>
  <c r="I355" i="1"/>
  <c r="G355" i="1"/>
  <c r="A355" i="1"/>
  <c r="I354" i="1"/>
  <c r="G354" i="1"/>
  <c r="A354" i="1"/>
  <c r="I353" i="1"/>
  <c r="G353" i="1"/>
  <c r="A353" i="1"/>
  <c r="I352" i="1"/>
  <c r="G352" i="1"/>
  <c r="A352" i="1"/>
  <c r="I351" i="1"/>
  <c r="G351" i="1"/>
  <c r="A351" i="1"/>
  <c r="I350" i="1"/>
  <c r="G350" i="1"/>
  <c r="A350" i="1"/>
  <c r="I349" i="1"/>
  <c r="G349" i="1"/>
  <c r="A349" i="1"/>
  <c r="I348" i="1"/>
  <c r="G348" i="1"/>
  <c r="A348" i="1"/>
  <c r="I347" i="1"/>
  <c r="G347" i="1"/>
  <c r="A347" i="1"/>
  <c r="I346" i="1"/>
  <c r="G346" i="1"/>
  <c r="A346" i="1"/>
  <c r="I345" i="1"/>
  <c r="G345" i="1"/>
  <c r="A345" i="1"/>
  <c r="I344" i="1"/>
  <c r="G344" i="1"/>
  <c r="A344" i="1"/>
  <c r="I343" i="1"/>
  <c r="G343" i="1"/>
  <c r="A343" i="1"/>
  <c r="I342" i="1"/>
  <c r="G342" i="1"/>
  <c r="A342" i="1"/>
  <c r="I341" i="1"/>
  <c r="G341" i="1"/>
  <c r="A341" i="1"/>
  <c r="I340" i="1"/>
  <c r="G340" i="1"/>
  <c r="A340" i="1"/>
  <c r="I339" i="1"/>
  <c r="G339" i="1"/>
  <c r="A339" i="1"/>
  <c r="I338" i="1"/>
  <c r="G338" i="1"/>
  <c r="A338" i="1"/>
  <c r="I337" i="1"/>
  <c r="G337" i="1"/>
  <c r="A337" i="1"/>
  <c r="I336" i="1"/>
  <c r="G336" i="1"/>
  <c r="A336" i="1"/>
  <c r="I335" i="1"/>
  <c r="G335" i="1"/>
  <c r="A335" i="1"/>
  <c r="I334" i="1"/>
  <c r="G334" i="1"/>
  <c r="A334" i="1"/>
  <c r="I333" i="1"/>
  <c r="G333" i="1"/>
  <c r="A333" i="1"/>
  <c r="I332" i="1"/>
  <c r="G332" i="1"/>
  <c r="A332" i="1"/>
  <c r="I331" i="1"/>
  <c r="G331" i="1"/>
  <c r="A331" i="1"/>
  <c r="I330" i="1"/>
  <c r="G330" i="1"/>
  <c r="A330" i="1"/>
  <c r="I329" i="1"/>
  <c r="G329" i="1"/>
  <c r="A329" i="1"/>
  <c r="I328" i="1"/>
  <c r="G328" i="1"/>
  <c r="A328" i="1"/>
  <c r="I327" i="1"/>
  <c r="G327" i="1"/>
  <c r="A327" i="1"/>
  <c r="I326" i="1"/>
  <c r="G326" i="1"/>
  <c r="A326" i="1"/>
  <c r="I325" i="1"/>
  <c r="G325" i="1"/>
  <c r="A325" i="1"/>
  <c r="I324" i="1"/>
  <c r="G324" i="1"/>
  <c r="A324" i="1"/>
  <c r="I323" i="1"/>
  <c r="G323" i="1"/>
  <c r="A323" i="1"/>
  <c r="I322" i="1"/>
  <c r="G322" i="1"/>
  <c r="A322" i="1"/>
  <c r="I321" i="1"/>
  <c r="G321" i="1"/>
  <c r="A321" i="1"/>
  <c r="I320" i="1"/>
  <c r="G320" i="1"/>
  <c r="A320" i="1"/>
  <c r="I319" i="1"/>
  <c r="G319" i="1"/>
  <c r="A319" i="1"/>
  <c r="I318" i="1"/>
  <c r="G318" i="1"/>
  <c r="A318" i="1"/>
  <c r="I317" i="1"/>
  <c r="G317" i="1"/>
  <c r="A317" i="1"/>
  <c r="I316" i="1"/>
  <c r="G316" i="1"/>
  <c r="A316" i="1"/>
  <c r="I315" i="1"/>
  <c r="G315" i="1"/>
  <c r="A315" i="1"/>
  <c r="I314" i="1"/>
  <c r="G314" i="1"/>
  <c r="A314" i="1"/>
  <c r="I313" i="1"/>
  <c r="G313" i="1"/>
  <c r="A313" i="1"/>
  <c r="I312" i="1"/>
  <c r="G312" i="1"/>
  <c r="A312" i="1"/>
  <c r="I311" i="1"/>
  <c r="G311" i="1"/>
  <c r="A311" i="1"/>
  <c r="I310" i="1"/>
  <c r="G310" i="1"/>
  <c r="A310" i="1"/>
  <c r="I309" i="1"/>
  <c r="G309" i="1"/>
  <c r="A309" i="1"/>
  <c r="I308" i="1"/>
  <c r="G308" i="1"/>
  <c r="A308" i="1"/>
  <c r="I307" i="1"/>
  <c r="G307" i="1"/>
  <c r="A307" i="1"/>
  <c r="I306" i="1"/>
  <c r="G306" i="1"/>
  <c r="A306" i="1"/>
  <c r="I305" i="1"/>
  <c r="G305" i="1"/>
  <c r="A305" i="1"/>
  <c r="I304" i="1"/>
  <c r="G304" i="1"/>
  <c r="A304" i="1"/>
  <c r="I303" i="1"/>
  <c r="G303" i="1"/>
  <c r="A303" i="1"/>
  <c r="I302" i="1"/>
  <c r="G302" i="1"/>
  <c r="A302" i="1"/>
  <c r="I301" i="1"/>
  <c r="G301" i="1"/>
  <c r="A301" i="1"/>
  <c r="I300" i="1"/>
  <c r="G300" i="1"/>
  <c r="A300" i="1"/>
  <c r="I299" i="1"/>
  <c r="G299" i="1"/>
  <c r="A299" i="1"/>
  <c r="I298" i="1"/>
  <c r="G298" i="1"/>
  <c r="A298" i="1"/>
  <c r="I297" i="1"/>
  <c r="G297" i="1"/>
  <c r="A297" i="1"/>
  <c r="I296" i="1"/>
  <c r="G296" i="1"/>
  <c r="A296" i="1"/>
  <c r="I295" i="1"/>
  <c r="G295" i="1"/>
  <c r="A295" i="1"/>
  <c r="I294" i="1"/>
  <c r="G294" i="1"/>
  <c r="A294" i="1"/>
  <c r="I293" i="1"/>
  <c r="G293" i="1"/>
  <c r="A293" i="1"/>
  <c r="I292" i="1"/>
  <c r="G292" i="1"/>
  <c r="A292" i="1"/>
  <c r="I291" i="1"/>
  <c r="G291" i="1"/>
  <c r="A291" i="1"/>
  <c r="I290" i="1"/>
  <c r="G290" i="1"/>
  <c r="A290" i="1"/>
  <c r="I289" i="1"/>
  <c r="G289" i="1"/>
  <c r="A289" i="1"/>
  <c r="I288" i="1"/>
  <c r="G288" i="1"/>
  <c r="A288" i="1"/>
  <c r="I287" i="1"/>
  <c r="G287" i="1"/>
  <c r="A287" i="1"/>
  <c r="I286" i="1"/>
  <c r="G286" i="1"/>
  <c r="A286" i="1"/>
  <c r="I285" i="1"/>
  <c r="G285" i="1"/>
  <c r="A285" i="1"/>
  <c r="I284" i="1"/>
  <c r="G284" i="1"/>
  <c r="A284" i="1"/>
  <c r="I283" i="1"/>
  <c r="G283" i="1"/>
  <c r="A283" i="1"/>
  <c r="I282" i="1"/>
  <c r="G282" i="1"/>
  <c r="A282" i="1"/>
  <c r="I281" i="1"/>
  <c r="G281" i="1"/>
  <c r="A281" i="1"/>
  <c r="I280" i="1"/>
  <c r="G280" i="1"/>
  <c r="A280" i="1"/>
  <c r="I279" i="1"/>
  <c r="G279" i="1"/>
  <c r="A279" i="1"/>
  <c r="I278" i="1"/>
  <c r="G278" i="1"/>
  <c r="A278" i="1"/>
  <c r="I277" i="1"/>
  <c r="G277" i="1"/>
  <c r="A277" i="1"/>
  <c r="I276" i="1"/>
  <c r="G276" i="1"/>
  <c r="A276" i="1"/>
  <c r="I275" i="1"/>
  <c r="G275" i="1"/>
  <c r="A275" i="1"/>
  <c r="I274" i="1"/>
  <c r="G274" i="1"/>
  <c r="A274" i="1"/>
  <c r="I273" i="1"/>
  <c r="G273" i="1"/>
  <c r="A273" i="1"/>
  <c r="I272" i="1"/>
  <c r="G272" i="1"/>
  <c r="A272" i="1"/>
  <c r="I271" i="1"/>
  <c r="G271" i="1"/>
  <c r="A271" i="1"/>
  <c r="I270" i="1"/>
  <c r="G270" i="1"/>
  <c r="A270" i="1"/>
  <c r="I269" i="1"/>
  <c r="G269" i="1"/>
  <c r="A269" i="1"/>
  <c r="I268" i="1"/>
  <c r="G268" i="1"/>
  <c r="A268" i="1"/>
  <c r="I267" i="1"/>
  <c r="G267" i="1"/>
  <c r="A267" i="1"/>
  <c r="I266" i="1"/>
  <c r="G266" i="1"/>
  <c r="A266" i="1"/>
  <c r="I265" i="1"/>
  <c r="G265" i="1"/>
  <c r="A265" i="1"/>
  <c r="I264" i="1"/>
  <c r="G264" i="1"/>
  <c r="A264" i="1"/>
  <c r="I263" i="1"/>
  <c r="G263" i="1"/>
  <c r="A263" i="1"/>
  <c r="I262" i="1"/>
  <c r="G262" i="1"/>
  <c r="A262" i="1"/>
  <c r="I261" i="1"/>
  <c r="G261" i="1"/>
  <c r="A261" i="1"/>
  <c r="I260" i="1"/>
  <c r="G260" i="1"/>
  <c r="A260" i="1"/>
  <c r="I259" i="1"/>
  <c r="G259" i="1"/>
  <c r="A259" i="1"/>
  <c r="I258" i="1"/>
  <c r="G258" i="1"/>
  <c r="A258" i="1"/>
  <c r="I257" i="1"/>
  <c r="G257" i="1"/>
  <c r="A257" i="1"/>
  <c r="I256" i="1"/>
  <c r="G256" i="1"/>
  <c r="A256" i="1"/>
  <c r="I255" i="1"/>
  <c r="G255" i="1"/>
  <c r="A255" i="1"/>
  <c r="I254" i="1"/>
  <c r="G254" i="1"/>
  <c r="A254" i="1"/>
  <c r="I253" i="1"/>
  <c r="G253" i="1"/>
  <c r="A253" i="1"/>
  <c r="I252" i="1"/>
  <c r="G252" i="1"/>
  <c r="A252" i="1"/>
  <c r="I251" i="1"/>
  <c r="G251" i="1"/>
  <c r="A251" i="1"/>
  <c r="I250" i="1"/>
  <c r="G250" i="1"/>
  <c r="A250" i="1"/>
  <c r="I249" i="1"/>
  <c r="G249" i="1"/>
  <c r="A249" i="1"/>
  <c r="I248" i="1"/>
  <c r="G248" i="1"/>
  <c r="A248" i="1"/>
  <c r="I247" i="1"/>
  <c r="G247" i="1"/>
  <c r="A247" i="1"/>
  <c r="I246" i="1"/>
  <c r="G246" i="1"/>
  <c r="A246" i="1"/>
  <c r="I245" i="1"/>
  <c r="G245" i="1"/>
  <c r="A245" i="1"/>
  <c r="I244" i="1"/>
  <c r="G244" i="1"/>
  <c r="A244" i="1"/>
  <c r="I243" i="1"/>
  <c r="G243" i="1"/>
  <c r="A243" i="1"/>
  <c r="I242" i="1"/>
  <c r="G242" i="1"/>
  <c r="A242" i="1"/>
  <c r="I241" i="1"/>
  <c r="G241" i="1"/>
  <c r="A241" i="1"/>
  <c r="I240" i="1"/>
  <c r="G240" i="1"/>
  <c r="A240" i="1"/>
  <c r="I239" i="1"/>
  <c r="G239" i="1"/>
  <c r="A239" i="1"/>
  <c r="I238" i="1"/>
  <c r="G238" i="1"/>
  <c r="A238" i="1"/>
  <c r="I237" i="1"/>
  <c r="G237" i="1"/>
  <c r="A237" i="1"/>
  <c r="I236" i="1"/>
  <c r="G236" i="1"/>
  <c r="A236" i="1"/>
  <c r="I235" i="1"/>
  <c r="G235" i="1"/>
  <c r="A235" i="1"/>
  <c r="I234" i="1"/>
  <c r="G234" i="1"/>
  <c r="A234" i="1"/>
  <c r="I233" i="1"/>
  <c r="G233" i="1"/>
  <c r="A233" i="1"/>
  <c r="I232" i="1"/>
  <c r="G232" i="1"/>
  <c r="A232" i="1"/>
  <c r="I231" i="1"/>
  <c r="G231" i="1"/>
  <c r="A231" i="1"/>
  <c r="I230" i="1"/>
  <c r="G230" i="1"/>
  <c r="A230" i="1"/>
  <c r="I229" i="1"/>
  <c r="G229" i="1"/>
  <c r="A229" i="1"/>
  <c r="I228" i="1"/>
  <c r="G228" i="1"/>
  <c r="A228" i="1"/>
  <c r="I227" i="1"/>
  <c r="G227" i="1"/>
  <c r="A227" i="1"/>
  <c r="I226" i="1"/>
  <c r="G226" i="1"/>
  <c r="A226" i="1"/>
  <c r="I225" i="1"/>
  <c r="G225" i="1"/>
  <c r="A225" i="1"/>
  <c r="I224" i="1"/>
  <c r="G224" i="1"/>
  <c r="A224" i="1"/>
  <c r="I223" i="1"/>
  <c r="G223" i="1"/>
  <c r="A223" i="1"/>
  <c r="I222" i="1"/>
  <c r="G222" i="1"/>
  <c r="A222" i="1"/>
  <c r="I221" i="1"/>
  <c r="G221" i="1"/>
  <c r="A221" i="1"/>
  <c r="I220" i="1"/>
  <c r="G220" i="1"/>
  <c r="A220" i="1"/>
  <c r="I219" i="1"/>
  <c r="G219" i="1"/>
  <c r="A219" i="1"/>
  <c r="I218" i="1"/>
  <c r="G218" i="1"/>
  <c r="A218" i="1"/>
  <c r="I217" i="1"/>
  <c r="G217" i="1"/>
  <c r="A217" i="1"/>
  <c r="I216" i="1"/>
  <c r="G216" i="1"/>
  <c r="A216" i="1"/>
  <c r="I215" i="1"/>
  <c r="G215" i="1"/>
  <c r="A215" i="1"/>
  <c r="I214" i="1"/>
  <c r="G214" i="1"/>
  <c r="A214" i="1"/>
  <c r="I213" i="1"/>
  <c r="G213" i="1"/>
  <c r="A213" i="1"/>
  <c r="I212" i="1"/>
  <c r="G212" i="1"/>
  <c r="A212" i="1"/>
  <c r="I211" i="1"/>
  <c r="G211" i="1"/>
  <c r="A211" i="1"/>
  <c r="I210" i="1"/>
  <c r="G210" i="1"/>
  <c r="A210" i="1"/>
  <c r="I209" i="1"/>
  <c r="G209" i="1"/>
  <c r="A209" i="1"/>
  <c r="I208" i="1"/>
  <c r="G208" i="1"/>
  <c r="A208" i="1"/>
  <c r="I207" i="1"/>
  <c r="G207" i="1"/>
  <c r="A207" i="1"/>
  <c r="I206" i="1"/>
  <c r="G206" i="1"/>
  <c r="A206" i="1"/>
  <c r="I205" i="1"/>
  <c r="G205" i="1"/>
  <c r="A205" i="1"/>
  <c r="I204" i="1"/>
  <c r="G204" i="1"/>
  <c r="A204" i="1"/>
  <c r="I203" i="1"/>
  <c r="G203" i="1"/>
  <c r="A203" i="1"/>
  <c r="I202" i="1"/>
  <c r="G202" i="1"/>
  <c r="A202" i="1"/>
  <c r="I201" i="1"/>
  <c r="G201" i="1"/>
  <c r="A201" i="1"/>
  <c r="I200" i="1"/>
  <c r="G200" i="1"/>
  <c r="A200" i="1"/>
  <c r="I199" i="1"/>
  <c r="G199" i="1"/>
  <c r="A199" i="1"/>
  <c r="I198" i="1"/>
  <c r="G198" i="1"/>
  <c r="A198" i="1"/>
  <c r="I197" i="1"/>
  <c r="G197" i="1"/>
  <c r="A197" i="1"/>
  <c r="I196" i="1"/>
  <c r="G196" i="1"/>
  <c r="A196" i="1"/>
  <c r="I195" i="1"/>
  <c r="G195" i="1"/>
  <c r="A195" i="1"/>
  <c r="I194" i="1"/>
  <c r="G194" i="1"/>
  <c r="A194" i="1"/>
  <c r="I193" i="1"/>
  <c r="G193" i="1"/>
  <c r="A193" i="1"/>
  <c r="I192" i="1"/>
  <c r="G192" i="1"/>
  <c r="A192" i="1"/>
  <c r="I191" i="1"/>
  <c r="G191" i="1"/>
  <c r="A191" i="1"/>
  <c r="I190" i="1"/>
  <c r="G190" i="1"/>
  <c r="A190" i="1"/>
  <c r="I189" i="1"/>
  <c r="G189" i="1"/>
  <c r="A189" i="1"/>
  <c r="I188" i="1"/>
  <c r="G188" i="1"/>
  <c r="A188" i="1"/>
  <c r="I187" i="1"/>
  <c r="G187" i="1"/>
  <c r="A187" i="1"/>
  <c r="I186" i="1"/>
  <c r="G186" i="1"/>
  <c r="A186" i="1"/>
  <c r="I185" i="1"/>
  <c r="G185" i="1"/>
  <c r="A185" i="1"/>
  <c r="I184" i="1"/>
  <c r="G184" i="1"/>
  <c r="A184" i="1"/>
  <c r="I183" i="1"/>
  <c r="G183" i="1"/>
  <c r="A183" i="1"/>
  <c r="I182" i="1"/>
  <c r="G182" i="1"/>
  <c r="A182" i="1"/>
  <c r="I181" i="1"/>
  <c r="G181" i="1"/>
  <c r="A181" i="1"/>
  <c r="I180" i="1"/>
  <c r="G180" i="1"/>
  <c r="A180" i="1"/>
  <c r="I179" i="1"/>
  <c r="G179" i="1"/>
  <c r="A179" i="1"/>
  <c r="I178" i="1"/>
  <c r="G178" i="1"/>
  <c r="A178" i="1"/>
  <c r="I177" i="1"/>
  <c r="G177" i="1"/>
  <c r="A177" i="1"/>
  <c r="I176" i="1"/>
  <c r="G176" i="1"/>
  <c r="A176" i="1"/>
  <c r="I175" i="1"/>
  <c r="G175" i="1"/>
  <c r="A175" i="1"/>
  <c r="I174" i="1"/>
  <c r="G174" i="1"/>
  <c r="A174" i="1"/>
  <c r="I173" i="1"/>
  <c r="G173" i="1"/>
  <c r="A173" i="1"/>
  <c r="I172" i="1"/>
  <c r="G172" i="1"/>
  <c r="A172" i="1"/>
  <c r="I171" i="1"/>
  <c r="G171" i="1"/>
  <c r="A171" i="1"/>
  <c r="I170" i="1"/>
  <c r="G170" i="1"/>
  <c r="A170" i="1"/>
  <c r="I169" i="1"/>
  <c r="G169" i="1"/>
  <c r="A169" i="1"/>
  <c r="I168" i="1"/>
  <c r="G168" i="1"/>
  <c r="A168" i="1"/>
  <c r="I167" i="1"/>
  <c r="G167" i="1"/>
  <c r="A167" i="1"/>
  <c r="I166" i="1"/>
  <c r="G166" i="1"/>
  <c r="A166" i="1"/>
  <c r="I165" i="1"/>
  <c r="G165" i="1"/>
  <c r="A165" i="1"/>
  <c r="I164" i="1"/>
  <c r="G164" i="1"/>
  <c r="A164" i="1"/>
  <c r="I163" i="1"/>
  <c r="G163" i="1"/>
  <c r="A163" i="1"/>
  <c r="I162" i="1"/>
  <c r="G162" i="1"/>
  <c r="A162" i="1"/>
  <c r="I161" i="1"/>
  <c r="G161" i="1"/>
  <c r="A161" i="1"/>
  <c r="I160" i="1"/>
  <c r="G160" i="1"/>
  <c r="A160" i="1"/>
  <c r="I159" i="1"/>
  <c r="G159" i="1"/>
  <c r="A159" i="1"/>
  <c r="I158" i="1"/>
  <c r="G158" i="1"/>
  <c r="A158" i="1"/>
  <c r="I157" i="1"/>
  <c r="G157" i="1"/>
  <c r="A157" i="1"/>
  <c r="I156" i="1"/>
  <c r="G156" i="1"/>
  <c r="A156" i="1"/>
  <c r="I155" i="1"/>
  <c r="G155" i="1"/>
  <c r="A155" i="1"/>
  <c r="I154" i="1"/>
  <c r="G154" i="1"/>
  <c r="A154" i="1"/>
  <c r="I153" i="1"/>
  <c r="G153" i="1"/>
  <c r="A153" i="1"/>
  <c r="I152" i="1"/>
  <c r="G152" i="1"/>
  <c r="A152" i="1"/>
  <c r="I151" i="1"/>
  <c r="G151" i="1"/>
  <c r="A151" i="1"/>
  <c r="I150" i="1"/>
  <c r="G150" i="1"/>
  <c r="A150" i="1"/>
  <c r="I149" i="1"/>
  <c r="G149" i="1"/>
  <c r="A149" i="1"/>
  <c r="I148" i="1"/>
  <c r="G148" i="1"/>
  <c r="A148" i="1"/>
  <c r="I147" i="1"/>
  <c r="G147" i="1"/>
  <c r="A147" i="1"/>
  <c r="I146" i="1"/>
  <c r="G146" i="1"/>
  <c r="A146" i="1"/>
  <c r="I145" i="1"/>
  <c r="G145" i="1"/>
  <c r="A145" i="1"/>
  <c r="I144" i="1"/>
  <c r="G144" i="1"/>
  <c r="A144" i="1"/>
  <c r="I143" i="1"/>
  <c r="G143" i="1"/>
  <c r="A143" i="1"/>
  <c r="I142" i="1"/>
  <c r="G142" i="1"/>
  <c r="A142" i="1"/>
  <c r="I141" i="1"/>
  <c r="G141" i="1"/>
  <c r="A141" i="1"/>
  <c r="I140" i="1"/>
  <c r="G140" i="1"/>
  <c r="A140" i="1"/>
  <c r="I139" i="1"/>
  <c r="G139" i="1"/>
  <c r="A139" i="1"/>
  <c r="I138" i="1"/>
  <c r="G138" i="1"/>
  <c r="A138" i="1"/>
  <c r="I137" i="1"/>
  <c r="G137" i="1"/>
  <c r="A137" i="1"/>
  <c r="I136" i="1"/>
  <c r="G136" i="1"/>
  <c r="A136" i="1"/>
  <c r="I135" i="1"/>
  <c r="G135" i="1"/>
  <c r="A135" i="1"/>
  <c r="I134" i="1"/>
  <c r="G134" i="1"/>
  <c r="A134" i="1"/>
  <c r="I133" i="1"/>
  <c r="G133" i="1"/>
  <c r="A133" i="1"/>
  <c r="I132" i="1"/>
  <c r="G132" i="1"/>
  <c r="A132" i="1"/>
  <c r="I131" i="1"/>
  <c r="G131" i="1"/>
  <c r="A131" i="1"/>
  <c r="I130" i="1"/>
  <c r="G130" i="1"/>
  <c r="A130" i="1"/>
  <c r="I129" i="1"/>
  <c r="G129" i="1"/>
  <c r="A129" i="1"/>
  <c r="I128" i="1"/>
  <c r="G128" i="1"/>
  <c r="A128" i="1"/>
  <c r="I127" i="1"/>
  <c r="G127" i="1"/>
  <c r="A127" i="1"/>
  <c r="I126" i="1"/>
  <c r="G126" i="1"/>
  <c r="A126" i="1"/>
  <c r="I125" i="1"/>
  <c r="G125" i="1"/>
  <c r="A125" i="1"/>
  <c r="I124" i="1"/>
  <c r="G124" i="1"/>
  <c r="A124" i="1"/>
  <c r="I123" i="1"/>
  <c r="G123" i="1"/>
  <c r="A123" i="1"/>
  <c r="I122" i="1"/>
  <c r="G122" i="1"/>
  <c r="A122" i="1"/>
  <c r="I121" i="1"/>
  <c r="G121" i="1"/>
  <c r="A121" i="1"/>
  <c r="I120" i="1"/>
  <c r="G120" i="1"/>
  <c r="A120" i="1"/>
  <c r="I119" i="1"/>
  <c r="G119" i="1"/>
  <c r="A119" i="1"/>
  <c r="I118" i="1"/>
  <c r="G118" i="1"/>
  <c r="A118" i="1"/>
  <c r="I117" i="1"/>
  <c r="G117" i="1"/>
  <c r="A117" i="1"/>
  <c r="I116" i="1"/>
  <c r="G116" i="1"/>
  <c r="A116" i="1"/>
  <c r="I115" i="1"/>
  <c r="G115" i="1"/>
  <c r="A115" i="1"/>
  <c r="I114" i="1"/>
  <c r="G114" i="1"/>
  <c r="A114" i="1"/>
  <c r="I113" i="1"/>
  <c r="G113" i="1"/>
  <c r="A113" i="1"/>
  <c r="I112" i="1"/>
  <c r="G112" i="1"/>
  <c r="A112" i="1"/>
  <c r="I111" i="1"/>
  <c r="G111" i="1"/>
  <c r="A111" i="1"/>
  <c r="I110" i="1"/>
  <c r="G110" i="1"/>
  <c r="A110" i="1"/>
  <c r="I109" i="1"/>
  <c r="G109" i="1"/>
  <c r="A109" i="1"/>
  <c r="I108" i="1"/>
  <c r="G108" i="1"/>
  <c r="A108" i="1"/>
  <c r="I107" i="1"/>
  <c r="G107" i="1"/>
  <c r="A107" i="1"/>
  <c r="I106" i="1"/>
  <c r="G106" i="1"/>
  <c r="A106" i="1"/>
  <c r="I105" i="1"/>
  <c r="G105" i="1"/>
  <c r="A105" i="1"/>
  <c r="I104" i="1"/>
  <c r="G104" i="1"/>
  <c r="A104" i="1"/>
  <c r="I103" i="1"/>
  <c r="G103" i="1"/>
  <c r="A103" i="1"/>
  <c r="I102" i="1"/>
  <c r="G102" i="1"/>
  <c r="A102" i="1"/>
  <c r="I101" i="1"/>
  <c r="G101" i="1"/>
  <c r="A101" i="1"/>
  <c r="I100" i="1"/>
  <c r="G100" i="1"/>
  <c r="A100" i="1"/>
  <c r="I99" i="1"/>
  <c r="G99" i="1"/>
  <c r="A99" i="1"/>
  <c r="I98" i="1"/>
  <c r="G98" i="1"/>
  <c r="A98" i="1"/>
  <c r="I97" i="1"/>
  <c r="G97" i="1"/>
  <c r="A97" i="1"/>
  <c r="I96" i="1"/>
  <c r="G96" i="1"/>
  <c r="A96" i="1"/>
  <c r="I95" i="1"/>
  <c r="G95" i="1"/>
  <c r="A95" i="1"/>
  <c r="I94" i="1"/>
  <c r="G94" i="1"/>
  <c r="A94" i="1"/>
  <c r="I93" i="1"/>
  <c r="G93" i="1"/>
  <c r="A93" i="1"/>
  <c r="I92" i="1"/>
  <c r="G92" i="1"/>
  <c r="A92" i="1"/>
  <c r="I91" i="1"/>
  <c r="G91" i="1"/>
  <c r="A91" i="1"/>
  <c r="I90" i="1"/>
  <c r="G90" i="1"/>
  <c r="A90" i="1"/>
  <c r="I89" i="1"/>
  <c r="G89" i="1"/>
  <c r="A89" i="1"/>
  <c r="I88" i="1"/>
  <c r="G88" i="1"/>
  <c r="A88" i="1"/>
  <c r="I87" i="1"/>
  <c r="G87" i="1"/>
  <c r="A87" i="1"/>
  <c r="I86" i="1"/>
  <c r="G86" i="1"/>
  <c r="A86" i="1"/>
  <c r="I85" i="1"/>
  <c r="G85" i="1"/>
  <c r="A85" i="1"/>
  <c r="I84" i="1"/>
  <c r="G84" i="1"/>
  <c r="A84" i="1"/>
  <c r="I83" i="1"/>
  <c r="G83" i="1"/>
  <c r="A83" i="1"/>
  <c r="I82" i="1"/>
  <c r="G82" i="1"/>
  <c r="A82" i="1"/>
  <c r="I81" i="1"/>
  <c r="G81" i="1"/>
  <c r="A81" i="1"/>
  <c r="I80" i="1"/>
  <c r="G80" i="1"/>
  <c r="A80" i="1"/>
  <c r="I79" i="1"/>
  <c r="G79" i="1"/>
  <c r="A79" i="1"/>
  <c r="I78" i="1"/>
  <c r="G78" i="1"/>
  <c r="A78" i="1"/>
  <c r="I77" i="1"/>
  <c r="G77" i="1"/>
  <c r="A77" i="1"/>
  <c r="I76" i="1"/>
  <c r="G76" i="1"/>
  <c r="A76" i="1"/>
  <c r="I75" i="1"/>
  <c r="G75" i="1"/>
  <c r="A75" i="1"/>
  <c r="I74" i="1"/>
  <c r="G74" i="1"/>
  <c r="A74" i="1"/>
  <c r="I73" i="1"/>
  <c r="G73" i="1"/>
  <c r="A73" i="1"/>
  <c r="I72" i="1"/>
  <c r="G72" i="1"/>
  <c r="A72" i="1"/>
  <c r="I71" i="1"/>
  <c r="G71" i="1"/>
  <c r="A71" i="1"/>
  <c r="I70" i="1"/>
  <c r="G70" i="1"/>
  <c r="A70" i="1"/>
  <c r="I69" i="1"/>
  <c r="G69" i="1"/>
  <c r="A69" i="1"/>
  <c r="I68" i="1"/>
  <c r="G68" i="1"/>
  <c r="A68" i="1"/>
  <c r="I67" i="1"/>
  <c r="G67" i="1"/>
  <c r="A67" i="1"/>
  <c r="I66" i="1"/>
  <c r="G66" i="1"/>
  <c r="A66" i="1"/>
  <c r="I65" i="1"/>
  <c r="G65" i="1"/>
  <c r="A65" i="1"/>
  <c r="I64" i="1"/>
  <c r="G64" i="1"/>
  <c r="A64" i="1"/>
  <c r="I63" i="1"/>
  <c r="G63" i="1"/>
  <c r="A63" i="1"/>
  <c r="I62" i="1"/>
  <c r="G62" i="1"/>
  <c r="A62" i="1"/>
  <c r="I61" i="1"/>
  <c r="G61" i="1"/>
  <c r="A61" i="1"/>
  <c r="I60" i="1"/>
  <c r="G60" i="1"/>
  <c r="A60" i="1"/>
  <c r="I59" i="1"/>
  <c r="G59" i="1"/>
  <c r="A59" i="1"/>
  <c r="I58" i="1"/>
  <c r="G58" i="1"/>
  <c r="A58" i="1"/>
  <c r="I57" i="1"/>
  <c r="G57" i="1"/>
  <c r="A57" i="1"/>
  <c r="I56" i="1"/>
  <c r="G56" i="1"/>
  <c r="A56" i="1"/>
  <c r="I55" i="1"/>
  <c r="G55" i="1"/>
  <c r="A55" i="1"/>
  <c r="I54" i="1"/>
  <c r="G54" i="1"/>
  <c r="A54" i="1"/>
  <c r="I53" i="1"/>
  <c r="G53" i="1"/>
  <c r="A53" i="1"/>
  <c r="I52" i="1"/>
  <c r="G52" i="1"/>
  <c r="A52" i="1"/>
  <c r="I51" i="1"/>
  <c r="G51" i="1"/>
  <c r="A51" i="1"/>
  <c r="I50" i="1"/>
  <c r="G50" i="1"/>
  <c r="A50" i="1"/>
  <c r="I49" i="1"/>
  <c r="G49" i="1"/>
  <c r="A49" i="1"/>
  <c r="I48" i="1"/>
  <c r="G48" i="1"/>
  <c r="A48" i="1"/>
  <c r="I47" i="1"/>
  <c r="G47" i="1"/>
  <c r="A47" i="1"/>
  <c r="A46" i="1"/>
  <c r="I45" i="1"/>
  <c r="G45" i="1"/>
  <c r="A45" i="1"/>
  <c r="I44" i="1"/>
  <c r="G44" i="1"/>
  <c r="A44" i="1"/>
  <c r="I43" i="1"/>
  <c r="G43" i="1"/>
  <c r="A43" i="1"/>
  <c r="A42" i="1"/>
  <c r="I41" i="1"/>
  <c r="G41" i="1"/>
  <c r="A41" i="1"/>
  <c r="I40" i="1"/>
  <c r="G40" i="1"/>
  <c r="A40" i="1"/>
  <c r="A39" i="1"/>
  <c r="A38" i="1"/>
  <c r="A37" i="1"/>
  <c r="A36" i="1"/>
  <c r="G35" i="1"/>
  <c r="A35" i="1"/>
  <c r="A34" i="1"/>
  <c r="A33" i="1"/>
  <c r="I32" i="1"/>
  <c r="A32" i="1"/>
  <c r="A31" i="1"/>
  <c r="I30" i="1"/>
  <c r="G30" i="1"/>
  <c r="A30" i="1"/>
  <c r="A29" i="1"/>
  <c r="I28" i="1"/>
  <c r="G28" i="1"/>
  <c r="A28" i="1"/>
  <c r="I27" i="1"/>
  <c r="G27" i="1"/>
  <c r="A27" i="1"/>
  <c r="I26" i="1"/>
  <c r="G26" i="1"/>
  <c r="A26" i="1"/>
  <c r="A25" i="1"/>
  <c r="A24" i="1"/>
  <c r="A22" i="1"/>
  <c r="A21" i="1"/>
  <c r="A20" i="1"/>
  <c r="I19" i="1"/>
  <c r="G19" i="1"/>
  <c r="A19" i="1"/>
  <c r="I18" i="1"/>
  <c r="G18" i="1"/>
  <c r="A18" i="1"/>
  <c r="A17" i="1"/>
  <c r="A16" i="1"/>
  <c r="I15" i="1"/>
  <c r="G15" i="1"/>
  <c r="A15" i="1"/>
  <c r="A14" i="1"/>
  <c r="A13" i="1"/>
  <c r="A12" i="1"/>
  <c r="A11" i="1"/>
  <c r="A10" i="1"/>
  <c r="A9" i="1"/>
  <c r="I8" i="1"/>
  <c r="A8" i="1"/>
  <c r="I7" i="1"/>
  <c r="A7" i="1"/>
  <c r="A6" i="1"/>
  <c r="I5" i="1"/>
  <c r="G5" i="1"/>
  <c r="A5" i="1"/>
  <c r="I4" i="1"/>
  <c r="A4" i="1"/>
  <c r="I3" i="1"/>
  <c r="G3" i="1"/>
  <c r="A3" i="1"/>
  <c r="G15" i="2" s="1"/>
  <c r="L17" i="2"/>
  <c r="G19" i="2" l="1"/>
  <c r="G20" i="2"/>
  <c r="L15" i="2"/>
  <c r="G16" i="2"/>
  <c r="L16" i="2"/>
  <c r="G9" i="2"/>
  <c r="C71" i="2" s="1"/>
  <c r="L19" i="2"/>
  <c r="L9" i="2"/>
  <c r="G10" i="2"/>
  <c r="L21" i="2"/>
  <c r="G22" i="2"/>
  <c r="G14" i="2"/>
  <c r="G11" i="2"/>
  <c r="L25" i="2"/>
  <c r="L14" i="2"/>
  <c r="L26" i="2"/>
  <c r="M61" i="2" l="1"/>
  <c r="K61" i="2"/>
</calcChain>
</file>

<file path=xl/sharedStrings.xml><?xml version="1.0" encoding="utf-8"?>
<sst xmlns="http://schemas.openxmlformats.org/spreadsheetml/2006/main" count="908" uniqueCount="620">
  <si>
    <t>계약
번호</t>
  </si>
  <si>
    <t>계약
일자</t>
  </si>
  <si>
    <t>차종</t>
  </si>
  <si>
    <t>차대번호</t>
  </si>
  <si>
    <t>차량번호</t>
  </si>
  <si>
    <t>색상</t>
  </si>
  <si>
    <t>일사용료</t>
  </si>
  <si>
    <t>사용일</t>
  </si>
  <si>
    <t>보증금</t>
  </si>
  <si>
    <t>업체명</t>
  </si>
  <si>
    <t>사업자등록번호</t>
  </si>
  <si>
    <t>라이더명</t>
  </si>
  <si>
    <t>업체 주소</t>
  </si>
  <si>
    <t>라이더 연락처</t>
  </si>
  <si>
    <t>라이더 주민번호</t>
  </si>
  <si>
    <t>라이더 주소</t>
  </si>
  <si>
    <t>대표자명</t>
  </si>
  <si>
    <t>대표자 연락처</t>
  </si>
  <si>
    <t>대표자 주민번호</t>
  </si>
  <si>
    <t>대표자 주소</t>
  </si>
  <si>
    <r>
      <rPr>
        <sz val="10"/>
        <color theme="1"/>
        <rFont val="DejaVu Sans"/>
        <family val="2"/>
      </rPr>
      <t>포르자</t>
    </r>
    <r>
      <rPr>
        <sz val="10"/>
        <color theme="1"/>
        <rFont val="맑은 고딕"/>
        <family val="3"/>
        <charset val="129"/>
      </rPr>
      <t>350</t>
    </r>
  </si>
  <si>
    <t>MLHNF09K7S5404988</t>
  </si>
  <si>
    <t>블랙</t>
  </si>
  <si>
    <r>
      <rPr>
        <sz val="10"/>
        <color theme="1"/>
        <rFont val="맑은 고딕"/>
        <family val="3"/>
        <charset val="129"/>
      </rPr>
      <t>365</t>
    </r>
    <r>
      <rPr>
        <sz val="10"/>
        <color theme="1"/>
        <rFont val="DejaVu Sans"/>
        <family val="2"/>
      </rPr>
      <t>일</t>
    </r>
  </si>
  <si>
    <t>도리안</t>
  </si>
  <si>
    <t>457-18-02378</t>
  </si>
  <si>
    <t>김효훈</t>
  </si>
  <si>
    <r>
      <rPr>
        <sz val="10"/>
        <color theme="1"/>
        <rFont val="DejaVu Sans"/>
        <family val="2"/>
      </rPr>
      <t xml:space="preserve">경기도 오산시 가장로 </t>
    </r>
    <r>
      <rPr>
        <sz val="10"/>
        <color theme="1"/>
        <rFont val="맑은 고딕"/>
        <family val="3"/>
        <charset val="129"/>
      </rPr>
      <t>727-23, 305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청학동</t>
    </r>
    <r>
      <rPr>
        <sz val="10"/>
        <color theme="1"/>
        <rFont val="맑은 고딕"/>
        <family val="3"/>
        <charset val="129"/>
      </rPr>
      <t>)</t>
    </r>
  </si>
  <si>
    <t>010-9196-0207</t>
  </si>
  <si>
    <t>880515-1483337</t>
  </si>
  <si>
    <r>
      <rPr>
        <sz val="10"/>
        <color theme="1"/>
        <rFont val="DejaVu Sans"/>
        <family val="2"/>
      </rPr>
      <t>경기도 오산시 궐동로</t>
    </r>
    <r>
      <rPr>
        <sz val="10"/>
        <color theme="1"/>
        <rFont val="맑은 고딕"/>
        <family val="3"/>
        <charset val="129"/>
      </rPr>
      <t>7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3-5, 301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궐동</t>
    </r>
    <r>
      <rPr>
        <sz val="10"/>
        <color theme="1"/>
        <rFont val="맑은 고딕"/>
        <family val="3"/>
        <charset val="129"/>
      </rPr>
      <t>)</t>
    </r>
  </si>
  <si>
    <t>VF100R</t>
  </si>
  <si>
    <t>MLHNF09K0P5202825</t>
  </si>
  <si>
    <r>
      <rPr>
        <sz val="10"/>
        <color theme="1"/>
        <rFont val="맑은 고딕"/>
        <family val="3"/>
        <charset val="129"/>
      </rPr>
      <t>15,500</t>
    </r>
    <r>
      <rPr>
        <sz val="10"/>
        <color theme="1"/>
        <rFont val="DejaVu Sans"/>
        <family val="2"/>
      </rPr>
      <t>원</t>
    </r>
  </si>
  <si>
    <t>이음</t>
  </si>
  <si>
    <t>429-55-00991</t>
  </si>
  <si>
    <t>김한수</t>
  </si>
  <si>
    <r>
      <rPr>
        <sz val="10"/>
        <color theme="1"/>
        <rFont val="DejaVu Sans"/>
        <family val="2"/>
      </rPr>
      <t>경기도 수원시 장안구 장안로</t>
    </r>
    <r>
      <rPr>
        <sz val="10"/>
        <color theme="1"/>
        <rFont val="맑은 고딕"/>
        <family val="3"/>
        <charset val="129"/>
      </rPr>
      <t>53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24, 202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영화동</t>
    </r>
    <r>
      <rPr>
        <sz val="10"/>
        <color theme="1"/>
        <rFont val="맑은 고딕"/>
        <family val="3"/>
        <charset val="129"/>
      </rPr>
      <t>)</t>
    </r>
  </si>
  <si>
    <t>010-5834-0495</t>
  </si>
  <si>
    <t>671025-1250017</t>
  </si>
  <si>
    <r>
      <rPr>
        <sz val="10"/>
        <color theme="1"/>
        <rFont val="DejaVu Sans"/>
        <family val="2"/>
      </rPr>
      <t xml:space="preserve">경기도 수원시 권선구 권중로 </t>
    </r>
    <r>
      <rPr>
        <sz val="10"/>
        <color theme="1"/>
        <rFont val="맑은 고딕"/>
        <family val="3"/>
        <charset val="129"/>
      </rPr>
      <t>110, 609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901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권선동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유원보성아파트</t>
    </r>
    <r>
      <rPr>
        <sz val="10"/>
        <color theme="1"/>
        <rFont val="맑은 고딕"/>
        <family val="3"/>
        <charset val="129"/>
      </rPr>
      <t>)</t>
    </r>
  </si>
  <si>
    <t>CB115</t>
  </si>
  <si>
    <t>NMAX125</t>
  </si>
  <si>
    <t>MH3SEL147SK006710</t>
  </si>
  <si>
    <t>제이에스컴퍼니</t>
  </si>
  <si>
    <t>771-58-00762</t>
  </si>
  <si>
    <t>기진성</t>
  </si>
  <si>
    <r>
      <rPr>
        <sz val="10"/>
        <color theme="1"/>
        <rFont val="DejaVu Sans"/>
        <family val="2"/>
      </rPr>
      <t>경기도 화성시 봉담읍 진등</t>
    </r>
    <r>
      <rPr>
        <sz val="10"/>
        <color theme="1"/>
        <rFont val="맑은 고딕"/>
        <family val="3"/>
        <charset val="129"/>
      </rPr>
      <t>2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15, 2</t>
    </r>
    <r>
      <rPr>
        <sz val="10"/>
        <color theme="1"/>
        <rFont val="DejaVu Sans"/>
        <family val="2"/>
      </rPr>
      <t>층</t>
    </r>
    <r>
      <rPr>
        <sz val="10"/>
        <color theme="1"/>
        <rFont val="맑은 고딕"/>
        <family val="3"/>
        <charset val="129"/>
      </rPr>
      <t>202</t>
    </r>
    <r>
      <rPr>
        <sz val="10"/>
        <color theme="1"/>
        <rFont val="DejaVu Sans"/>
        <family val="2"/>
      </rPr>
      <t>호</t>
    </r>
  </si>
  <si>
    <t>010-3035-1343</t>
  </si>
  <si>
    <t>920528-1090711</t>
  </si>
  <si>
    <r>
      <rPr>
        <sz val="10"/>
        <color theme="1"/>
        <rFont val="DejaVu Sans"/>
        <family val="2"/>
      </rPr>
      <t>부산광역시 사하구 낙동대로</t>
    </r>
    <r>
      <rPr>
        <sz val="10"/>
        <color theme="1"/>
        <rFont val="맑은 고딕"/>
        <family val="3"/>
        <charset val="129"/>
      </rPr>
      <t>140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99, 1504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괴정동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삼성타워</t>
    </r>
    <r>
      <rPr>
        <sz val="10"/>
        <color theme="1"/>
        <rFont val="맑은 고딕"/>
        <family val="3"/>
        <charset val="129"/>
      </rPr>
      <t>)</t>
    </r>
  </si>
  <si>
    <t>UHR125</t>
  </si>
  <si>
    <t>WW125A(A.PCX125)</t>
  </si>
  <si>
    <t>RLHJK05K0SY316835</t>
  </si>
  <si>
    <t>화이트</t>
  </si>
  <si>
    <r>
      <rPr>
        <sz val="10"/>
        <color theme="1"/>
        <rFont val="DejaVu Sans"/>
        <family val="2"/>
      </rPr>
      <t>에이치에스</t>
    </r>
    <r>
      <rPr>
        <sz val="10"/>
        <color theme="1"/>
        <rFont val="맑은 고딕"/>
        <family val="3"/>
        <charset val="129"/>
      </rPr>
      <t>(HS)</t>
    </r>
    <r>
      <rPr>
        <sz val="10"/>
        <color theme="1"/>
        <rFont val="DejaVu Sans"/>
        <family val="2"/>
      </rPr>
      <t>신속</t>
    </r>
  </si>
  <si>
    <t>751-06-01657</t>
  </si>
  <si>
    <t>한현수</t>
  </si>
  <si>
    <r>
      <rPr>
        <sz val="10"/>
        <color theme="1"/>
        <rFont val="DejaVu Sans"/>
        <family val="2"/>
      </rPr>
      <t>경기도 화성시 동탄장지천</t>
    </r>
    <r>
      <rPr>
        <sz val="10"/>
        <color theme="1"/>
        <rFont val="맑은 고딕"/>
        <family val="3"/>
        <charset val="129"/>
      </rPr>
      <t>5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24-6(</t>
    </r>
    <r>
      <rPr>
        <sz val="10"/>
        <color theme="1"/>
        <rFont val="DejaVu Sans"/>
        <family val="2"/>
      </rPr>
      <t>장지동</t>
    </r>
    <r>
      <rPr>
        <sz val="10"/>
        <color theme="1"/>
        <rFont val="맑은 고딕"/>
        <family val="3"/>
        <charset val="129"/>
      </rPr>
      <t>)</t>
    </r>
  </si>
  <si>
    <t>010-3208-9007</t>
  </si>
  <si>
    <t>940428-1168213</t>
  </si>
  <si>
    <r>
      <rPr>
        <sz val="10"/>
        <color theme="1"/>
        <rFont val="DejaVu Sans"/>
        <family val="2"/>
      </rPr>
      <t>경기도 남양주시 진접읍 금강로영지동</t>
    </r>
    <r>
      <rPr>
        <sz val="10"/>
        <color theme="1"/>
        <rFont val="맑은 고딕"/>
        <family val="3"/>
        <charset val="129"/>
      </rPr>
      <t>2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7-18</t>
    </r>
  </si>
  <si>
    <r>
      <rPr>
        <sz val="10"/>
        <color theme="1"/>
        <rFont val="DejaVu Sans"/>
        <family val="2"/>
      </rPr>
      <t>크루심</t>
    </r>
    <r>
      <rPr>
        <sz val="10"/>
        <color theme="1"/>
        <rFont val="맑은 고딕"/>
        <family val="3"/>
        <charset val="129"/>
      </rPr>
      <t>125</t>
    </r>
  </si>
  <si>
    <t>XMAX</t>
  </si>
  <si>
    <t>MH3SH2389SK003132</t>
  </si>
  <si>
    <t>CUB110</t>
  </si>
  <si>
    <t>MH3SH2387SK002951</t>
  </si>
  <si>
    <r>
      <rPr>
        <sz val="10"/>
        <color theme="1"/>
        <rFont val="DejaVu Sans"/>
        <family val="2"/>
      </rPr>
      <t>블랙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유</t>
    </r>
    <r>
      <rPr>
        <sz val="10"/>
        <color theme="1"/>
        <rFont val="맑은 고딕"/>
        <family val="3"/>
        <charset val="129"/>
      </rPr>
      <t>)</t>
    </r>
  </si>
  <si>
    <t>PCX125(ABS)</t>
  </si>
  <si>
    <t>A.PCX125</t>
  </si>
  <si>
    <t>RLHJK05K7SY317108</t>
  </si>
  <si>
    <t>지준 라이더스</t>
  </si>
  <si>
    <t>815-17-01826</t>
  </si>
  <si>
    <t>김지호</t>
  </si>
  <si>
    <r>
      <rPr>
        <sz val="10"/>
        <color theme="1"/>
        <rFont val="DejaVu Sans"/>
        <family val="2"/>
      </rPr>
      <t>경기도 화성시 영통로</t>
    </r>
    <r>
      <rPr>
        <sz val="10"/>
        <color theme="1"/>
        <rFont val="맑은 고딕"/>
        <family val="3"/>
        <charset val="129"/>
      </rPr>
      <t>27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12-3, 1</t>
    </r>
    <r>
      <rPr>
        <sz val="10"/>
        <color theme="1"/>
        <rFont val="DejaVu Sans"/>
        <family val="2"/>
      </rPr>
      <t xml:space="preserve">층 </t>
    </r>
    <r>
      <rPr>
        <sz val="10"/>
        <color theme="1"/>
        <rFont val="맑은 고딕"/>
        <family val="3"/>
        <charset val="129"/>
      </rPr>
      <t>105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반월동</t>
    </r>
    <r>
      <rPr>
        <sz val="10"/>
        <color theme="1"/>
        <rFont val="맑은 고딕"/>
        <family val="3"/>
        <charset val="129"/>
      </rPr>
      <t>)</t>
    </r>
  </si>
  <si>
    <t>010-2974-6650</t>
  </si>
  <si>
    <t>801009-1231323</t>
  </si>
  <si>
    <r>
      <rPr>
        <sz val="10"/>
        <color theme="1"/>
        <rFont val="DejaVu Sans"/>
        <family val="2"/>
      </rPr>
      <t>경기도 용인시 기흥구 서천로</t>
    </r>
    <r>
      <rPr>
        <sz val="10"/>
        <color theme="1"/>
        <rFont val="맑은 고딕"/>
        <family val="3"/>
        <charset val="129"/>
      </rPr>
      <t>128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12, 202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1405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서천동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휴먼시아</t>
    </r>
    <r>
      <rPr>
        <sz val="10"/>
        <color theme="1"/>
        <rFont val="맑은 고딕"/>
        <family val="3"/>
        <charset val="129"/>
      </rPr>
      <t>)</t>
    </r>
  </si>
  <si>
    <t>RLHJK05K4SY317096</t>
  </si>
  <si>
    <t>원탑 배달대행</t>
  </si>
  <si>
    <t>492-25-01502</t>
  </si>
  <si>
    <t>변원석</t>
  </si>
  <si>
    <r>
      <rPr>
        <sz val="10"/>
        <color theme="1"/>
        <rFont val="DejaVu Sans"/>
        <family val="2"/>
      </rPr>
      <t>경기도 화성시 지산</t>
    </r>
    <r>
      <rPr>
        <sz val="10"/>
        <color theme="1"/>
        <rFont val="맑은 고딕"/>
        <family val="3"/>
        <charset val="129"/>
      </rPr>
      <t>2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34-6, 102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영천동</t>
    </r>
    <r>
      <rPr>
        <sz val="10"/>
        <color theme="1"/>
        <rFont val="맑은 고딕"/>
        <family val="3"/>
        <charset val="129"/>
      </rPr>
      <t>)</t>
    </r>
  </si>
  <si>
    <t>010-8283-4528</t>
  </si>
  <si>
    <t>740401-1661819</t>
  </si>
  <si>
    <r>
      <rPr>
        <sz val="10"/>
        <color theme="1"/>
        <rFont val="DejaVu Sans"/>
        <family val="2"/>
      </rPr>
      <t xml:space="preserve">경기도 오산시 법원로 </t>
    </r>
    <r>
      <rPr>
        <sz val="10"/>
        <color theme="1"/>
        <rFont val="맑은 고딕"/>
        <family val="3"/>
        <charset val="129"/>
      </rPr>
      <t>15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27, 307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궐동</t>
    </r>
    <r>
      <rPr>
        <sz val="10"/>
        <color theme="1"/>
        <rFont val="맑은 고딕"/>
        <family val="3"/>
        <charset val="129"/>
      </rPr>
      <t>)</t>
    </r>
  </si>
  <si>
    <t>NMAX155</t>
  </si>
  <si>
    <t>RLHJK05K0SY317046</t>
  </si>
  <si>
    <t>RLHJK05K1SY316679</t>
  </si>
  <si>
    <t>데이바이홈</t>
  </si>
  <si>
    <t>487-63-00385</t>
  </si>
  <si>
    <t>김영선</t>
  </si>
  <si>
    <r>
      <rPr>
        <sz val="10"/>
        <color theme="1"/>
        <rFont val="DejaVu Sans"/>
        <family val="2"/>
      </rPr>
      <t>경기도 화성시 노작로</t>
    </r>
    <r>
      <rPr>
        <sz val="10"/>
        <color theme="1"/>
        <rFont val="맑은 고딕"/>
        <family val="3"/>
        <charset val="129"/>
      </rPr>
      <t>3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30, 1</t>
    </r>
    <r>
      <rPr>
        <sz val="10"/>
        <color theme="1"/>
        <rFont val="DejaVu Sans"/>
        <family val="2"/>
      </rPr>
      <t xml:space="preserve">층 </t>
    </r>
    <r>
      <rPr>
        <sz val="10"/>
        <color theme="1"/>
        <rFont val="맑은 고딕"/>
        <family val="3"/>
        <charset val="129"/>
      </rPr>
      <t>102</t>
    </r>
    <r>
      <rPr>
        <sz val="10"/>
        <color theme="1"/>
        <rFont val="DejaVu Sans"/>
        <family val="2"/>
      </rPr>
      <t>호 일부</t>
    </r>
  </si>
  <si>
    <t>010-7770-3641</t>
  </si>
  <si>
    <t>850425-2530411</t>
  </si>
  <si>
    <r>
      <rPr>
        <sz val="10"/>
        <color theme="1"/>
        <rFont val="DejaVu Sans"/>
        <family val="2"/>
      </rPr>
      <t>인천광역시 남동구 청능대로</t>
    </r>
    <r>
      <rPr>
        <sz val="10"/>
        <color theme="1"/>
        <rFont val="맑은 고딕"/>
        <family val="3"/>
        <charset val="129"/>
      </rPr>
      <t>718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7, 107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1803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논현동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소래마을풍림</t>
    </r>
    <r>
      <rPr>
        <sz val="10"/>
        <color theme="1"/>
        <rFont val="맑은 고딕"/>
        <family val="3"/>
        <charset val="129"/>
      </rPr>
      <t>@)</t>
    </r>
  </si>
  <si>
    <t>RLHJK05K6SY316256</t>
  </si>
  <si>
    <t>그레이</t>
  </si>
  <si>
    <t>ADV350</t>
  </si>
  <si>
    <t>RLHJK05K4SY317759</t>
  </si>
  <si>
    <t>진안</t>
  </si>
  <si>
    <t>810-13-02254</t>
  </si>
  <si>
    <t>변재홍</t>
  </si>
  <si>
    <r>
      <rPr>
        <sz val="10"/>
        <color theme="1"/>
        <rFont val="DejaVu Sans"/>
        <family val="2"/>
      </rPr>
      <t xml:space="preserve">경기도 화성시 병점동로 </t>
    </r>
    <r>
      <rPr>
        <sz val="10"/>
        <color theme="1"/>
        <rFont val="맑은 고딕"/>
        <family val="3"/>
        <charset val="129"/>
      </rPr>
      <t>120-6, 1</t>
    </r>
    <r>
      <rPr>
        <sz val="10"/>
        <color theme="1"/>
        <rFont val="DejaVu Sans"/>
        <family val="2"/>
      </rPr>
      <t xml:space="preserve">층 </t>
    </r>
    <r>
      <rPr>
        <sz val="10"/>
        <color theme="1"/>
        <rFont val="맑은 고딕"/>
        <family val="3"/>
        <charset val="129"/>
      </rPr>
      <t>103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진안동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파크빌상가</t>
    </r>
    <r>
      <rPr>
        <sz val="10"/>
        <color theme="1"/>
        <rFont val="맑은 고딕"/>
        <family val="3"/>
        <charset val="129"/>
      </rPr>
      <t>)</t>
    </r>
  </si>
  <si>
    <t>010-4424-9795</t>
  </si>
  <si>
    <t>680219-1323434</t>
  </si>
  <si>
    <r>
      <rPr>
        <sz val="10"/>
        <color theme="1"/>
        <rFont val="DejaVu Sans"/>
        <family val="2"/>
      </rPr>
      <t>경기도 화성시 병점</t>
    </r>
    <r>
      <rPr>
        <sz val="10"/>
        <color theme="1"/>
        <rFont val="맑은 고딕"/>
        <family val="3"/>
        <charset val="129"/>
      </rPr>
      <t>3</t>
    </r>
    <r>
      <rPr>
        <sz val="10"/>
        <color theme="1"/>
        <rFont val="DejaVu Sans"/>
        <family val="2"/>
      </rPr>
      <t xml:space="preserve">로 </t>
    </r>
    <r>
      <rPr>
        <sz val="10"/>
        <color theme="1"/>
        <rFont val="맑은 고딕"/>
        <family val="3"/>
        <charset val="129"/>
      </rPr>
      <t>157, 801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1602</t>
    </r>
    <r>
      <rPr>
        <sz val="10"/>
        <color theme="1"/>
        <rFont val="DejaVu Sans"/>
        <family val="2"/>
      </rPr>
      <t>호</t>
    </r>
  </si>
  <si>
    <r>
      <rPr>
        <sz val="10"/>
        <color theme="1"/>
        <rFont val="DejaVu Sans"/>
        <family val="2"/>
      </rPr>
      <t>존테스</t>
    </r>
    <r>
      <rPr>
        <sz val="10"/>
        <color theme="1"/>
        <rFont val="맑은 고딕"/>
        <family val="3"/>
        <charset val="129"/>
      </rPr>
      <t>350D</t>
    </r>
  </si>
  <si>
    <t>MH3SEL141SK006718</t>
  </si>
  <si>
    <r>
      <rPr>
        <sz val="10"/>
        <color theme="1"/>
        <rFont val="DejaVu Sans"/>
        <family val="2"/>
      </rPr>
      <t>진바이크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동탄점</t>
    </r>
    <r>
      <rPr>
        <sz val="10"/>
        <color theme="1"/>
        <rFont val="맑은 고딕"/>
        <family val="3"/>
        <charset val="129"/>
      </rPr>
      <t>)</t>
    </r>
  </si>
  <si>
    <t>135-30-73505</t>
  </si>
  <si>
    <t>김환철</t>
  </si>
  <si>
    <r>
      <rPr>
        <sz val="10"/>
        <color theme="1"/>
        <rFont val="DejaVu Sans"/>
        <family val="2"/>
      </rPr>
      <t>경기도 화성시 동탄반송</t>
    </r>
    <r>
      <rPr>
        <sz val="10"/>
        <color theme="1"/>
        <rFont val="맑은 고딕"/>
        <family val="3"/>
        <charset val="129"/>
      </rPr>
      <t>1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36-16(</t>
    </r>
    <r>
      <rPr>
        <sz val="10"/>
        <color theme="1"/>
        <rFont val="DejaVu Sans"/>
        <family val="2"/>
      </rPr>
      <t>반송동</t>
    </r>
    <r>
      <rPr>
        <sz val="10"/>
        <color theme="1"/>
        <rFont val="맑은 고딕"/>
        <family val="3"/>
        <charset val="129"/>
      </rPr>
      <t>, 1</t>
    </r>
    <r>
      <rPr>
        <sz val="10"/>
        <color theme="1"/>
        <rFont val="DejaVu Sans"/>
        <family val="2"/>
      </rPr>
      <t>층</t>
    </r>
    <r>
      <rPr>
        <sz val="10"/>
        <color theme="1"/>
        <rFont val="맑은 고딕"/>
        <family val="3"/>
        <charset val="129"/>
      </rPr>
      <t>)</t>
    </r>
  </si>
  <si>
    <t>010-4122-9663</t>
  </si>
  <si>
    <t>690405-1682836</t>
  </si>
  <si>
    <r>
      <rPr>
        <sz val="10"/>
        <color theme="1"/>
        <rFont val="DejaVu Sans"/>
        <family val="2"/>
      </rPr>
      <t>존테스</t>
    </r>
    <r>
      <rPr>
        <sz val="10"/>
        <color theme="1"/>
        <rFont val="맑은 고딕"/>
        <family val="3"/>
        <charset val="129"/>
      </rPr>
      <t>368E</t>
    </r>
  </si>
  <si>
    <t>RLHJK05K4SY318233</t>
  </si>
  <si>
    <r>
      <rPr>
        <sz val="10"/>
        <color theme="1"/>
        <rFont val="DejaVu Sans"/>
        <family val="2"/>
      </rPr>
      <t>존테스</t>
    </r>
    <r>
      <rPr>
        <sz val="10"/>
        <color theme="1"/>
        <rFont val="맑은 고딕"/>
        <family val="3"/>
        <charset val="129"/>
      </rPr>
      <t>368G</t>
    </r>
  </si>
  <si>
    <t>RLHJK05K9SY318258</t>
  </si>
  <si>
    <t>MLHNF09K2S5405336</t>
  </si>
  <si>
    <r>
      <rPr>
        <sz val="10"/>
        <color theme="1"/>
        <rFont val="DejaVu Sans"/>
        <family val="2"/>
      </rPr>
      <t>에이스오토바이</t>
    </r>
    <r>
      <rPr>
        <sz val="10"/>
        <color theme="1"/>
        <rFont val="맑은 고딕"/>
        <family val="3"/>
        <charset val="129"/>
      </rPr>
      <t>.</t>
    </r>
    <r>
      <rPr>
        <sz val="10"/>
        <color theme="1"/>
        <rFont val="DejaVu Sans"/>
        <family val="2"/>
      </rPr>
      <t>진바이크</t>
    </r>
  </si>
  <si>
    <t>603-17-35908</t>
  </si>
  <si>
    <t>김정태</t>
  </si>
  <si>
    <r>
      <rPr>
        <sz val="10"/>
        <color theme="1"/>
        <rFont val="DejaVu Sans"/>
        <family val="2"/>
      </rPr>
      <t xml:space="preserve">경기도 수원시 장안구 송정로 </t>
    </r>
    <r>
      <rPr>
        <sz val="10"/>
        <color theme="1"/>
        <rFont val="맑은 고딕"/>
        <family val="3"/>
        <charset val="129"/>
      </rPr>
      <t>30(</t>
    </r>
    <r>
      <rPr>
        <sz val="10"/>
        <color theme="1"/>
        <rFont val="DejaVu Sans"/>
        <family val="2"/>
      </rPr>
      <t>정자동</t>
    </r>
    <r>
      <rPr>
        <sz val="10"/>
        <color theme="1"/>
        <rFont val="맑은 고딕"/>
        <family val="3"/>
        <charset val="129"/>
      </rPr>
      <t>)</t>
    </r>
  </si>
  <si>
    <t>010-4576-4491</t>
  </si>
  <si>
    <t>720221-1162010</t>
  </si>
  <si>
    <r>
      <rPr>
        <sz val="10"/>
        <color theme="1"/>
        <rFont val="DejaVu Sans"/>
        <family val="2"/>
      </rPr>
      <t>경기도 수원시 권선구 호매실로</t>
    </r>
    <r>
      <rPr>
        <sz val="10"/>
        <color theme="1"/>
        <rFont val="맑은 고딕"/>
        <family val="3"/>
        <charset val="129"/>
      </rPr>
      <t>166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33, 1802</t>
    </r>
    <r>
      <rPr>
        <sz val="10"/>
        <color theme="1"/>
        <rFont val="DejaVu Sans"/>
        <family val="2"/>
      </rPr>
      <t>동</t>
    </r>
    <r>
      <rPr>
        <sz val="10"/>
        <color theme="1"/>
        <rFont val="맑은 고딕"/>
        <family val="3"/>
        <charset val="129"/>
      </rPr>
      <t>901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호매실동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힐스테이트 호매실</t>
    </r>
    <r>
      <rPr>
        <sz val="10"/>
        <color theme="1"/>
        <rFont val="맑은 고딕"/>
        <family val="3"/>
        <charset val="129"/>
      </rPr>
      <t>)</t>
    </r>
  </si>
  <si>
    <r>
      <rPr>
        <sz val="10"/>
        <color theme="1"/>
        <rFont val="DejaVu Sans"/>
        <family val="2"/>
      </rPr>
      <t>포르자</t>
    </r>
    <r>
      <rPr>
        <sz val="10"/>
        <color theme="1"/>
        <rFont val="맑은 고딕"/>
        <family val="3"/>
        <charset val="129"/>
      </rPr>
      <t>750</t>
    </r>
  </si>
  <si>
    <t>LD3THR6B0T1600529</t>
  </si>
  <si>
    <t>딜리버리팀</t>
  </si>
  <si>
    <t>289-27-01841</t>
  </si>
  <si>
    <t>이재훈</t>
  </si>
  <si>
    <r>
      <rPr>
        <sz val="10"/>
        <color theme="1"/>
        <rFont val="DejaVu Sans"/>
        <family val="2"/>
      </rPr>
      <t>경기도 화성시 향남읍 한절이</t>
    </r>
    <r>
      <rPr>
        <sz val="10"/>
        <color theme="1"/>
        <rFont val="맑은 고딕"/>
        <family val="3"/>
        <charset val="129"/>
      </rPr>
      <t>2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19, 302</t>
    </r>
    <r>
      <rPr>
        <sz val="10"/>
        <color theme="1"/>
        <rFont val="DejaVu Sans"/>
        <family val="2"/>
      </rPr>
      <t>호</t>
    </r>
  </si>
  <si>
    <t>010-5049-2293</t>
  </si>
  <si>
    <t>940927-1229939</t>
  </si>
  <si>
    <t>TMAX</t>
  </si>
  <si>
    <t>RLHJK05K4SY318913</t>
  </si>
  <si>
    <t>패밀리</t>
  </si>
  <si>
    <t>604-24-52043</t>
  </si>
  <si>
    <t>박명순</t>
  </si>
  <si>
    <r>
      <rPr>
        <sz val="10"/>
        <color theme="1"/>
        <rFont val="DejaVu Sans"/>
        <family val="2"/>
      </rPr>
      <t>경기도 수원시 장안구 금당로</t>
    </r>
    <r>
      <rPr>
        <sz val="10"/>
        <color theme="1"/>
        <rFont val="맑은 고딕"/>
        <family val="3"/>
        <charset val="129"/>
      </rPr>
      <t>39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34, 208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1203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조원동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주공뉴타운</t>
    </r>
    <r>
      <rPr>
        <sz val="10"/>
        <color theme="1"/>
        <rFont val="맑은 고딕"/>
        <family val="3"/>
        <charset val="129"/>
      </rPr>
      <t>)</t>
    </r>
  </si>
  <si>
    <t>010-2799-2047</t>
  </si>
  <si>
    <t>600516-2321216</t>
  </si>
  <si>
    <r>
      <rPr>
        <sz val="10"/>
        <color theme="1"/>
        <rFont val="DejaVu Sans"/>
        <family val="2"/>
      </rPr>
      <t>벤쿱</t>
    </r>
    <r>
      <rPr>
        <sz val="10"/>
        <color theme="1"/>
        <rFont val="맑은 고딕"/>
        <family val="3"/>
        <charset val="129"/>
      </rPr>
      <t>125(MBK)</t>
    </r>
  </si>
  <si>
    <t>RLHJK05K9SY318566</t>
  </si>
  <si>
    <t>찬 컴퍼니</t>
  </si>
  <si>
    <t>108-22-94352</t>
  </si>
  <si>
    <t>김예찬</t>
  </si>
  <si>
    <r>
      <rPr>
        <sz val="10"/>
        <color theme="1"/>
        <rFont val="DejaVu Sans"/>
        <family val="2"/>
      </rPr>
      <t>경기도 오산시 수청로</t>
    </r>
    <r>
      <rPr>
        <sz val="10"/>
        <color theme="1"/>
        <rFont val="맑은 고딕"/>
        <family val="3"/>
        <charset val="129"/>
      </rPr>
      <t>50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45, 1</t>
    </r>
    <r>
      <rPr>
        <sz val="10"/>
        <color theme="1"/>
        <rFont val="DejaVu Sans"/>
        <family val="2"/>
      </rPr>
      <t>층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내삼미동</t>
    </r>
    <r>
      <rPr>
        <sz val="10"/>
        <color theme="1"/>
        <rFont val="맑은 고딕"/>
        <family val="3"/>
        <charset val="129"/>
      </rPr>
      <t>)</t>
    </r>
  </si>
  <si>
    <t>010-7413-0627</t>
  </si>
  <si>
    <t>020627-3207416</t>
  </si>
  <si>
    <r>
      <rPr>
        <sz val="10"/>
        <color theme="1"/>
        <rFont val="DejaVu Sans"/>
        <family val="2"/>
      </rPr>
      <t>경기도 오산시 큰말</t>
    </r>
    <r>
      <rPr>
        <sz val="10"/>
        <color theme="1"/>
        <rFont val="맑은 고딕"/>
        <family val="3"/>
        <charset val="129"/>
      </rPr>
      <t>25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21-8(</t>
    </r>
    <r>
      <rPr>
        <sz val="10"/>
        <color theme="1"/>
        <rFont val="DejaVu Sans"/>
        <family val="2"/>
      </rPr>
      <t>세교동</t>
    </r>
    <r>
      <rPr>
        <sz val="10"/>
        <color theme="1"/>
        <rFont val="맑은 고딕"/>
        <family val="3"/>
        <charset val="129"/>
      </rPr>
      <t>)</t>
    </r>
  </si>
  <si>
    <t>RLHJK05K1SY317900</t>
  </si>
  <si>
    <t>RLHJK05K3SY318093</t>
  </si>
  <si>
    <t>익스프레스</t>
  </si>
  <si>
    <t>798-55-00766</t>
  </si>
  <si>
    <t>구태완</t>
  </si>
  <si>
    <r>
      <rPr>
        <sz val="10"/>
        <color theme="1"/>
        <rFont val="DejaVu Sans"/>
        <family val="2"/>
      </rPr>
      <t>경기도 화성시 장조</t>
    </r>
    <r>
      <rPr>
        <sz val="10"/>
        <color theme="1"/>
        <rFont val="맑은 고딕"/>
        <family val="3"/>
        <charset val="129"/>
      </rPr>
      <t>4</t>
    </r>
    <r>
      <rPr>
        <sz val="10"/>
        <color theme="1"/>
        <rFont val="DejaVu Sans"/>
        <family val="2"/>
      </rPr>
      <t xml:space="preserve">로 </t>
    </r>
    <r>
      <rPr>
        <sz val="10"/>
        <color theme="1"/>
        <rFont val="맑은 고딕"/>
        <family val="3"/>
        <charset val="129"/>
      </rPr>
      <t>14, 106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804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안녕동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화성태안엘에이치</t>
    </r>
    <r>
      <rPr>
        <sz val="10"/>
        <color theme="1"/>
        <rFont val="맑은 고딕"/>
        <family val="3"/>
        <charset val="129"/>
      </rPr>
      <t>1</t>
    </r>
    <r>
      <rPr>
        <sz val="10"/>
        <color theme="1"/>
        <rFont val="DejaVu Sans"/>
        <family val="2"/>
      </rPr>
      <t>단지아파트</t>
    </r>
    <r>
      <rPr>
        <sz val="10"/>
        <color theme="1"/>
        <rFont val="맑은 고딕"/>
        <family val="3"/>
        <charset val="129"/>
      </rPr>
      <t>)</t>
    </r>
  </si>
  <si>
    <t>010-7753-8900</t>
  </si>
  <si>
    <t>950112-1162214</t>
  </si>
  <si>
    <t>RLHJK05K1SY318111</t>
  </si>
  <si>
    <t>형제라이더</t>
  </si>
  <si>
    <t>112-04-36906</t>
  </si>
  <si>
    <t>변오석</t>
  </si>
  <si>
    <r>
      <rPr>
        <sz val="10"/>
        <color theme="1"/>
        <rFont val="DejaVu Sans"/>
        <family val="2"/>
      </rPr>
      <t>경기도 화성시 동탄순환대로</t>
    </r>
    <r>
      <rPr>
        <sz val="10"/>
        <color theme="1"/>
        <rFont val="맑은 고딕"/>
        <family val="3"/>
        <charset val="129"/>
      </rPr>
      <t>26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81, 457</t>
    </r>
    <r>
      <rPr>
        <sz val="10"/>
        <color theme="1"/>
        <rFont val="DejaVu Sans"/>
        <family val="2"/>
      </rPr>
      <t>동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영천동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동탄행복마을 푸르지오</t>
    </r>
    <r>
      <rPr>
        <sz val="10"/>
        <color theme="1"/>
        <rFont val="맑은 고딕"/>
        <family val="3"/>
        <charset val="129"/>
      </rPr>
      <t>)</t>
    </r>
  </si>
  <si>
    <t>010-7223-6836</t>
  </si>
  <si>
    <t>800815-1837213</t>
  </si>
  <si>
    <t>RLHJK05K8SY318056</t>
  </si>
  <si>
    <r>
      <rPr>
        <sz val="10"/>
        <color theme="1"/>
        <rFont val="DejaVu Sans"/>
        <family val="2"/>
      </rPr>
      <t>에스피</t>
    </r>
    <r>
      <rPr>
        <sz val="10"/>
        <color theme="1"/>
        <rFont val="맑은 고딕"/>
        <family val="3"/>
        <charset val="129"/>
      </rPr>
      <t>(SP)</t>
    </r>
    <r>
      <rPr>
        <sz val="10"/>
        <color theme="1"/>
        <rFont val="DejaVu Sans"/>
        <family val="2"/>
      </rPr>
      <t>인터내셔널</t>
    </r>
  </si>
  <si>
    <t>347-14-02582</t>
  </si>
  <si>
    <t>강승기</t>
  </si>
  <si>
    <r>
      <rPr>
        <sz val="10"/>
        <color theme="1"/>
        <rFont val="DejaVu Sans"/>
        <family val="2"/>
      </rPr>
      <t>서울특별시 강남구 언주로</t>
    </r>
    <r>
      <rPr>
        <sz val="10"/>
        <color theme="1"/>
        <rFont val="맑은 고딕"/>
        <family val="3"/>
        <charset val="129"/>
      </rPr>
      <t>129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6, 502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5</t>
    </r>
    <r>
      <rPr>
        <sz val="10"/>
        <color theme="1"/>
        <rFont val="DejaVu Sans"/>
        <family val="2"/>
      </rPr>
      <t xml:space="preserve">층 </t>
    </r>
    <r>
      <rPr>
        <sz val="10"/>
        <color theme="1"/>
        <rFont val="맑은 고딕"/>
        <family val="3"/>
        <charset val="129"/>
      </rPr>
      <t>20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논현동</t>
    </r>
    <r>
      <rPr>
        <sz val="10"/>
        <color theme="1"/>
        <rFont val="맑은 고딕"/>
        <family val="3"/>
        <charset val="129"/>
      </rPr>
      <t>, SH</t>
    </r>
    <r>
      <rPr>
        <sz val="10"/>
        <color theme="1"/>
        <rFont val="DejaVu Sans"/>
        <family val="2"/>
      </rPr>
      <t>빌딩</t>
    </r>
    <r>
      <rPr>
        <sz val="10"/>
        <color theme="1"/>
        <rFont val="맑은 고딕"/>
        <family val="3"/>
        <charset val="129"/>
      </rPr>
      <t>)</t>
    </r>
  </si>
  <si>
    <t>010-9970-3822</t>
  </si>
  <si>
    <t>930126-1402910</t>
  </si>
  <si>
    <r>
      <rPr>
        <sz val="10"/>
        <color theme="1"/>
        <rFont val="DejaVu Sans"/>
        <family val="2"/>
      </rPr>
      <t>경기도 화성시 향남읍 상신하길로</t>
    </r>
    <r>
      <rPr>
        <sz val="10"/>
        <color theme="1"/>
        <rFont val="맑은 고딕"/>
        <family val="3"/>
        <charset val="129"/>
      </rPr>
      <t>356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29-16, 201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1603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서봉마을</t>
    </r>
    <r>
      <rPr>
        <sz val="10"/>
        <color theme="1"/>
        <rFont val="맑은 고딕"/>
        <family val="3"/>
        <charset val="129"/>
      </rPr>
      <t>@)</t>
    </r>
  </si>
  <si>
    <t>MLHNF09K9S5405334</t>
  </si>
  <si>
    <t>MLHNF09K1S5404582</t>
  </si>
  <si>
    <t>LWMXCH8C4T1072043</t>
  </si>
  <si>
    <t>레드</t>
  </si>
  <si>
    <t>라이더스 광고배달대행</t>
  </si>
  <si>
    <t>815-04-03203</t>
  </si>
  <si>
    <t>윤성현</t>
  </si>
  <si>
    <r>
      <rPr>
        <sz val="10"/>
        <color theme="1"/>
        <rFont val="DejaVu Sans"/>
        <family val="2"/>
      </rPr>
      <t>경기도 화성시 지산</t>
    </r>
    <r>
      <rPr>
        <sz val="10"/>
        <color theme="1"/>
        <rFont val="맑은 고딕"/>
        <family val="3"/>
        <charset val="129"/>
      </rPr>
      <t>1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22-8. 1</t>
    </r>
    <r>
      <rPr>
        <sz val="10"/>
        <color theme="1"/>
        <rFont val="DejaVu Sans"/>
        <family val="2"/>
      </rPr>
      <t>층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영천동</t>
    </r>
    <r>
      <rPr>
        <sz val="10"/>
        <color theme="1"/>
        <rFont val="맑은 고딕"/>
        <family val="3"/>
        <charset val="129"/>
      </rPr>
      <t>)</t>
    </r>
  </si>
  <si>
    <t>010-8578-2229 </t>
  </si>
  <si>
    <t>800813-1653017</t>
  </si>
  <si>
    <r>
      <rPr>
        <sz val="10"/>
        <color theme="1"/>
        <rFont val="DejaVu Sans"/>
        <family val="2"/>
      </rPr>
      <t xml:space="preserve">인천광역시 연수구 먼우금로 </t>
    </r>
    <r>
      <rPr>
        <sz val="10"/>
        <color theme="1"/>
        <rFont val="맑은 고딕"/>
        <family val="3"/>
        <charset val="129"/>
      </rPr>
      <t>217, 401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601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청학동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연수푸르지오</t>
    </r>
    <r>
      <rPr>
        <sz val="10"/>
        <color theme="1"/>
        <rFont val="맑은 고딕"/>
        <family val="3"/>
        <charset val="129"/>
      </rPr>
      <t>4</t>
    </r>
    <r>
      <rPr>
        <sz val="10"/>
        <color theme="1"/>
        <rFont val="DejaVu Sans"/>
        <family val="2"/>
      </rPr>
      <t>단지</t>
    </r>
    <r>
      <rPr>
        <sz val="10"/>
        <color theme="1"/>
        <rFont val="맑은 고딕"/>
        <family val="3"/>
        <charset val="129"/>
      </rPr>
      <t>)</t>
    </r>
  </si>
  <si>
    <t>LD3THR6B9T1600481</t>
  </si>
  <si>
    <t>MLHNF09K2S5405563</t>
  </si>
  <si>
    <t>RLHJK05KXSY319497</t>
  </si>
  <si>
    <t>MLHNF09K9R5303767</t>
  </si>
  <si>
    <t>RLHJK05K1SY319503</t>
  </si>
  <si>
    <t>주식회사 디디모빌리티</t>
  </si>
  <si>
    <t>437-87-03350</t>
  </si>
  <si>
    <t>김정은</t>
  </si>
  <si>
    <r>
      <rPr>
        <sz val="10"/>
        <color theme="1"/>
        <rFont val="DejaVu Sans"/>
        <family val="2"/>
      </rPr>
      <t xml:space="preserve">경기도 화성시 효행로 </t>
    </r>
    <r>
      <rPr>
        <sz val="10"/>
        <color theme="1"/>
        <rFont val="맑은 고딕"/>
        <family val="3"/>
        <charset val="129"/>
      </rPr>
      <t>1068, 604-</t>
    </r>
    <r>
      <rPr>
        <sz val="10"/>
        <color theme="1"/>
        <rFont val="DejaVu Sans"/>
        <family val="2"/>
      </rPr>
      <t>에프</t>
    </r>
    <r>
      <rPr>
        <sz val="10"/>
        <color theme="1"/>
        <rFont val="맑은 고딕"/>
        <family val="3"/>
        <charset val="129"/>
      </rPr>
      <t>62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병점동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리더스프라자</t>
    </r>
    <r>
      <rPr>
        <sz val="10"/>
        <color theme="1"/>
        <rFont val="맑은 고딕"/>
        <family val="3"/>
        <charset val="129"/>
      </rPr>
      <t>)</t>
    </r>
  </si>
  <si>
    <t>010-7393-9501</t>
  </si>
  <si>
    <t>681112-2657411</t>
  </si>
  <si>
    <r>
      <rPr>
        <sz val="10"/>
        <color theme="1"/>
        <rFont val="DejaVu Sans"/>
        <family val="2"/>
      </rPr>
      <t xml:space="preserve">경기도 용인시 처인구 포곡읍 부곡로 </t>
    </r>
    <r>
      <rPr>
        <sz val="10"/>
        <color theme="1"/>
        <rFont val="맑은 고딕"/>
        <family val="3"/>
        <charset val="129"/>
      </rPr>
      <t>2-10, 3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502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상부그린맨션</t>
    </r>
    <r>
      <rPr>
        <sz val="10"/>
        <color theme="1"/>
        <rFont val="맑은 고딕"/>
        <family val="3"/>
        <charset val="129"/>
      </rPr>
      <t>)</t>
    </r>
  </si>
  <si>
    <t>MH3SEL14XSK006619</t>
  </si>
  <si>
    <t>LD3THR6B8T1600861</t>
  </si>
  <si>
    <t>주식회사 빼큐솔루션</t>
  </si>
  <si>
    <t>691-87-03371</t>
  </si>
  <si>
    <t>김영진</t>
  </si>
  <si>
    <r>
      <rPr>
        <sz val="10"/>
        <color theme="1"/>
        <rFont val="DejaVu Sans"/>
        <family val="2"/>
      </rPr>
      <t>경기도 화성시 동탄치동천로</t>
    </r>
    <r>
      <rPr>
        <sz val="10"/>
        <color theme="1"/>
        <rFont val="맑은 고딕"/>
        <family val="3"/>
        <charset val="129"/>
      </rPr>
      <t>3</t>
    </r>
    <r>
      <rPr>
        <sz val="10"/>
        <color theme="1"/>
        <rFont val="DejaVu Sans"/>
        <family val="2"/>
      </rPr>
      <t xml:space="preserve">길 </t>
    </r>
    <r>
      <rPr>
        <sz val="10"/>
        <color theme="1"/>
        <rFont val="맑은 고딕"/>
        <family val="3"/>
        <charset val="129"/>
      </rPr>
      <t>6-15, 101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영천동</t>
    </r>
    <r>
      <rPr>
        <sz val="10"/>
        <color theme="1"/>
        <rFont val="맑은 고딕"/>
        <family val="3"/>
        <charset val="129"/>
      </rPr>
      <t>)</t>
    </r>
  </si>
  <si>
    <t>010-2230-8253</t>
  </si>
  <si>
    <t>900224-1236729</t>
  </si>
  <si>
    <r>
      <rPr>
        <sz val="10"/>
        <color theme="1"/>
        <rFont val="DejaVu Sans"/>
        <family val="2"/>
      </rPr>
      <t xml:space="preserve">경기도 용인시 기흥구 사은로 </t>
    </r>
    <r>
      <rPr>
        <sz val="10"/>
        <color theme="1"/>
        <rFont val="맑은 고딕"/>
        <family val="3"/>
        <charset val="129"/>
      </rPr>
      <t>126</t>
    </r>
    <r>
      <rPr>
        <sz val="10"/>
        <color theme="1"/>
        <rFont val="DejaVu Sans"/>
        <family val="2"/>
      </rPr>
      <t xml:space="preserve">번길 </t>
    </r>
    <r>
      <rPr>
        <sz val="10"/>
        <color theme="1"/>
        <rFont val="맑은 고딕"/>
        <family val="3"/>
        <charset val="129"/>
      </rPr>
      <t>33, 211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202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보라동</t>
    </r>
    <r>
      <rPr>
        <sz val="10"/>
        <color theme="1"/>
        <rFont val="맑은 고딕"/>
        <family val="3"/>
        <charset val="129"/>
      </rPr>
      <t>)</t>
    </r>
  </si>
  <si>
    <t>RLHJK05KXSY319127</t>
  </si>
  <si>
    <t>RLHJK05K9SY319104</t>
  </si>
  <si>
    <t>RLHJK05K0SY319184</t>
  </si>
  <si>
    <t>MH3SEL145SK006639</t>
  </si>
  <si>
    <t>MH3SEL140SK005480</t>
  </si>
  <si>
    <t>RLHJK05K5NY125691</t>
  </si>
  <si>
    <t>MH3SEL142SK005741</t>
  </si>
  <si>
    <t>ZR8T3100XTE000056</t>
  </si>
  <si>
    <t>사막색</t>
  </si>
  <si>
    <t>동탄 배달대행</t>
  </si>
  <si>
    <t>544-42-01076</t>
  </si>
  <si>
    <t>김웅희</t>
  </si>
  <si>
    <r>
      <rPr>
        <sz val="10"/>
        <color theme="1"/>
        <rFont val="DejaVu Sans"/>
        <family val="2"/>
      </rPr>
      <t>경기도 화성시 동탄산척로</t>
    </r>
    <r>
      <rPr>
        <sz val="10"/>
        <color theme="1"/>
        <rFont val="맑은 고딕"/>
        <family val="3"/>
        <charset val="129"/>
      </rPr>
      <t>2</t>
    </r>
    <r>
      <rPr>
        <sz val="10"/>
        <color theme="1"/>
        <rFont val="DejaVu Sans"/>
        <family val="2"/>
      </rPr>
      <t xml:space="preserve">나길 </t>
    </r>
    <r>
      <rPr>
        <sz val="10"/>
        <color theme="1"/>
        <rFont val="맑은 고딕"/>
        <family val="3"/>
        <charset val="129"/>
      </rPr>
      <t>10-10, 1</t>
    </r>
    <r>
      <rPr>
        <sz val="10"/>
        <color theme="1"/>
        <rFont val="DejaVu Sans"/>
        <family val="2"/>
      </rPr>
      <t>층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산척동</t>
    </r>
    <r>
      <rPr>
        <sz val="10"/>
        <color theme="1"/>
        <rFont val="맑은 고딕"/>
        <family val="3"/>
        <charset val="129"/>
      </rPr>
      <t>)</t>
    </r>
  </si>
  <si>
    <t>010-2085-8165</t>
  </si>
  <si>
    <t>940129-1162222</t>
  </si>
  <si>
    <r>
      <rPr>
        <sz val="10"/>
        <color theme="1"/>
        <rFont val="DejaVu Sans"/>
        <family val="2"/>
      </rPr>
      <t xml:space="preserve">경기도 화성시 동탄영천로 </t>
    </r>
    <r>
      <rPr>
        <sz val="10"/>
        <color theme="1"/>
        <rFont val="맑은 고딕"/>
        <family val="3"/>
        <charset val="129"/>
      </rPr>
      <t>108-21, 211</t>
    </r>
    <r>
      <rPr>
        <sz val="10"/>
        <color theme="1"/>
        <rFont val="DejaVu Sans"/>
        <family val="2"/>
      </rPr>
      <t xml:space="preserve">동 </t>
    </r>
    <r>
      <rPr>
        <sz val="10"/>
        <color theme="1"/>
        <rFont val="맑은 고딕"/>
        <family val="3"/>
        <charset val="129"/>
      </rPr>
      <t>1106</t>
    </r>
    <r>
      <rPr>
        <sz val="10"/>
        <color theme="1"/>
        <rFont val="DejaVu Sans"/>
        <family val="2"/>
      </rPr>
      <t>호</t>
    </r>
    <r>
      <rPr>
        <sz val="10"/>
        <color theme="1"/>
        <rFont val="맑은 고딕"/>
        <family val="3"/>
        <charset val="129"/>
      </rPr>
      <t>(</t>
    </r>
    <r>
      <rPr>
        <sz val="10"/>
        <color theme="1"/>
        <rFont val="DejaVu Sans"/>
        <family val="2"/>
      </rPr>
      <t>영천동</t>
    </r>
    <r>
      <rPr>
        <sz val="10"/>
        <color theme="1"/>
        <rFont val="맑은 고딕"/>
        <family val="3"/>
        <charset val="129"/>
      </rPr>
      <t xml:space="preserve">, </t>
    </r>
    <r>
      <rPr>
        <sz val="10"/>
        <color theme="1"/>
        <rFont val="DejaVu Sans"/>
        <family val="2"/>
      </rPr>
      <t>화성동탄</t>
    </r>
    <r>
      <rPr>
        <sz val="10"/>
        <color theme="1"/>
        <rFont val="맑은 고딕"/>
        <family val="3"/>
        <charset val="129"/>
      </rPr>
      <t>2LH2</t>
    </r>
    <r>
      <rPr>
        <sz val="10"/>
        <color theme="1"/>
        <rFont val="DejaVu Sans"/>
        <family val="2"/>
      </rPr>
      <t>단지</t>
    </r>
    <r>
      <rPr>
        <sz val="10"/>
        <color theme="1"/>
        <rFont val="맑은 고딕"/>
        <family val="3"/>
        <charset val="129"/>
      </rPr>
      <t>)</t>
    </r>
  </si>
  <si>
    <t>MH3SEL140SK005494</t>
  </si>
  <si>
    <r>
      <rPr>
        <sz val="10"/>
        <color theme="1"/>
        <rFont val="DejaVu Sans"/>
        <family val="2"/>
      </rPr>
      <t>슈퍼커브</t>
    </r>
    <r>
      <rPr>
        <sz val="10"/>
        <color theme="1"/>
        <rFont val="맑은 고딕"/>
        <family val="3"/>
        <charset val="129"/>
      </rPr>
      <t>110</t>
    </r>
  </si>
  <si>
    <t xml:space="preserve"> </t>
  </si>
  <si>
    <t>이륜차 할부판매 계약서</t>
  </si>
  <si>
    <t>회사보관용</t>
  </si>
  <si>
    <r>
      <rPr>
        <sz val="11"/>
        <color theme="1"/>
        <rFont val="DejaVu Sans"/>
        <family val="2"/>
      </rPr>
      <t>한국모터사이클리스 유한회사</t>
    </r>
    <r>
      <rPr>
        <sz val="11"/>
        <color theme="1"/>
        <rFont val="맑은 고딕"/>
        <family val="2"/>
        <charset val="129"/>
      </rPr>
      <t>(</t>
    </r>
    <r>
      <rPr>
        <sz val="11"/>
        <color theme="1"/>
        <rFont val="DejaVu Sans"/>
        <family val="2"/>
      </rPr>
      <t>이하 회사</t>
    </r>
    <r>
      <rPr>
        <sz val="11"/>
        <color theme="1"/>
        <rFont val="맑은 고딕"/>
        <family val="2"/>
        <charset val="129"/>
      </rPr>
      <t>)</t>
    </r>
    <r>
      <rPr>
        <sz val="11"/>
        <color theme="1"/>
        <rFont val="DejaVu Sans"/>
        <family val="2"/>
      </rPr>
      <t xml:space="preserve">와 계약자는 아래 제품란에 기재된 제품에 대하여 본 이륜차 할부판매 계약서 </t>
    </r>
    <r>
      <rPr>
        <sz val="11"/>
        <color theme="1"/>
        <rFont val="맑은 고딕"/>
        <family val="2"/>
        <charset val="129"/>
      </rPr>
      <t>(</t>
    </r>
    <r>
      <rPr>
        <sz val="11"/>
        <color theme="1"/>
        <rFont val="DejaVu Sans"/>
        <family val="2"/>
      </rPr>
      <t>이하 계약서</t>
    </r>
    <r>
      <rPr>
        <sz val="11"/>
        <color theme="1"/>
        <rFont val="맑은 고딕"/>
        <family val="2"/>
        <charset val="129"/>
      </rPr>
      <t>)</t>
    </r>
    <r>
      <rPr>
        <sz val="11"/>
        <color theme="1"/>
        <rFont val="DejaVu Sans"/>
        <family val="2"/>
      </rPr>
      <t>를 체결합니다</t>
    </r>
    <r>
      <rPr>
        <sz val="11"/>
        <color theme="1"/>
        <rFont val="맑은 고딕"/>
        <family val="2"/>
        <charset val="129"/>
      </rPr>
      <t>.</t>
    </r>
  </si>
  <si>
    <t>할부판매 회사</t>
  </si>
  <si>
    <t>한국모터사이클리스 유한회사</t>
  </si>
  <si>
    <t>대표이사</t>
  </si>
  <si>
    <r>
      <rPr>
        <b/>
        <sz val="14"/>
        <color theme="1"/>
        <rFont val="DejaVu Sans"/>
        <family val="2"/>
      </rPr>
      <t xml:space="preserve">김현수      </t>
    </r>
    <r>
      <rPr>
        <b/>
        <sz val="14"/>
        <color theme="1"/>
        <rFont val="맑은 고딕"/>
        <family val="3"/>
        <charset val="129"/>
      </rPr>
      <t>(</t>
    </r>
    <r>
      <rPr>
        <b/>
        <sz val="14"/>
        <color theme="1"/>
        <rFont val="DejaVu Sans"/>
        <family val="2"/>
      </rPr>
      <t>인</t>
    </r>
    <r>
      <rPr>
        <b/>
        <sz val="14"/>
        <color theme="1"/>
        <rFont val="맑은 고딕"/>
        <family val="3"/>
        <charset val="129"/>
      </rPr>
      <t>)</t>
    </r>
  </si>
  <si>
    <t>고객상담실</t>
  </si>
  <si>
    <t>010-2730-7845</t>
  </si>
  <si>
    <t>사업자등록증</t>
  </si>
  <si>
    <t>647-86-03800</t>
  </si>
  <si>
    <t>0507-1489-7885</t>
  </si>
  <si>
    <t>주소</t>
  </si>
  <si>
    <r>
      <rPr>
        <b/>
        <sz val="14"/>
        <color theme="1"/>
        <rFont val="DejaVu Sans"/>
        <family val="2"/>
      </rPr>
      <t>경기도 수원시 권선구 입북로</t>
    </r>
    <r>
      <rPr>
        <b/>
        <sz val="14"/>
        <color theme="1"/>
        <rFont val="맑은 고딕"/>
        <family val="3"/>
        <charset val="129"/>
      </rPr>
      <t>59</t>
    </r>
    <r>
      <rPr>
        <b/>
        <sz val="14"/>
        <color theme="1"/>
        <rFont val="DejaVu Sans"/>
        <family val="2"/>
      </rPr>
      <t xml:space="preserve">번길 </t>
    </r>
    <r>
      <rPr>
        <b/>
        <sz val="14"/>
        <color theme="1"/>
        <rFont val="맑은 고딕"/>
        <family val="3"/>
        <charset val="129"/>
      </rPr>
      <t>15</t>
    </r>
  </si>
  <si>
    <t>고객번호</t>
  </si>
  <si>
    <t>성명</t>
  </si>
  <si>
    <t>연락처</t>
  </si>
  <si>
    <t>계약번호</t>
  </si>
  <si>
    <t>주민등록번호</t>
  </si>
  <si>
    <t>이메일</t>
  </si>
  <si>
    <r>
      <rPr>
        <b/>
        <sz val="11"/>
        <color theme="1"/>
        <rFont val="DejaVu Sans"/>
        <family val="2"/>
      </rPr>
      <t>주민등록</t>
    </r>
    <r>
      <rPr>
        <b/>
        <sz val="11"/>
        <color theme="1"/>
        <rFont val="맑은 고딕"/>
        <family val="3"/>
        <charset val="129"/>
      </rPr>
      <t xml:space="preserve">
</t>
    </r>
    <r>
      <rPr>
        <b/>
        <sz val="11"/>
        <color theme="1"/>
        <rFont val="DejaVu Sans"/>
        <family val="2"/>
      </rPr>
      <t>주소지</t>
    </r>
  </si>
  <si>
    <r>
      <rPr>
        <b/>
        <sz val="11"/>
        <color theme="1"/>
        <rFont val="DejaVu Sans"/>
        <family val="2"/>
      </rPr>
      <t>업종</t>
    </r>
    <r>
      <rPr>
        <b/>
        <sz val="11"/>
        <color theme="1"/>
        <rFont val="맑은 고딕"/>
        <family val="3"/>
        <charset val="129"/>
      </rPr>
      <t>/</t>
    </r>
    <r>
      <rPr>
        <b/>
        <sz val="11"/>
        <color theme="1"/>
        <rFont val="DejaVu Sans"/>
        <family val="2"/>
      </rPr>
      <t>담당업무</t>
    </r>
  </si>
  <si>
    <t>본인 명의 은행</t>
  </si>
  <si>
    <t>본인 명의 계좌번호</t>
  </si>
  <si>
    <r>
      <rPr>
        <sz val="10"/>
        <color theme="1"/>
        <rFont val="DejaVu Sans"/>
        <family val="2"/>
      </rPr>
      <t xml:space="preserve">※ 라이더 제출 서류 </t>
    </r>
    <r>
      <rPr>
        <sz val="10"/>
        <color theme="1"/>
        <rFont val="맑은 고딕"/>
        <family val="2"/>
        <charset val="129"/>
      </rPr>
      <t xml:space="preserve">: </t>
    </r>
    <r>
      <rPr>
        <sz val="10"/>
        <color theme="1"/>
        <rFont val="DejaVu Sans"/>
        <family val="2"/>
      </rPr>
      <t>신분증 사본</t>
    </r>
    <r>
      <rPr>
        <sz val="10"/>
        <color theme="1"/>
        <rFont val="맑은 고딕"/>
        <family val="2"/>
        <charset val="129"/>
      </rPr>
      <t xml:space="preserve">, </t>
    </r>
    <r>
      <rPr>
        <sz val="10"/>
        <color theme="1"/>
        <rFont val="DejaVu Sans"/>
        <family val="2"/>
      </rPr>
      <t xml:space="preserve">본인 명의 통장 사본 </t>
    </r>
    <r>
      <rPr>
        <sz val="10"/>
        <color theme="1"/>
        <rFont val="맑은 고딕"/>
        <family val="2"/>
        <charset val="129"/>
      </rPr>
      <t>(</t>
    </r>
    <r>
      <rPr>
        <sz val="10"/>
        <color theme="1"/>
        <rFont val="DejaVu Sans"/>
        <family val="2"/>
      </rPr>
      <t>입금자명 확인용</t>
    </r>
    <r>
      <rPr>
        <sz val="10"/>
        <color theme="1"/>
        <rFont val="맑은 고딕"/>
        <family val="2"/>
        <charset val="129"/>
      </rPr>
      <t>)</t>
    </r>
  </si>
  <si>
    <r>
      <rPr>
        <b/>
        <sz val="11"/>
        <color theme="1"/>
        <rFont val="DejaVu Sans"/>
        <family val="2"/>
      </rPr>
      <t>사업자</t>
    </r>
    <r>
      <rPr>
        <b/>
        <sz val="11"/>
        <color theme="1"/>
        <rFont val="맑은 고딕"/>
        <family val="3"/>
        <charset val="129"/>
      </rPr>
      <t xml:space="preserve">
</t>
    </r>
    <r>
      <rPr>
        <b/>
        <sz val="11"/>
        <color theme="1"/>
        <rFont val="DejaVu Sans"/>
        <family val="2"/>
      </rPr>
      <t>등록번호</t>
    </r>
  </si>
  <si>
    <r>
      <rPr>
        <sz val="10"/>
        <color theme="1"/>
        <rFont val="DejaVu Sans"/>
        <family val="2"/>
      </rPr>
      <t xml:space="preserve">※ 연대보증인 제출 서류 </t>
    </r>
    <r>
      <rPr>
        <sz val="10"/>
        <color theme="1"/>
        <rFont val="맑은 고딕"/>
        <family val="2"/>
        <charset val="129"/>
      </rPr>
      <t xml:space="preserve">: </t>
    </r>
    <r>
      <rPr>
        <sz val="10"/>
        <color theme="1"/>
        <rFont val="DejaVu Sans"/>
        <family val="2"/>
      </rPr>
      <t>사업자등록증 사본</t>
    </r>
    <r>
      <rPr>
        <sz val="10"/>
        <color theme="1"/>
        <rFont val="맑은 고딕"/>
        <family val="2"/>
        <charset val="129"/>
      </rPr>
      <t xml:space="preserve">, </t>
    </r>
    <r>
      <rPr>
        <sz val="10"/>
        <color theme="1"/>
        <rFont val="DejaVu Sans"/>
        <family val="2"/>
      </rPr>
      <t>대표자 신분증 사본</t>
    </r>
    <r>
      <rPr>
        <sz val="10"/>
        <color theme="1"/>
        <rFont val="맑은 고딕"/>
        <family val="2"/>
        <charset val="129"/>
      </rPr>
      <t xml:space="preserve">, </t>
    </r>
    <r>
      <rPr>
        <sz val="10"/>
        <color theme="1"/>
        <rFont val="DejaVu Sans"/>
        <family val="2"/>
      </rPr>
      <t>업체 통장 사본</t>
    </r>
  </si>
  <si>
    <t>차량정보</t>
  </si>
  <si>
    <t>계약요청일</t>
  </si>
  <si>
    <t>청구시작일</t>
  </si>
  <si>
    <t>차량인도일부터</t>
  </si>
  <si>
    <r>
      <rPr>
        <b/>
        <sz val="11"/>
        <color theme="1"/>
        <rFont val="DejaVu Sans"/>
        <family val="2"/>
      </rPr>
      <t>사용료</t>
    </r>
    <r>
      <rPr>
        <b/>
        <sz val="11"/>
        <color theme="1"/>
        <rFont val="맑은 고딕"/>
        <family val="3"/>
        <charset val="129"/>
      </rPr>
      <t xml:space="preserve">(vat </t>
    </r>
    <r>
      <rPr>
        <b/>
        <sz val="11"/>
        <color theme="1"/>
        <rFont val="DejaVu Sans"/>
        <family val="2"/>
      </rPr>
      <t>포함</t>
    </r>
    <r>
      <rPr>
        <b/>
        <sz val="11"/>
        <color theme="1"/>
        <rFont val="맑은 고딕"/>
        <family val="3"/>
        <charset val="129"/>
      </rPr>
      <t>)</t>
    </r>
  </si>
  <si>
    <r>
      <rPr>
        <b/>
        <sz val="11"/>
        <color theme="1"/>
        <rFont val="맑은 고딕"/>
        <family val="3"/>
        <charset val="129"/>
      </rPr>
      <t xml:space="preserve">/ </t>
    </r>
    <r>
      <rPr>
        <b/>
        <sz val="11"/>
        <color theme="1"/>
        <rFont val="DejaVu Sans"/>
        <family val="2"/>
      </rPr>
      <t>일</t>
    </r>
  </si>
  <si>
    <t>차량색상</t>
  </si>
  <si>
    <t>납입방법</t>
  </si>
  <si>
    <t>계좌이체</t>
  </si>
  <si>
    <t>정비여부</t>
  </si>
  <si>
    <t>미포함</t>
  </si>
  <si>
    <t>요금결제일</t>
  </si>
  <si>
    <r>
      <rPr>
        <b/>
        <sz val="11"/>
        <color theme="1"/>
        <rFont val="DejaVu Sans"/>
        <family val="2"/>
      </rPr>
      <t>월</t>
    </r>
    <r>
      <rPr>
        <b/>
        <sz val="11"/>
        <color theme="1"/>
        <rFont val="맑은 고딕"/>
        <family val="3"/>
        <charset val="129"/>
      </rPr>
      <t>2</t>
    </r>
    <r>
      <rPr>
        <b/>
        <sz val="11"/>
        <color theme="1"/>
        <rFont val="DejaVu Sans"/>
        <family val="2"/>
      </rPr>
      <t>회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 xml:space="preserve">매월 </t>
    </r>
    <r>
      <rPr>
        <b/>
        <sz val="11"/>
        <color theme="1"/>
        <rFont val="맑은 고딕"/>
        <family val="3"/>
        <charset val="129"/>
      </rPr>
      <t>15</t>
    </r>
    <r>
      <rPr>
        <b/>
        <sz val="11"/>
        <color theme="1"/>
        <rFont val="DejaVu Sans"/>
        <family val="2"/>
      </rPr>
      <t>일</t>
    </r>
    <r>
      <rPr>
        <b/>
        <sz val="11"/>
        <color theme="1"/>
        <rFont val="맑은 고딕"/>
        <family val="3"/>
        <charset val="129"/>
      </rPr>
      <t xml:space="preserve">, </t>
    </r>
    <r>
      <rPr>
        <b/>
        <sz val="11"/>
        <color theme="1"/>
        <rFont val="DejaVu Sans"/>
        <family val="2"/>
      </rPr>
      <t>말일</t>
    </r>
    <r>
      <rPr>
        <b/>
        <sz val="11"/>
        <color theme="1"/>
        <rFont val="맑은 고딕"/>
        <family val="3"/>
        <charset val="129"/>
      </rPr>
      <t>)</t>
    </r>
  </si>
  <si>
    <t>계약유형</t>
  </si>
  <si>
    <t>할부 판매</t>
  </si>
  <si>
    <t>납입계좌</t>
  </si>
  <si>
    <r>
      <rPr>
        <b/>
        <sz val="11"/>
        <color theme="1"/>
        <rFont val="DejaVu Sans"/>
        <family val="2"/>
      </rPr>
      <t xml:space="preserve">기업은행 </t>
    </r>
    <r>
      <rPr>
        <b/>
        <sz val="11"/>
        <color theme="1"/>
        <rFont val="맑은 고딕"/>
        <family val="3"/>
        <charset val="129"/>
      </rPr>
      <t xml:space="preserve">929-028519-04-010 </t>
    </r>
    <r>
      <rPr>
        <b/>
        <sz val="11"/>
        <color theme="1"/>
        <rFont val="DejaVu Sans"/>
        <family val="2"/>
      </rPr>
      <t>한국모터사이클리스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유</t>
    </r>
    <r>
      <rPr>
        <b/>
        <sz val="11"/>
        <color theme="1"/>
        <rFont val="맑은 고딕"/>
        <family val="3"/>
        <charset val="129"/>
      </rPr>
      <t>)</t>
    </r>
  </si>
  <si>
    <t>상품유형</t>
  </si>
  <si>
    <t>인수형</t>
  </si>
  <si>
    <t>할부판매 기간</t>
  </si>
  <si>
    <r>
      <rPr>
        <b/>
        <sz val="11"/>
        <color theme="1"/>
        <rFont val="맑은 고딕"/>
        <family val="3"/>
        <charset val="129"/>
      </rPr>
      <t>*</t>
    </r>
    <r>
      <rPr>
        <b/>
        <sz val="11"/>
        <color theme="1"/>
        <rFont val="DejaVu Sans"/>
        <family val="2"/>
      </rPr>
      <t>차량 인도일 기준으로 산정</t>
    </r>
  </si>
  <si>
    <r>
      <rPr>
        <sz val="11"/>
        <rFont val="DejaVu Sans"/>
        <family val="2"/>
      </rPr>
      <t xml:space="preserve">일차감 </t>
    </r>
    <r>
      <rPr>
        <sz val="11"/>
        <rFont val="맑은 고딕"/>
        <family val="3"/>
        <charset val="129"/>
      </rPr>
      <t>(</t>
    </r>
    <r>
      <rPr>
        <sz val="11"/>
        <rFont val="DejaVu Sans"/>
        <family val="2"/>
      </rPr>
      <t>어플출금</t>
    </r>
    <r>
      <rPr>
        <sz val="11"/>
        <rFont val="맑은 고딕"/>
        <family val="3"/>
        <charset val="129"/>
      </rPr>
      <t>)</t>
    </r>
  </si>
  <si>
    <t>선택사항</t>
  </si>
  <si>
    <t xml:space="preserve">원 </t>
  </si>
  <si>
    <r>
      <rPr>
        <b/>
        <sz val="14"/>
        <color theme="1"/>
        <rFont val="DejaVu Sans"/>
        <family val="2"/>
      </rPr>
      <t xml:space="preserve">연대보증인의 보증 기한 </t>
    </r>
    <r>
      <rPr>
        <b/>
        <sz val="14"/>
        <color theme="1"/>
        <rFont val="맑은 고딕"/>
        <family val="3"/>
        <charset val="129"/>
      </rPr>
      <t>: 2</t>
    </r>
    <r>
      <rPr>
        <b/>
        <sz val="14"/>
        <color theme="1"/>
        <rFont val="DejaVu Sans"/>
        <family val="2"/>
      </rPr>
      <t>년</t>
    </r>
  </si>
  <si>
    <r>
      <rPr>
        <b/>
        <sz val="14"/>
        <color theme="1"/>
        <rFont val="DejaVu Sans"/>
        <family val="2"/>
      </rPr>
      <t xml:space="preserve">       보증 한도 </t>
    </r>
    <r>
      <rPr>
        <b/>
        <sz val="14"/>
        <color theme="1"/>
        <rFont val="맑은 고딕"/>
        <family val="3"/>
        <charset val="129"/>
      </rPr>
      <t xml:space="preserve">: </t>
    </r>
    <r>
      <rPr>
        <b/>
        <sz val="14"/>
        <color theme="1"/>
        <rFont val="DejaVu Sans"/>
        <family val="2"/>
      </rPr>
      <t xml:space="preserve">전체 이용료의 </t>
    </r>
    <r>
      <rPr>
        <b/>
        <sz val="14"/>
        <color theme="1"/>
        <rFont val="맑은 고딕"/>
        <family val="3"/>
        <charset val="129"/>
      </rPr>
      <t>130%</t>
    </r>
  </si>
  <si>
    <r>
      <rPr>
        <sz val="8"/>
        <color theme="1"/>
        <rFont val="맑은 고딕"/>
        <family val="2"/>
        <charset val="129"/>
      </rPr>
      <t xml:space="preserve">1. </t>
    </r>
    <r>
      <rPr>
        <sz val="8"/>
        <color theme="1"/>
        <rFont val="DejaVu Sans"/>
        <family val="2"/>
      </rPr>
      <t xml:space="preserve">본 계약에 따른 할부판매대금 </t>
    </r>
    <r>
      <rPr>
        <sz val="8"/>
        <color theme="1"/>
        <rFont val="맑은 고딕"/>
        <family val="2"/>
        <charset val="129"/>
      </rPr>
      <t xml:space="preserve">, </t>
    </r>
    <r>
      <rPr>
        <sz val="8"/>
        <color theme="1"/>
        <rFont val="DejaVu Sans"/>
        <family val="2"/>
      </rPr>
      <t xml:space="preserve">보증금 등 모든 대금의 수납 및 세금계산서 발행 업무는 </t>
    </r>
    <r>
      <rPr>
        <sz val="8"/>
        <color theme="1"/>
        <rFont val="맑은 고딕"/>
        <family val="2"/>
        <charset val="129"/>
      </rPr>
      <t>'</t>
    </r>
    <r>
      <rPr>
        <sz val="8"/>
        <color theme="1"/>
        <rFont val="DejaVu Sans"/>
        <family val="2"/>
      </rPr>
      <t>포어스바이크 유한회사</t>
    </r>
    <r>
      <rPr>
        <sz val="8"/>
        <color theme="1"/>
        <rFont val="맑은 고딕"/>
        <family val="2"/>
        <charset val="129"/>
      </rPr>
      <t xml:space="preserve">' </t>
    </r>
    <r>
      <rPr>
        <sz val="8"/>
        <color theme="1"/>
        <rFont val="DejaVu Sans"/>
        <family val="2"/>
      </rPr>
      <t>가 대행합니다</t>
    </r>
    <r>
      <rPr>
        <sz val="8"/>
        <color theme="1"/>
        <rFont val="맑은 고딕"/>
        <family val="2"/>
        <charset val="129"/>
      </rPr>
      <t xml:space="preserve">. </t>
    </r>
    <r>
      <rPr>
        <sz val="8"/>
        <color theme="1"/>
        <rFont val="DejaVu Sans"/>
        <family val="2"/>
      </rPr>
      <t xml:space="preserve">따라서 모든 대금은 </t>
    </r>
    <r>
      <rPr>
        <sz val="8"/>
        <color theme="1"/>
        <rFont val="맑은 고딕"/>
        <family val="2"/>
        <charset val="129"/>
      </rPr>
      <t>'</t>
    </r>
    <r>
      <rPr>
        <sz val="8"/>
        <color theme="1"/>
        <rFont val="DejaVu Sans"/>
        <family val="2"/>
      </rPr>
      <t>포어스바이크 유한회사</t>
    </r>
    <r>
      <rPr>
        <sz val="8"/>
        <color theme="1"/>
        <rFont val="맑은 고딕"/>
        <family val="2"/>
        <charset val="129"/>
      </rPr>
      <t xml:space="preserve">' </t>
    </r>
    <r>
      <rPr>
        <sz val="8"/>
        <color theme="1"/>
        <rFont val="DejaVu Sans"/>
        <family val="2"/>
      </rPr>
      <t>명의의 지정 계좌로 입금하여야 하며</t>
    </r>
    <r>
      <rPr>
        <sz val="8"/>
        <color theme="1"/>
        <rFont val="맑은 고딕"/>
        <family val="2"/>
        <charset val="129"/>
      </rPr>
      <t>,</t>
    </r>
  </si>
  <si>
    <r>
      <rPr>
        <sz val="8"/>
        <color theme="1"/>
        <rFont val="DejaVu Sans"/>
        <family val="2"/>
      </rPr>
      <t>타 계좌 입금 시 입금 확인이 불가할 수 있음을 확인합니다</t>
    </r>
    <r>
      <rPr>
        <sz val="8"/>
        <color theme="1"/>
        <rFont val="맑은 고딕"/>
        <family val="2"/>
        <charset val="129"/>
      </rPr>
      <t>.</t>
    </r>
  </si>
  <si>
    <r>
      <rPr>
        <sz val="8"/>
        <color theme="1"/>
        <rFont val="맑은 고딕"/>
        <family val="2"/>
        <charset val="129"/>
      </rPr>
      <t xml:space="preserve">2. </t>
    </r>
    <r>
      <rPr>
        <sz val="8"/>
        <color theme="1"/>
        <rFont val="DejaVu Sans"/>
        <family val="2"/>
      </rPr>
      <t>계약취소 및 중도해지 시 보증금은 반환되지 않으며</t>
    </r>
    <r>
      <rPr>
        <sz val="8"/>
        <color theme="1"/>
        <rFont val="맑은 고딕"/>
        <family val="2"/>
        <charset val="129"/>
      </rPr>
      <t xml:space="preserve">, </t>
    </r>
    <r>
      <rPr>
        <sz val="8"/>
        <color theme="1"/>
        <rFont val="DejaVu Sans"/>
        <family val="2"/>
      </rPr>
      <t>위약금과 별도로 사전 고지한 할부판매 상품 회수비용</t>
    </r>
    <r>
      <rPr>
        <sz val="8"/>
        <color theme="1"/>
        <rFont val="맑은 고딕"/>
        <family val="2"/>
        <charset val="129"/>
      </rPr>
      <t>(</t>
    </r>
    <r>
      <rPr>
        <sz val="8"/>
        <color theme="1"/>
        <rFont val="DejaVu Sans"/>
        <family val="2"/>
      </rPr>
      <t>출장비</t>
    </r>
    <r>
      <rPr>
        <sz val="8"/>
        <color theme="1"/>
        <rFont val="맑은 고딕"/>
        <family val="2"/>
        <charset val="129"/>
      </rPr>
      <t xml:space="preserve">, </t>
    </r>
    <r>
      <rPr>
        <sz val="8"/>
        <color theme="1"/>
        <rFont val="DejaVu Sans"/>
        <family val="2"/>
      </rPr>
      <t>운송비</t>
    </r>
    <r>
      <rPr>
        <sz val="8"/>
        <color theme="1"/>
        <rFont val="맑은 고딕"/>
        <family val="2"/>
        <charset val="129"/>
      </rPr>
      <t xml:space="preserve">, </t>
    </r>
    <r>
      <rPr>
        <sz val="8"/>
        <color theme="1"/>
        <rFont val="DejaVu Sans"/>
        <family val="2"/>
      </rPr>
      <t>원상복구비 등</t>
    </r>
    <r>
      <rPr>
        <sz val="8"/>
        <color theme="1"/>
        <rFont val="맑은 고딕"/>
        <family val="2"/>
        <charset val="129"/>
      </rPr>
      <t>)</t>
    </r>
    <r>
      <rPr>
        <sz val="8"/>
        <color theme="1"/>
        <rFont val="DejaVu Sans"/>
        <family val="2"/>
      </rPr>
      <t>은 고객님이 납부하셔야 합니다</t>
    </r>
    <r>
      <rPr>
        <sz val="8"/>
        <color theme="1"/>
        <rFont val="맑은 고딕"/>
        <family val="2"/>
        <charset val="129"/>
      </rPr>
      <t xml:space="preserve">. </t>
    </r>
  </si>
  <si>
    <r>
      <rPr>
        <sz val="8"/>
        <color theme="1"/>
        <rFont val="맑은 고딕"/>
        <family val="3"/>
        <charset val="129"/>
      </rPr>
      <t xml:space="preserve">3. </t>
    </r>
    <r>
      <rPr>
        <sz val="8"/>
        <color theme="1"/>
        <rFont val="DejaVu Sans"/>
        <family val="2"/>
      </rPr>
      <t>배달통 혹은 슬라이더를 무상으로 지원받았을 경우 계약취소 및 중도해지시 안내 드리는 장소로 반납하셔야 합니다</t>
    </r>
    <r>
      <rPr>
        <sz val="8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</si>
  <si>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회사는 계약서에 기재된 계약자의 개인 정보 및 신용 정보를 수입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이용 및 제공시 “개인정보보호법”</t>
    </r>
    <r>
      <rPr>
        <sz val="9"/>
        <color theme="1"/>
        <rFont val="맑은 고딕"/>
        <family val="3"/>
        <charset val="129"/>
      </rPr>
      <t>, “</t>
    </r>
    <r>
      <rPr>
        <sz val="9"/>
        <color theme="1"/>
        <rFont val="DejaVu Sans"/>
        <family val="2"/>
      </rPr>
      <t>정보 통신망 이용 촉진 및 정보 보호 등에 관한 법률”</t>
    </r>
    <r>
      <rPr>
        <sz val="9"/>
        <color theme="1"/>
        <rFont val="맑은 고딕"/>
        <family val="3"/>
        <charset val="129"/>
      </rPr>
      <t>, “</t>
    </r>
    <r>
      <rPr>
        <sz val="9"/>
        <color theme="1"/>
        <rFont val="DejaVu Sans"/>
        <family val="2"/>
      </rPr>
      <t xml:space="preserve">신용 정보의 이용 및 보호에 관한 법률” 등에 따라 </t>
    </r>
  </si>
  <si>
    <r>
      <rPr>
        <sz val="9"/>
        <color theme="1"/>
        <rFont val="DejaVu Sans"/>
        <family val="2"/>
      </rPr>
      <t>계약자의 동의를 얻어야 합니다</t>
    </r>
    <r>
      <rPr>
        <sz val="9"/>
        <color theme="1"/>
        <rFont val="맑은 고딕"/>
        <family val="3"/>
        <charset val="129"/>
      </rPr>
      <t xml:space="preserve">. </t>
    </r>
    <r>
      <rPr>
        <sz val="9"/>
        <color theme="1"/>
        <rFont val="DejaVu Sans"/>
        <family val="2"/>
      </rPr>
      <t>따라서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계약자 본인은 아래 내용을 확인하며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리스</t>
    </r>
    <r>
      <rPr>
        <sz val="9"/>
        <color theme="1"/>
        <rFont val="맑은 고딕"/>
        <family val="3"/>
        <charset val="129"/>
      </rPr>
      <t>/</t>
    </r>
    <r>
      <rPr>
        <sz val="9"/>
        <color theme="1"/>
        <rFont val="DejaVu Sans"/>
        <family val="2"/>
      </rPr>
      <t>렌탈회사의 서비스 이용약관과 개인 정보 및 신용 정보의 수집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이용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제공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취급 위탁 선택 정보 등에 동의합니다</t>
    </r>
    <r>
      <rPr>
        <sz val="9"/>
        <color theme="1"/>
        <rFont val="맑은 고딕"/>
        <family val="3"/>
        <charset val="129"/>
      </rPr>
      <t>.</t>
    </r>
  </si>
  <si>
    <t>▣ 업무위탁에 대한 동의서</t>
  </si>
  <si>
    <r>
      <rPr>
        <sz val="10"/>
        <color rgb="FF000000"/>
        <rFont val="DejaVu Sans"/>
        <family val="2"/>
      </rPr>
      <t>■ 수집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이용목적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거래관계의 설정 및 유지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상품의 제공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법령상 의무이행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분쟁</t>
    </r>
  </si>
  <si>
    <r>
      <rPr>
        <sz val="10"/>
        <color rgb="FF000000"/>
        <rFont val="DejaVu Sans"/>
        <family val="2"/>
      </rPr>
      <t>■ 협력사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물품배송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출고에 대한 정보 제공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이륜자동차의 공급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운송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출고</t>
    </r>
    <r>
      <rPr>
        <sz val="10"/>
        <color rgb="FF000000"/>
        <rFont val="맑은 고딕"/>
        <family val="3"/>
        <charset val="129"/>
      </rPr>
      <t xml:space="preserve">, </t>
    </r>
  </si>
  <si>
    <r>
      <rPr>
        <sz val="10"/>
        <color rgb="FF000000"/>
        <rFont val="DejaVu Sans"/>
        <family val="2"/>
      </rPr>
      <t>처리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민원처리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차량 분실 방지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사고 대응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서비스 개선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통계 분석 등 </t>
    </r>
  </si>
  <si>
    <r>
      <rPr>
        <sz val="10"/>
        <color theme="1"/>
        <rFont val="DejaVu Sans"/>
        <family val="2"/>
      </rPr>
      <t>계약서 전달 등</t>
    </r>
    <r>
      <rPr>
        <sz val="10"/>
        <color theme="1"/>
        <rFont val="맑은 고딕"/>
        <family val="2"/>
        <charset val="129"/>
      </rPr>
      <t>)</t>
    </r>
  </si>
  <si>
    <r>
      <rPr>
        <sz val="10"/>
        <color rgb="FF000000"/>
        <rFont val="DejaVu Sans"/>
        <family val="2"/>
      </rPr>
      <t>수집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이용항목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성명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실명</t>
    </r>
    <r>
      <rPr>
        <sz val="10"/>
        <color rgb="FF000000"/>
        <rFont val="맑은 고딕"/>
        <family val="3"/>
        <charset val="129"/>
      </rPr>
      <t xml:space="preserve">), </t>
    </r>
    <r>
      <rPr>
        <sz val="10"/>
        <color rgb="FF000000"/>
        <rFont val="DejaVu Sans"/>
        <family val="2"/>
      </rPr>
      <t>주민등록번호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휴대전화번호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이메일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현주소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근무지 등 </t>
    </r>
  </si>
  <si>
    <r>
      <rPr>
        <sz val="10"/>
        <color rgb="FF000000"/>
        <rFont val="DejaVu Sans"/>
        <family val="2"/>
      </rPr>
      <t>■ 수납대행사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포어스바이크 유한회사</t>
    </r>
    <r>
      <rPr>
        <sz val="10"/>
        <color rgb="FF000000"/>
        <rFont val="맑은 고딕"/>
        <family val="3"/>
        <charset val="129"/>
      </rPr>
      <t xml:space="preserve">): </t>
    </r>
    <r>
      <rPr>
        <sz val="10"/>
        <color rgb="FF000000"/>
        <rFont val="DejaVu Sans"/>
        <family val="2"/>
      </rPr>
      <t>할부판매 대금 및 보증금 등 대금 수납 대행</t>
    </r>
    <r>
      <rPr>
        <sz val="10"/>
        <color rgb="FF000000"/>
        <rFont val="맑은 고딕"/>
        <family val="3"/>
        <charset val="129"/>
      </rPr>
      <t xml:space="preserve">, </t>
    </r>
  </si>
  <si>
    <r>
      <rPr>
        <sz val="10"/>
        <color rgb="FF000000"/>
        <rFont val="맑은 고딕"/>
        <family val="3"/>
        <charset val="129"/>
      </rPr>
      <t xml:space="preserve">/ </t>
    </r>
    <r>
      <rPr>
        <sz val="10"/>
        <color rgb="FF000000"/>
        <rFont val="DejaVu Sans"/>
        <family val="2"/>
      </rPr>
      <t>신분증발급일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신분증발급기관 </t>
    </r>
    <r>
      <rPr>
        <sz val="10"/>
        <color rgb="FF000000"/>
        <rFont val="맑은 고딕"/>
        <family val="3"/>
        <charset val="129"/>
      </rPr>
      <t xml:space="preserve">/ </t>
    </r>
    <r>
      <rPr>
        <sz val="10"/>
        <color rgb="FF000000"/>
        <rFont val="DejaVu Sans"/>
        <family val="2"/>
      </rPr>
      <t>거래카드사명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카드번호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유효기간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거래은행명</t>
    </r>
    <r>
      <rPr>
        <sz val="10"/>
        <color rgb="FF000000"/>
        <rFont val="맑은 고딕"/>
        <family val="3"/>
        <charset val="129"/>
      </rPr>
      <t xml:space="preserve">, </t>
    </r>
  </si>
  <si>
    <r>
      <rPr>
        <sz val="10"/>
        <color rgb="FF000000"/>
        <rFont val="DejaVu Sans"/>
        <family val="2"/>
      </rPr>
      <t>세금계산서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현금영수증</t>
    </r>
    <r>
      <rPr>
        <sz val="10"/>
        <color rgb="FF000000"/>
        <rFont val="맑은 고딕"/>
        <family val="3"/>
        <charset val="129"/>
      </rPr>
      <t xml:space="preserve">) </t>
    </r>
    <r>
      <rPr>
        <sz val="10"/>
        <color rgb="FF000000"/>
        <rFont val="DejaVu Sans"/>
        <family val="2"/>
      </rPr>
      <t>발행 및 교부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미수금 관리 및 채권 추심 관련 업무 일체</t>
    </r>
  </si>
  <si>
    <r>
      <rPr>
        <sz val="10"/>
        <color rgb="FF000000"/>
        <rFont val="DejaVu Sans"/>
        <family val="2"/>
      </rPr>
      <t>계좌번호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예금주명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예금주 휴대전화번호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차량 위치정보</t>
    </r>
    <r>
      <rPr>
        <sz val="10"/>
        <color rgb="FF000000"/>
        <rFont val="맑은 고딕"/>
        <family val="3"/>
        <charset val="129"/>
      </rPr>
      <t>(FMS</t>
    </r>
    <r>
      <rPr>
        <sz val="10"/>
        <color rgb="FF000000"/>
        <rFont val="DejaVu Sans"/>
        <family val="2"/>
      </rPr>
      <t>를 통한 수집 포함</t>
    </r>
    <r>
      <rPr>
        <sz val="10"/>
        <color rgb="FF000000"/>
        <rFont val="맑은 고딕"/>
        <family val="3"/>
        <charset val="129"/>
      </rPr>
      <t>)</t>
    </r>
  </si>
  <si>
    <r>
      <rPr>
        <sz val="10"/>
        <color rgb="FF000000"/>
        <rFont val="DejaVu Sans"/>
        <family val="2"/>
      </rPr>
      <t>■ 배달대행사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고객주문접수 처리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유지관리 업무에 대한 정보 제공</t>
    </r>
  </si>
  <si>
    <r>
      <rPr>
        <sz val="10"/>
        <color rgb="FF000000"/>
        <rFont val="DejaVu Sans"/>
        <family val="2"/>
      </rPr>
      <t>■ 보유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이용기간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 xml:space="preserve">수집된 개인정보는 관계법령에서 특별히 보존을 의무화하고 있는 </t>
    </r>
  </si>
  <si>
    <r>
      <rPr>
        <sz val="10"/>
        <color rgb="FF000000"/>
        <rFont val="DejaVu Sans"/>
        <family val="2"/>
      </rPr>
      <t>이용계약서 전달 및 고객의 할부판매 금액 청구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수납 업무에 대한 정보제공</t>
    </r>
    <r>
      <rPr>
        <sz val="10"/>
        <color rgb="FF000000"/>
        <rFont val="맑은 고딕"/>
        <family val="3"/>
        <charset val="129"/>
      </rPr>
      <t>)</t>
    </r>
  </si>
  <si>
    <r>
      <rPr>
        <sz val="10"/>
        <color rgb="FF000000"/>
        <rFont val="DejaVu Sans"/>
        <family val="2"/>
      </rPr>
      <t>경우를 제외하고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수집 및 이용목적이 달성된 후에 파기합니다</t>
    </r>
    <r>
      <rPr>
        <sz val="10"/>
        <color rgb="FF000000"/>
        <rFont val="맑은 고딕"/>
        <family val="3"/>
        <charset val="129"/>
      </rPr>
      <t xml:space="preserve">. </t>
    </r>
    <r>
      <rPr>
        <sz val="10"/>
        <color rgb="FF000000"/>
        <rFont val="DejaVu Sans"/>
        <family val="2"/>
      </rPr>
      <t>단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다음의 정보에</t>
    </r>
  </si>
  <si>
    <r>
      <rPr>
        <sz val="10"/>
        <color rgb="FF000000"/>
        <rFont val="DejaVu Sans"/>
        <family val="2"/>
      </rPr>
      <t xml:space="preserve">■ 차량등록소 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출고 차량 등록에 필요한 정보 및 등록 사무 업무 전부 위임</t>
    </r>
  </si>
  <si>
    <r>
      <rPr>
        <sz val="10"/>
        <color rgb="FF000000"/>
        <rFont val="DejaVu Sans"/>
        <family val="2"/>
      </rPr>
      <t>대해서는 아래의 이유로 명시한 기간동안 보존합니다</t>
    </r>
    <r>
      <rPr>
        <sz val="10"/>
        <color rgb="FF000000"/>
        <rFont val="맑은 고딕"/>
        <family val="3"/>
        <charset val="129"/>
      </rPr>
      <t xml:space="preserve">. </t>
    </r>
  </si>
  <si>
    <r>
      <rPr>
        <sz val="10"/>
        <color rgb="FF000000"/>
        <rFont val="DejaVu Sans"/>
        <family val="2"/>
      </rPr>
      <t>■ 효성에프엠에스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주</t>
    </r>
    <r>
      <rPr>
        <sz val="10"/>
        <color rgb="FF000000"/>
        <rFont val="맑은 고딕"/>
        <family val="3"/>
        <charset val="129"/>
      </rPr>
      <t xml:space="preserve">): </t>
    </r>
    <r>
      <rPr>
        <sz val="10"/>
        <color rgb="FF000000"/>
        <rFont val="DejaVu Sans"/>
        <family val="2"/>
      </rPr>
      <t>자동이체를 통한 요금 수납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금융거래정보 수집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보관</t>
    </r>
    <r>
      <rPr>
        <sz val="10"/>
        <color rgb="FF000000"/>
        <rFont val="맑은 고딕"/>
        <family val="3"/>
        <charset val="129"/>
      </rPr>
      <t xml:space="preserve">, </t>
    </r>
  </si>
  <si>
    <r>
      <rPr>
        <sz val="10"/>
        <color rgb="FF000000"/>
        <rFont val="맑은 고딕"/>
        <family val="3"/>
        <charset val="129"/>
      </rPr>
      <t xml:space="preserve">- </t>
    </r>
    <r>
      <rPr>
        <sz val="10"/>
        <color rgb="FF000000"/>
        <rFont val="DejaVu Sans"/>
        <family val="2"/>
      </rPr>
      <t>성명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실명</t>
    </r>
    <r>
      <rPr>
        <sz val="10"/>
        <color rgb="FF000000"/>
        <rFont val="맑은 고딕"/>
        <family val="3"/>
        <charset val="129"/>
      </rPr>
      <t xml:space="preserve">), </t>
    </r>
    <r>
      <rPr>
        <sz val="10"/>
        <color rgb="FF000000"/>
        <rFont val="DejaVu Sans"/>
        <family val="2"/>
      </rPr>
      <t>주민등록번호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휴대전화번호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이메일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현주소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근무지 </t>
    </r>
    <r>
      <rPr>
        <sz val="10"/>
        <color rgb="FF000000"/>
        <rFont val="맑은 고딕"/>
        <family val="3"/>
        <charset val="129"/>
      </rPr>
      <t xml:space="preserve">/ </t>
    </r>
    <r>
      <rPr>
        <sz val="10"/>
        <color rgb="FF000000"/>
        <rFont val="DejaVu Sans"/>
        <family val="2"/>
      </rPr>
      <t xml:space="preserve">보존근거 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>불</t>
    </r>
  </si>
  <si>
    <r>
      <rPr>
        <sz val="10"/>
        <color rgb="FF000000"/>
        <rFont val="DejaVu Sans"/>
        <family val="2"/>
      </rPr>
      <t>전달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금융기관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통신사</t>
    </r>
    <r>
      <rPr>
        <sz val="10"/>
        <color rgb="FF000000"/>
        <rFont val="맑은 고딕"/>
        <family val="3"/>
        <charset val="129"/>
      </rPr>
      <t>(SKT,KT,LGU+,CJ</t>
    </r>
    <r>
      <rPr>
        <sz val="10"/>
        <color rgb="FF000000"/>
        <rFont val="DejaVu Sans"/>
        <family val="2"/>
      </rPr>
      <t>헬로비전</t>
    </r>
    <r>
      <rPr>
        <sz val="10"/>
        <color rgb="FF000000"/>
        <rFont val="맑은 고딕"/>
        <family val="3"/>
        <charset val="129"/>
      </rPr>
      <t>)</t>
    </r>
    <r>
      <rPr>
        <sz val="10"/>
        <color rgb="FF000000"/>
        <rFont val="DejaVu Sans"/>
        <family val="2"/>
      </rPr>
      <t>등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제휴사 </t>
    </r>
    <r>
      <rPr>
        <sz val="10"/>
        <color rgb="FF000000"/>
        <rFont val="맑은 고딕"/>
        <family val="3"/>
        <charset val="129"/>
      </rPr>
      <t xml:space="preserve">www.efnc.co.kr </t>
    </r>
    <r>
      <rPr>
        <sz val="10"/>
        <color rgb="FF000000"/>
        <rFont val="DejaVu Sans"/>
        <family val="2"/>
      </rPr>
      <t xml:space="preserve">에 </t>
    </r>
  </si>
  <si>
    <r>
      <rPr>
        <sz val="10"/>
        <color rgb="FF000000"/>
        <rFont val="DejaVu Sans"/>
        <family val="2"/>
      </rPr>
      <t>량이용자 재가입 방지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명예훼손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권리침해 및 수사협조 등 </t>
    </r>
    <r>
      <rPr>
        <sz val="10"/>
        <color rgb="FF000000"/>
        <rFont val="맑은 고딕"/>
        <family val="3"/>
        <charset val="129"/>
      </rPr>
      <t>/</t>
    </r>
    <r>
      <rPr>
        <sz val="10"/>
        <color rgb="FF000000"/>
        <rFont val="DejaVu Sans"/>
        <family val="2"/>
      </rPr>
      <t xml:space="preserve">보존기간 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 xml:space="preserve">해지 후 </t>
    </r>
    <r>
      <rPr>
        <sz val="10"/>
        <color rgb="FF000000"/>
        <rFont val="맑은 고딕"/>
        <family val="3"/>
        <charset val="129"/>
      </rPr>
      <t>1</t>
    </r>
    <r>
      <rPr>
        <sz val="10"/>
        <color rgb="FF000000"/>
        <rFont val="DejaVu Sans"/>
        <family val="2"/>
      </rPr>
      <t>년</t>
    </r>
  </si>
  <si>
    <r>
      <rPr>
        <sz val="10"/>
        <color rgb="FF000000"/>
        <rFont val="DejaVu Sans"/>
        <family val="2"/>
      </rPr>
      <t>게시</t>
    </r>
    <r>
      <rPr>
        <sz val="10"/>
        <color rgb="FF000000"/>
        <rFont val="맑은 고딕"/>
        <family val="3"/>
        <charset val="129"/>
      </rPr>
      <t>)</t>
    </r>
    <r>
      <rPr>
        <sz val="10"/>
        <color rgb="FF000000"/>
        <rFont val="DejaVu Sans"/>
        <family val="2"/>
      </rPr>
      <t>개인정보의 제공 동의를 거부할 권리가 있으나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거래 관계의 설정 및 유지가 </t>
    </r>
  </si>
  <si>
    <r>
      <rPr>
        <sz val="10"/>
        <color rgb="FF000000"/>
        <rFont val="맑은 고딕"/>
        <family val="3"/>
        <charset val="129"/>
      </rPr>
      <t xml:space="preserve">- </t>
    </r>
    <r>
      <rPr>
        <sz val="10"/>
        <color rgb="FF000000"/>
        <rFont val="DejaVu Sans"/>
        <family val="2"/>
      </rPr>
      <t>계약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대금결제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상품 공급에 대한 기록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소비자의 불만 또는 분쟁처리에 관한 기</t>
    </r>
  </si>
  <si>
    <r>
      <rPr>
        <sz val="10"/>
        <color rgb="FF000000"/>
        <rFont val="DejaVu Sans"/>
        <family val="2"/>
      </rPr>
      <t>되지 않음을 알려드립니다</t>
    </r>
    <r>
      <rPr>
        <sz val="10"/>
        <color rgb="FF000000"/>
        <rFont val="맑은 고딕"/>
        <family val="3"/>
        <charset val="129"/>
      </rPr>
      <t>.</t>
    </r>
  </si>
  <si>
    <r>
      <rPr>
        <sz val="10"/>
        <color rgb="FF000000"/>
        <rFont val="DejaVu Sans"/>
        <family val="2"/>
      </rPr>
      <t xml:space="preserve"> 록 </t>
    </r>
    <r>
      <rPr>
        <sz val="10"/>
        <color rgb="FF000000"/>
        <rFont val="맑은 고딕"/>
        <family val="3"/>
        <charset val="129"/>
      </rPr>
      <t xml:space="preserve">/ </t>
    </r>
    <r>
      <rPr>
        <sz val="10"/>
        <color rgb="FF000000"/>
        <rFont val="DejaVu Sans"/>
        <family val="2"/>
      </rPr>
      <t xml:space="preserve">보존근거 </t>
    </r>
    <r>
      <rPr>
        <sz val="10"/>
        <color rgb="FF000000"/>
        <rFont val="맑은 고딕"/>
        <family val="3"/>
        <charset val="129"/>
      </rPr>
      <t xml:space="preserve">: </t>
    </r>
    <r>
      <rPr>
        <sz val="10"/>
        <color rgb="FF000000"/>
        <rFont val="DejaVu Sans"/>
        <family val="2"/>
      </rPr>
      <t xml:space="preserve">전자상거래 등에서의 소비자보호에 관한 법률 </t>
    </r>
    <r>
      <rPr>
        <sz val="10"/>
        <color rgb="FF000000"/>
        <rFont val="맑은 고딕"/>
        <family val="3"/>
        <charset val="129"/>
      </rPr>
      <t xml:space="preserve">/ </t>
    </r>
    <r>
      <rPr>
        <sz val="10"/>
        <color rgb="FF000000"/>
        <rFont val="DejaVu Sans"/>
        <family val="2"/>
      </rPr>
      <t xml:space="preserve">보존기간 </t>
    </r>
    <r>
      <rPr>
        <sz val="10"/>
        <color rgb="FF000000"/>
        <rFont val="맑은 고딕"/>
        <family val="3"/>
        <charset val="129"/>
      </rPr>
      <t>: 5</t>
    </r>
    <r>
      <rPr>
        <sz val="10"/>
        <color rgb="FF000000"/>
        <rFont val="DejaVu Sans"/>
        <family val="2"/>
      </rPr>
      <t>년</t>
    </r>
  </si>
  <si>
    <r>
      <rPr>
        <sz val="10"/>
        <color rgb="FF000000"/>
        <rFont val="DejaVu Sans"/>
        <family val="2"/>
      </rPr>
      <t>상기 계약자 본인은 위 “개인정보 수집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이용 및 제공 동의”</t>
    </r>
    <r>
      <rPr>
        <sz val="10"/>
        <color rgb="FF000000"/>
        <rFont val="맑은 고딕"/>
        <family val="3"/>
        <charset val="129"/>
      </rPr>
      <t>, “</t>
    </r>
    <r>
      <rPr>
        <sz val="10"/>
        <color rgb="FF000000"/>
        <rFont val="DejaVu Sans"/>
        <family val="2"/>
      </rPr>
      <t>금융거래 정보 제공</t>
    </r>
  </si>
  <si>
    <r>
      <rPr>
        <sz val="10"/>
        <color rgb="FF000000"/>
        <rFont val="DejaVu Sans"/>
        <family val="2"/>
      </rPr>
      <t>및 자동승인 동의”</t>
    </r>
    <r>
      <rPr>
        <sz val="10"/>
        <color rgb="FF000000"/>
        <rFont val="맑은 고딕"/>
        <family val="3"/>
        <charset val="129"/>
      </rPr>
      <t>, “</t>
    </r>
    <r>
      <rPr>
        <sz val="10"/>
        <color rgb="FF000000"/>
        <rFont val="DejaVu Sans"/>
        <family val="2"/>
      </rPr>
      <t>업무위탁에 대한 동의” 등에 대하여 전부 동의합니다</t>
    </r>
    <r>
      <rPr>
        <sz val="10"/>
        <color rgb="FF000000"/>
        <rFont val="맑은 고딕"/>
        <family val="3"/>
        <charset val="129"/>
      </rPr>
      <t xml:space="preserve">. </t>
    </r>
  </si>
  <si>
    <t>▣ 금융 거래 정보 제공 및 자동승인 동의서</t>
  </si>
  <si>
    <t>본인은 제공된 이륜자동차 할부판매 계약조건 및 이용약관을 포함한 본 계약서의</t>
  </si>
  <si>
    <r>
      <rPr>
        <sz val="10"/>
        <color rgb="FF000000"/>
        <rFont val="DejaVu Sans"/>
        <family val="2"/>
      </rPr>
      <t>■ 본 신청과 관련하여 본인은 다음 금융거래정보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>거래카드사명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카드번호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유효</t>
    </r>
  </si>
  <si>
    <r>
      <rPr>
        <sz val="10"/>
        <color rgb="FF000000"/>
        <rFont val="DejaVu Sans"/>
        <family val="2"/>
      </rPr>
      <t>내용을 모두 확인하였고 서명 또는 날인은 모두 본인의 것임을 확인합니다</t>
    </r>
    <r>
      <rPr>
        <sz val="10"/>
        <color rgb="FF000000"/>
        <rFont val="맑은 고딕"/>
        <family val="3"/>
        <charset val="129"/>
      </rPr>
      <t>.</t>
    </r>
  </si>
  <si>
    <r>
      <rPr>
        <sz val="10"/>
        <color rgb="FF000000"/>
        <rFont val="DejaVu Sans"/>
        <family val="2"/>
      </rPr>
      <t>기간등 또는 거래은행명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>계좌번호 등</t>
    </r>
    <r>
      <rPr>
        <sz val="10"/>
        <color rgb="FF000000"/>
        <rFont val="맑은 고딕"/>
        <family val="3"/>
        <charset val="129"/>
      </rPr>
      <t>)</t>
    </r>
    <r>
      <rPr>
        <sz val="10"/>
        <color rgb="FF000000"/>
        <rFont val="DejaVu Sans"/>
        <family val="2"/>
      </rPr>
      <t>을 신용카드 또는 통장 출금이체를 신규 신청</t>
    </r>
  </si>
  <si>
    <r>
      <rPr>
        <sz val="10"/>
        <color rgb="FF000000"/>
        <rFont val="DejaVu Sans"/>
        <family val="2"/>
      </rPr>
      <t>하는 때로부터 해지 신청할 때까지 상기 수납기관</t>
    </r>
    <r>
      <rPr>
        <sz val="10"/>
        <color rgb="FF000000"/>
        <rFont val="맑은 고딕"/>
        <family val="3"/>
        <charset val="129"/>
      </rPr>
      <t>(</t>
    </r>
    <r>
      <rPr>
        <sz val="10"/>
        <color rgb="FF000000"/>
        <rFont val="DejaVu Sans"/>
        <family val="2"/>
      </rPr>
      <t xml:space="preserve">수납기관의 결제 대행업체를 </t>
    </r>
  </si>
  <si>
    <r>
      <rPr>
        <sz val="10"/>
        <color rgb="FF000000"/>
        <rFont val="DejaVu Sans"/>
        <family val="2"/>
      </rPr>
      <t>포함</t>
    </r>
    <r>
      <rPr>
        <sz val="10"/>
        <color rgb="FF000000"/>
        <rFont val="맑은 고딕"/>
        <family val="3"/>
        <charset val="129"/>
      </rPr>
      <t>)</t>
    </r>
    <r>
      <rPr>
        <sz val="10"/>
        <color rgb="FF000000"/>
        <rFont val="DejaVu Sans"/>
        <family val="2"/>
      </rPr>
      <t>에 제공하는 것에 대하여 『금융실명거래 및 비밀보장에 관한 법률』의 규정에</t>
    </r>
  </si>
  <si>
    <t>□동의함     □동의하지 않음</t>
  </si>
  <si>
    <r>
      <rPr>
        <sz val="10"/>
        <color rgb="FF000000"/>
        <rFont val="DejaVu Sans"/>
        <family val="2"/>
      </rPr>
      <t>따라 동의합니다</t>
    </r>
    <r>
      <rPr>
        <sz val="10"/>
        <color rgb="FF000000"/>
        <rFont val="맑은 고딕"/>
        <family val="3"/>
        <charset val="129"/>
      </rPr>
      <t xml:space="preserve">. </t>
    </r>
  </si>
  <si>
    <r>
      <rPr>
        <sz val="10"/>
        <color rgb="FF000000"/>
        <rFont val="DejaVu Sans"/>
        <family val="2"/>
      </rPr>
      <t>■ 매월 발생하는 이륜차 임대료 및 채권관리 포함 보증금 및 위약금</t>
    </r>
    <r>
      <rPr>
        <sz val="10"/>
        <color rgb="FF000000"/>
        <rFont val="맑은 고딕"/>
        <family val="3"/>
        <charset val="129"/>
      </rPr>
      <t xml:space="preserve">, </t>
    </r>
    <r>
      <rPr>
        <sz val="10"/>
        <color rgb="FF000000"/>
        <rFont val="DejaVu Sans"/>
        <family val="2"/>
      </rPr>
      <t xml:space="preserve">과태료 및 </t>
    </r>
  </si>
  <si>
    <t>범칙금 등에 대하여 계약조항의 약관에 따라 신용카드 자동승인 거래 또는 통장</t>
  </si>
  <si>
    <r>
      <rPr>
        <sz val="10"/>
        <color rgb="FF000000"/>
        <rFont val="DejaVu Sans"/>
        <family val="2"/>
      </rPr>
      <t>자동이체 등 출금거래를 신청합니다</t>
    </r>
    <r>
      <rPr>
        <sz val="10"/>
        <color rgb="FF000000"/>
        <rFont val="맑은 고딕"/>
        <family val="3"/>
        <charset val="129"/>
      </rPr>
      <t>. (</t>
    </r>
    <r>
      <rPr>
        <sz val="10"/>
        <color rgb="FF000000"/>
        <rFont val="DejaVu Sans"/>
        <family val="2"/>
      </rPr>
      <t>납입방법에 자동이체 또는 신용카드를 선택</t>
    </r>
  </si>
  <si>
    <r>
      <rPr>
        <sz val="10"/>
        <color rgb="FF000000"/>
        <rFont val="DejaVu Sans"/>
        <family val="2"/>
      </rPr>
      <t>한 경우에만 해당함</t>
    </r>
    <r>
      <rPr>
        <sz val="10"/>
        <color rgb="FF000000"/>
        <rFont val="맑은 고딕"/>
        <family val="3"/>
        <charset val="129"/>
      </rPr>
      <t>.)</t>
    </r>
  </si>
  <si>
    <t xml:space="preserve"> 서명 또는 인</t>
  </si>
  <si>
    <t>서명 또는 인</t>
  </si>
  <si>
    <t>신용카드사명</t>
  </si>
  <si>
    <t>신용카드번호</t>
  </si>
  <si>
    <t>유효기간</t>
  </si>
  <si>
    <t>은행명</t>
  </si>
  <si>
    <t>자동이체 계좌번호</t>
  </si>
  <si>
    <t>예금주명</t>
  </si>
  <si>
    <r>
      <rPr>
        <sz val="9"/>
        <color theme="1"/>
        <rFont val="DejaVu Sans"/>
        <family val="2"/>
      </rPr>
      <t>착오입금분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보험금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보증금 상환 등을 위해 자동이체를 신청하지 않더라도 입력하여 주세요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</si>
  <si>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목적</t>
    </r>
    <r>
      <rPr>
        <b/>
        <sz val="11"/>
        <color theme="1"/>
        <rFont val="맑은 고딕"/>
        <family val="3"/>
        <charset val="129"/>
      </rPr>
      <t>)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</si>
  <si>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9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지연배상금 및 반환지연금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</si>
  <si>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이 계약은 한국모터사이클리스 유한회사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 xml:space="preserve">이하 </t>
    </r>
    <r>
      <rPr>
        <sz val="9"/>
        <color theme="1"/>
        <rFont val="맑은 고딕"/>
        <family val="2"/>
        <charset val="129"/>
      </rPr>
      <t>"</t>
    </r>
    <r>
      <rPr>
        <sz val="9"/>
        <color theme="1"/>
        <rFont val="DejaVu Sans"/>
        <family val="2"/>
      </rPr>
      <t>회사</t>
    </r>
    <r>
      <rPr>
        <sz val="9"/>
        <color theme="1"/>
        <rFont val="맑은 고딕"/>
        <family val="2"/>
        <charset val="129"/>
      </rPr>
      <t>"</t>
    </r>
    <r>
      <rPr>
        <sz val="9"/>
        <color theme="1"/>
        <rFont val="DejaVu Sans"/>
        <family val="2"/>
      </rPr>
      <t>라 한다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와 회사로부터 이륜차를 할부 조건으로</t>
    </r>
  </si>
  <si>
    <r>
      <rPr>
        <sz val="9"/>
        <color theme="1"/>
        <rFont val="DejaVu Sans"/>
        <family val="2"/>
      </rPr>
      <t>① 고객이 본 계약서에 약정된 금액을 기한 내에 이행하지 않는 경우 위약금이 발생하며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 xml:space="preserve">고객은 </t>
    </r>
  </si>
  <si>
    <r>
      <rPr>
        <sz val="9"/>
        <color theme="1"/>
        <rFont val="DejaVu Sans"/>
        <family val="2"/>
      </rPr>
      <t>구입하는 자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 xml:space="preserve">이하 </t>
    </r>
    <r>
      <rPr>
        <sz val="9"/>
        <color theme="1"/>
        <rFont val="맑은 고딕"/>
        <family val="2"/>
        <charset val="129"/>
      </rPr>
      <t>"</t>
    </r>
    <r>
      <rPr>
        <sz val="9"/>
        <color theme="1"/>
        <rFont val="DejaVu Sans"/>
        <family val="2"/>
      </rPr>
      <t>고객</t>
    </r>
    <r>
      <rPr>
        <sz val="9"/>
        <color theme="1"/>
        <rFont val="맑은 고딕"/>
        <family val="2"/>
        <charset val="129"/>
      </rPr>
      <t>"</t>
    </r>
    <r>
      <rPr>
        <sz val="9"/>
        <color theme="1"/>
        <rFont val="DejaVu Sans"/>
        <family val="2"/>
      </rPr>
      <t>이라 한다</t>
    </r>
    <r>
      <rPr>
        <sz val="9"/>
        <color theme="1"/>
        <rFont val="맑은 고딕"/>
        <family val="2"/>
        <charset val="129"/>
      </rPr>
      <t xml:space="preserve">) </t>
    </r>
    <r>
      <rPr>
        <sz val="9"/>
        <color theme="1"/>
        <rFont val="DejaVu Sans"/>
        <family val="2"/>
      </rPr>
      <t>간의 권리와 의무를 규정함을 목적으로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</si>
  <si>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rFont val="DejaVu Sans"/>
        <family val="2"/>
      </rPr>
      <t xml:space="preserve">회사의 청구일로부터 </t>
    </r>
    <r>
      <rPr>
        <sz val="9"/>
        <rFont val="맑은 고딕"/>
        <family val="3"/>
        <charset val="129"/>
      </rPr>
      <t>5</t>
    </r>
    <r>
      <rPr>
        <sz val="9"/>
        <rFont val="DejaVu Sans"/>
        <family val="2"/>
      </rPr>
      <t>일 이내에 이를 지급하여야 한다</t>
    </r>
    <r>
      <rPr>
        <sz val="9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</si>
  <si>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② 지연손해금은 고객이 할부금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해지위약금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수리비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과태료 등 본 계약에 따라 지급하여야 하는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</si>
  <si>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정의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</si>
  <si>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금액의 납부를 지체한 경우 발생하며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그 계산식은 아래와 같다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</si>
  <si>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DejaVu Sans"/>
        <family val="2"/>
      </rPr>
      <t>① “이륜차 할부계약”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 “할부계약”이라 한다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요청한 기종의 이륜차를 회사가</t>
    </r>
  </si>
  <si>
    <r>
      <rPr>
        <sz val="9"/>
        <color theme="1"/>
        <rFont val="맑은 고딕"/>
        <family val="3"/>
        <charset val="129"/>
      </rPr>
      <t xml:space="preserve"> [</t>
    </r>
    <r>
      <rPr>
        <sz val="9"/>
        <color theme="1"/>
        <rFont val="DejaVu Sans"/>
        <family val="2"/>
      </rPr>
      <t xml:space="preserve">지연손해금 </t>
    </r>
    <r>
      <rPr>
        <sz val="9"/>
        <color theme="1"/>
        <rFont val="맑은 고딕"/>
        <family val="3"/>
        <charset val="129"/>
      </rPr>
      <t xml:space="preserve">= </t>
    </r>
    <r>
      <rPr>
        <sz val="9"/>
        <color theme="1"/>
        <rFont val="DejaVu Sans"/>
        <family val="2"/>
      </rPr>
      <t xml:space="preserve">연체금액 </t>
    </r>
    <r>
      <rPr>
        <sz val="9"/>
        <color theme="1"/>
        <rFont val="맑은 고딕"/>
        <family val="3"/>
        <charset val="129"/>
      </rPr>
      <t xml:space="preserve">× </t>
    </r>
    <r>
      <rPr>
        <sz val="9"/>
        <color theme="1"/>
        <rFont val="DejaVu Sans"/>
        <family val="2"/>
      </rPr>
      <t xml:space="preserve">경과일수 </t>
    </r>
    <r>
      <rPr>
        <sz val="9"/>
        <color theme="1"/>
        <rFont val="맑은 고딕"/>
        <family val="3"/>
        <charset val="129"/>
      </rPr>
      <t xml:space="preserve">× </t>
    </r>
    <r>
      <rPr>
        <sz val="9"/>
        <color theme="1"/>
        <rFont val="DejaVu Sans"/>
        <family val="2"/>
      </rPr>
      <t xml:space="preserve">연 </t>
    </r>
    <r>
      <rPr>
        <sz val="9"/>
        <color theme="1"/>
        <rFont val="맑은 고딕"/>
        <family val="3"/>
        <charset val="129"/>
      </rPr>
      <t xml:space="preserve">20%]  </t>
    </r>
  </si>
  <si>
    <r>
      <rPr>
        <sz val="9"/>
        <color theme="1"/>
        <rFont val="DejaVu Sans"/>
        <family val="2"/>
      </rPr>
      <t>판매하고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그 대금을 일정 기간에 걸쳐 분할하여 지급하기로 약정하는 매매계약을 의미한다</t>
    </r>
    <r>
      <rPr>
        <sz val="9"/>
        <color theme="1"/>
        <rFont val="맑은 고딕"/>
        <family val="2"/>
        <charset val="129"/>
      </rPr>
      <t xml:space="preserve">. </t>
    </r>
  </si>
  <si>
    <t>③ 반환지연금은 계약이 만료되거나 해지되었음에도 불구하고 고객이 이륜차를 반환하지 않고</t>
  </si>
  <si>
    <r>
      <rPr>
        <sz val="9"/>
        <color theme="1"/>
        <rFont val="DejaVu Sans"/>
        <family val="2"/>
      </rPr>
      <t>② “할부판매 이륜차”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 “이륜차”라 한다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회사가 고객의 요청에 따라 구입하여 본 계약서에</t>
    </r>
  </si>
  <si>
    <r>
      <rPr>
        <sz val="9"/>
        <color theme="1"/>
        <rFont val="DejaVu Sans"/>
        <family val="2"/>
      </rPr>
      <t>점유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사용을 계속하는 경우 발생하며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그 계산식은 아래와 같다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</si>
  <si>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DejaVu Sans"/>
        <family val="2"/>
      </rPr>
      <t>기재한 이륜차를 의미하며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인도 시 이륜차에 부착되어 있는 일체의 부속품 및 장착물을 포함한다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</si>
  <si>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맑은 고딕"/>
        <family val="3"/>
        <charset val="129"/>
      </rPr>
      <t xml:space="preserve"> [</t>
    </r>
    <r>
      <rPr>
        <sz val="9"/>
        <color theme="1"/>
        <rFont val="DejaVu Sans"/>
        <family val="2"/>
      </rPr>
      <t xml:space="preserve">반환지연금 </t>
    </r>
    <r>
      <rPr>
        <sz val="9"/>
        <color theme="1"/>
        <rFont val="맑은 고딕"/>
        <family val="3"/>
        <charset val="129"/>
      </rPr>
      <t>= 1</t>
    </r>
    <r>
      <rPr>
        <sz val="9"/>
        <color theme="1"/>
        <rFont val="DejaVu Sans"/>
        <family val="2"/>
      </rPr>
      <t xml:space="preserve">일 사용료 </t>
    </r>
    <r>
      <rPr>
        <sz val="9"/>
        <color theme="1"/>
        <rFont val="맑은 고딕"/>
        <family val="3"/>
        <charset val="129"/>
      </rPr>
      <t xml:space="preserve">× </t>
    </r>
    <r>
      <rPr>
        <sz val="9"/>
        <color theme="1"/>
        <rFont val="DejaVu Sans"/>
        <family val="2"/>
      </rPr>
      <t xml:space="preserve">경과일수 </t>
    </r>
    <r>
      <rPr>
        <sz val="9"/>
        <color theme="1"/>
        <rFont val="맑은 고딕"/>
        <family val="3"/>
        <charset val="129"/>
      </rPr>
      <t xml:space="preserve">× </t>
    </r>
    <r>
      <rPr>
        <sz val="9"/>
        <color theme="1"/>
        <rFont val="DejaVu Sans"/>
        <family val="2"/>
      </rPr>
      <t xml:space="preserve">연 </t>
    </r>
    <r>
      <rPr>
        <sz val="9"/>
        <color theme="1"/>
        <rFont val="맑은 고딕"/>
        <family val="3"/>
        <charset val="129"/>
      </rPr>
      <t xml:space="preserve">20%]  </t>
    </r>
  </si>
  <si>
    <r>
      <rPr>
        <sz val="9"/>
        <color theme="1"/>
        <rFont val="DejaVu Sans"/>
        <family val="2"/>
      </rPr>
      <t>③ “계약기간”이란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본 계약에 따라 이륜차를 인도받아 사용하는 기간을 말한다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</si>
  <si>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④ 제</t>
    </r>
    <r>
      <rPr>
        <sz val="9"/>
        <color theme="1"/>
        <rFont val="맑은 고딕"/>
        <family val="3"/>
        <charset val="129"/>
      </rPr>
      <t>2</t>
    </r>
    <r>
      <rPr>
        <sz val="9"/>
        <color theme="1"/>
        <rFont val="DejaVu Sans"/>
        <family val="2"/>
      </rPr>
      <t>항 및 제</t>
    </r>
    <r>
      <rPr>
        <sz val="9"/>
        <color theme="1"/>
        <rFont val="맑은 고딕"/>
        <family val="3"/>
        <charset val="129"/>
      </rPr>
      <t>3</t>
    </r>
    <r>
      <rPr>
        <sz val="9"/>
        <color theme="1"/>
        <rFont val="DejaVu Sans"/>
        <family val="2"/>
      </rPr>
      <t>항에 따른 지연손해금과 반환지연금은 회사의 손해배상청구와 별도로 부과될 수 있다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</si>
  <si>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④ “보증금”이란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할부금 지급 및 본 계약에 따른 채무이행을 보증하기 위하여 고객이 회사에 납부하는</t>
    </r>
  </si>
  <si>
    <r>
      <rPr>
        <sz val="9"/>
        <color theme="1"/>
        <rFont val="DejaVu Sans"/>
        <family val="2"/>
      </rPr>
      <t>⑤ 고객이 렌탈료를 연체하거나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인수형 계약에서 인수 절차 지연으로 인한 미납금이 발생하거나</t>
    </r>
    <r>
      <rPr>
        <sz val="9"/>
        <color theme="1"/>
        <rFont val="맑은 고딕"/>
        <family val="3"/>
        <charset val="129"/>
      </rPr>
      <t>,</t>
    </r>
  </si>
  <si>
    <r>
      <rPr>
        <sz val="9"/>
        <color theme="1"/>
        <rFont val="DejaVu Sans"/>
        <family val="2"/>
      </rPr>
      <t>금원을 의미하며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계약기간 만료 시 고객이 본 계약상의 모든 채무를 이행 완료한 때에는 반환한다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</si>
  <si>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과태료 및 범칙금을 납부하지 않는 경우 회사는 고객의 별도 동의 없이 해당 채무를 신용정보집중기관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</si>
  <si>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⑤ “연대보증인”이란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고객과 연대하여 본 계약에 따른 채무를 부담하는 자를 말하며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고객에게</t>
    </r>
  </si>
  <si>
    <t>에 등록하거나 신용정보업체에 채권추심을 의뢰할 수 있다</t>
  </si>
  <si>
    <r>
      <rPr>
        <sz val="9"/>
        <color theme="1"/>
        <rFont val="DejaVu Sans"/>
        <family val="2"/>
      </rPr>
      <t>미변제 채무가 남아 있는 경우 그 채무를 대신 이행할 책임을 진다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</si>
  <si>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⑥ “위약금”이란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고객의 귀책사유로 주문을 취소하거나 본 계약을 중도 해지하는 경우 고객이</t>
    </r>
  </si>
  <si>
    <r>
      <rPr>
        <sz val="9"/>
        <color theme="1"/>
        <rFont val="DejaVu Sans"/>
        <family val="2"/>
      </rPr>
      <t>회사에 지급하여야 하는 금액을 의미한다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</si>
  <si>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⑦ “지연손해금”이란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할부금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위약금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과태료 등 본 계약에 따른 금원의 납부를 지체한 경우</t>
    </r>
  </si>
  <si>
    <r>
      <rPr>
        <sz val="9"/>
        <color theme="1"/>
        <rFont val="DejaVu Sans"/>
        <family val="2"/>
      </rPr>
      <t>발생하는 추가 비용을 의미한다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</si>
  <si>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10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연대보증인의 책임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</si>
  <si>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⑧ “계약이관”이란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본 계약상의 권리와 의무를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승계하는 것을 의미한다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</si>
  <si>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① 연대보증인은 할부금 지급채무를 포함하여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회사에 대하여 본 계약과 관련하여 부담하는</t>
    </r>
  </si>
  <si>
    <r>
      <rPr>
        <sz val="9"/>
        <color theme="1"/>
        <rFont val="DejaVu Sans"/>
        <family val="2"/>
      </rPr>
      <t>일체의 채무를 보증하며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고객과 연대하여 그 채무를 이행한다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</si>
  <si>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3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계약체결을 위한 서류 제출 및 관련서류의 보완 등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</si>
  <si>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② 고객이 회사의 동의 없이 본 계약상의 채무를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인수 또는 승계하게 한 경우에도</t>
    </r>
    <r>
      <rPr>
        <sz val="9"/>
        <color theme="1"/>
        <rFont val="맑은 고딕"/>
        <family val="2"/>
        <charset val="129"/>
      </rPr>
      <t>,</t>
    </r>
  </si>
  <si>
    <r>
      <rPr>
        <sz val="9"/>
        <color theme="1"/>
        <rFont val="DejaVu Sans"/>
        <family val="2"/>
      </rPr>
      <t>① 고객은 본 할부계약의 체결에 필요한 서류를 계약 체결 시 회사에 제출하여야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회사가 추후</t>
    </r>
  </si>
  <si>
    <r>
      <rPr>
        <sz val="9"/>
        <color theme="1"/>
        <rFont val="DejaVu Sans"/>
        <family val="2"/>
      </rPr>
      <t>연대보증인은 본 계약에 따른 채무가 전액 변제될 때까지 보증채무를 부담한다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</si>
  <si>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제출된 서류의 보완을 요구하는 경우 이에 성실히 응하여야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</si>
  <si>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③ 연대보증인은 고객과의 관계에서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본 계약에 따른 고객의 미변제 채무가 남아 있는 경우 고객의</t>
    </r>
  </si>
  <si>
    <r>
      <rPr>
        <sz val="9"/>
        <color theme="1"/>
        <rFont val="DejaVu Sans"/>
        <family val="2"/>
      </rPr>
      <t>② 계약 체결 시 고객이 제출한 관련 서류는 어떠한 경우에도 반환하지 않는다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</si>
  <si>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채무를 회사보다 먼저 변제받을 권리를 행사할 수 없다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</si>
  <si>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④ 보험 연령 변경 등 일부 계약 내용이 변경되는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연대보증인이 별도로 변경계약서에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</si>
  <si>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4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소유권 유보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</si>
  <si>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서명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날인하지 아니하더라도 그 변경에 동의한 것으로 본다</t>
    </r>
    <r>
      <rPr>
        <sz val="9"/>
        <color theme="1"/>
        <rFont val="맑은 고딕"/>
        <family val="2"/>
        <charset val="129"/>
      </rPr>
      <t xml:space="preserve">.  </t>
    </r>
    <r>
      <rPr>
        <sz val="9"/>
        <color theme="1"/>
        <rFont val="DejaVu Sans"/>
        <family val="2"/>
      </rPr>
      <t>단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변경된 계약 내용이 연대보증인에게</t>
    </r>
  </si>
  <si>
    <r>
      <rPr>
        <sz val="9"/>
        <color theme="1"/>
        <rFont val="DejaVu Sans"/>
        <family val="2"/>
      </rPr>
      <t>불리한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이를 즉시 보증인에게 통지하여야 한다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연대보증인이 해당 통지를</t>
    </r>
  </si>
  <si>
    <r>
      <rPr>
        <sz val="9"/>
        <color theme="1"/>
        <rFont val="DejaVu Sans"/>
        <family val="2"/>
      </rPr>
      <t xml:space="preserve">받은 날로부터 </t>
    </r>
    <r>
      <rPr>
        <sz val="9"/>
        <color theme="1"/>
        <rFont val="맑은 고딕"/>
        <family val="2"/>
        <charset val="129"/>
      </rPr>
      <t>14</t>
    </r>
    <r>
      <rPr>
        <sz val="9"/>
        <color theme="1"/>
        <rFont val="DejaVu Sans"/>
        <family val="2"/>
      </rPr>
      <t>일 이내에 이의를 제기한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회사는 고객에게 새로운 보증인의 추가 또는</t>
    </r>
  </si>
  <si>
    <r>
      <rPr>
        <sz val="9"/>
        <color theme="1"/>
        <rFont val="DejaVu Sans"/>
        <family val="2"/>
      </rPr>
      <t>교체를 요구할 수 있다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또한 연대보증인은 미성년자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배우자 등 불법적 강제보증인으로 할 수 없다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</si>
  <si>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5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고객의 책임</t>
    </r>
    <r>
      <rPr>
        <b/>
        <sz val="11"/>
        <color theme="1"/>
        <rFont val="맑은 고딕"/>
        <family val="3"/>
        <charset val="129"/>
      </rPr>
      <t>)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</si>
  <si>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11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계약의 이관 및 승계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</si>
  <si>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① 고객은 선량한 관리자의 주의로 이륜차를 유지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관리하여야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이륜차의 하자담보책임 및 운행 중</t>
    </r>
  </si>
  <si>
    <r>
      <rPr>
        <sz val="9"/>
        <color theme="1"/>
        <rFont val="DejaVu Sans"/>
        <family val="2"/>
      </rPr>
      <t>① 고객은 회사의 사전 승인 없이 본 계약상의 권리와 의무를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임의로 승계할 수 없다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</si>
  <si>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발생하는 모든 사고와 관련한 책임을 부담한다</t>
    </r>
    <r>
      <rPr>
        <sz val="9"/>
        <color theme="1"/>
        <rFont val="맑은 고딕"/>
        <family val="2"/>
        <charset val="129"/>
      </rPr>
      <t xml:space="preserve">.  </t>
    </r>
    <r>
      <rPr>
        <sz val="9"/>
        <color theme="1"/>
        <rFont val="DejaVu Sans"/>
        <family val="2"/>
      </rPr>
      <t>이는 회사가 소유권을 보유하더라도 운행자성이</t>
    </r>
  </si>
  <si>
    <r>
      <rPr>
        <sz val="9"/>
        <color theme="1"/>
        <rFont val="DejaVu Sans"/>
        <family val="2"/>
      </rPr>
      <t>② 고객이 권리와 의무를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승계하고자 하는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회사에 승계받고자 하는 자의</t>
    </r>
  </si>
  <si>
    <r>
      <rPr>
        <sz val="9"/>
        <color theme="1"/>
        <rFont val="DejaVu Sans"/>
        <family val="2"/>
      </rPr>
      <t>없으므로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인적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물적 관리책임은 전적으로 고객에게 있음을 의미한다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</si>
  <si>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인적사항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신용상태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영업상황 등 필요한 정보를 제공하여야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회사는 내부 심사기준에 부합하지</t>
    </r>
  </si>
  <si>
    <r>
      <rPr>
        <sz val="9"/>
        <color theme="1"/>
        <rFont val="DejaVu Sans"/>
        <family val="2"/>
      </rPr>
      <t>② 고객은 할부판매 기간 중 임의로 다른 부착물을 장착하거나 이륜차의 구조를 변경할 수 없다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</si>
  <si>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않는 경우 이를 거절할 수 있다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</si>
  <si>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③ 이륜차의 소유권은 회사에 있으며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사용수익권과 운행이익권을 가진다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단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제</t>
    </r>
    <r>
      <rPr>
        <sz val="9"/>
        <color theme="1"/>
        <rFont val="맑은 고딕"/>
        <family val="2"/>
        <charset val="129"/>
      </rPr>
      <t>17</t>
    </r>
    <r>
      <rPr>
        <sz val="9"/>
        <color theme="1"/>
        <rFont val="DejaVu Sans"/>
        <family val="2"/>
      </rPr>
      <t>조에 따라</t>
    </r>
  </si>
  <si>
    <r>
      <rPr>
        <sz val="9"/>
        <color theme="1"/>
        <rFont val="DejaVu Sans"/>
        <family val="2"/>
      </rPr>
      <t>③ 회사의 승인 없이 고객이 임의로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이륜차의 실질적인 사용수익권을 넘긴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</t>
    </r>
  </si>
  <si>
    <r>
      <rPr>
        <sz val="9"/>
        <color theme="1"/>
        <rFont val="DejaVu Sans"/>
        <family val="2"/>
      </rPr>
      <t>계약이 해지된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즉시 운행을 중단하고 이륜차를 회사에 반환하여야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</si>
  <si>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회사의 승인이 있기 전까지 할부금 지급의무 및 본 계약에 따른 기타 채무를 계속하여 이행하여야 한다</t>
    </r>
    <r>
      <rPr>
        <sz val="9"/>
        <color theme="1"/>
        <rFont val="맑은 고딕"/>
        <family val="2"/>
        <charset val="129"/>
      </rPr>
      <t>.</t>
    </r>
  </si>
  <si>
    <t>④ 고객은 인수형 할부판매라 하더라도 계약기간 만료 및 약정된 금액을 완납하기 전까지 이륜차의</t>
  </si>
  <si>
    <r>
      <rPr>
        <sz val="9"/>
        <color theme="1"/>
        <rFont val="DejaVu Sans"/>
        <family val="2"/>
      </rPr>
      <t>④ 고객은 계약이관을 하기 위해서는 할부금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수리비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위약금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과태료 등 일체의 미납금이 없어야한다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</si>
  <si>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소유권을 주장할 수 없다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복수의 이륜차에 대한 할부계약을 체결한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계약기간 만료일 기준으로</t>
    </r>
  </si>
  <si>
    <r>
      <rPr>
        <sz val="9"/>
        <color theme="1"/>
        <rFont val="DejaVu Sans"/>
        <family val="2"/>
      </rPr>
      <t>⑤ 계약을 승계받고자 하는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자가 계약이관서에 서명함으로써 계약이관 절차는 완료된 것으로 본다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</si>
  <si>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모든 이륜차의 청구금액이 완납된 때에만 소유권 이전이 가능하다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</si>
  <si>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⑤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자가 이륜차에 대하여 권리를 주장하거나 보전처분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강제집행 등으로 회사의 소유권을 침해할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</si>
  <si>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12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차량 위치정보 등의 제공 동의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</si>
  <si>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위험이 있는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이륜차가 회사의 소유임을 주장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입증하여 그 침해를 방지하고</t>
    </r>
    <r>
      <rPr>
        <sz val="9"/>
        <color theme="1"/>
        <rFont val="맑은 고딕"/>
        <family val="2"/>
        <charset val="129"/>
      </rPr>
      <t>,</t>
    </r>
  </si>
  <si>
    <r>
      <rPr>
        <sz val="9"/>
        <color theme="1"/>
        <rFont val="DejaVu Sans"/>
        <family val="2"/>
      </rPr>
      <t>① 해당 이륜차에는 도난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멸실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분실 등의 위험을 방지하고 이에 대처하기 위하여 위치정보를</t>
    </r>
  </si>
  <si>
    <r>
      <rPr>
        <sz val="9"/>
        <color theme="1"/>
        <rFont val="DejaVu Sans"/>
        <family val="2"/>
      </rPr>
      <t>즉시 그 사실을 회사에 통지하여야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</si>
  <si>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집할 수 있는 장치가 부착되어 있으며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이를 인지하고 동의한다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</si>
  <si>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⑥ 고객은 이륜차를 인도받은 시점부터 계약 종료로 반환할 때까지  도난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멸실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훼손 등 정상적인</t>
    </r>
  </si>
  <si>
    <r>
      <rPr>
        <sz val="9"/>
        <color theme="1"/>
        <rFont val="DejaVu Sans"/>
        <family val="2"/>
      </rPr>
      <t>필요에 따라 회사는 해당 위치정보를 수집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이용할 수 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</si>
  <si>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기능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외형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점유를 손상시키는 일체의 사고에 대한 책임을 부담한다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</si>
  <si>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② 고객은 이륜차의 실제 운전자 및 운행자로부터 위치정보의 수집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 xml:space="preserve">이용 및 제공에 대한 동의를 받아야 </t>
    </r>
  </si>
  <si>
    <r>
      <rPr>
        <sz val="9"/>
        <color theme="1"/>
        <rFont val="DejaVu Sans"/>
        <family val="2"/>
      </rPr>
      <t>⑦ 이륜차가 도난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멸실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훼손된 경우 고객은 지체 없이 회사에 통보하고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고객의 비용으로 다음 각 호</t>
    </r>
  </si>
  <si>
    <r>
      <rPr>
        <sz val="9"/>
        <color theme="1"/>
        <rFont val="DejaVu Sans"/>
        <family val="2"/>
      </rPr>
      <t>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회사가 요청하는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해당 동의서 및 관련 위치정보를 지체 없이 회사에 제출하여야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</si>
  <si>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중 하나를 이행하여야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</si>
  <si>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③ 고객은 제</t>
    </r>
    <r>
      <rPr>
        <sz val="9"/>
        <color theme="1"/>
        <rFont val="맑은 고딕"/>
        <family val="2"/>
        <charset val="129"/>
      </rPr>
      <t>1</t>
    </r>
    <r>
      <rPr>
        <sz val="9"/>
        <color theme="1"/>
        <rFont val="DejaVu Sans"/>
        <family val="2"/>
      </rPr>
      <t>항에 따른 장치를 임의로 변경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제거 또는 훼손하여서는 아니된다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</si>
  <si>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맑은 고딕"/>
        <family val="2"/>
        <charset val="129"/>
      </rPr>
      <t xml:space="preserve"> 1. </t>
    </r>
    <r>
      <rPr>
        <sz val="9"/>
        <color theme="1"/>
        <rFont val="DejaVu Sans"/>
        <family val="2"/>
      </rPr>
      <t>이륜차를 본래의 기능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외형 및 점유 상태로 완전히 복구한다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</si>
  <si>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④ 회사는 고객의 채무불이행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계약 해지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회수 절차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보험사고 처리 등 본 계약의 이행 및 관리에</t>
    </r>
  </si>
  <si>
    <r>
      <rPr>
        <sz val="9"/>
        <color theme="1"/>
        <rFont val="맑은 고딕"/>
        <family val="2"/>
        <charset val="129"/>
      </rPr>
      <t xml:space="preserve"> 2. </t>
    </r>
    <r>
      <rPr>
        <sz val="9"/>
        <color theme="1"/>
        <rFont val="DejaVu Sans"/>
        <family val="2"/>
      </rPr>
      <t>기존 이륜차와 동일한 모델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사양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구성의 이륜차로 교체한다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이 경우 교체된 이륜차는 회사의 소유가</t>
    </r>
  </si>
  <si>
    <r>
      <rPr>
        <sz val="9"/>
        <color theme="1"/>
        <rFont val="DejaVu Sans"/>
        <family val="2"/>
      </rPr>
      <t>필요한 범위에서만 위치정보를 활용할 수 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</si>
  <si>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 xml:space="preserve"> 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본 계약서상의 이륜차로 간주한다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</si>
  <si>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⑧ 고객은 이륜차 인도 이후 본 계약에서 정한 각종 의무를 준수하여야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권리의 전부 또는 일부를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</si>
  <si>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13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이륜차의 유지비용 및 제세공과금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</si>
  <si>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양도할 수 없다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</si>
  <si>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① 고객은 이륜차의 사용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관리와 관련하여 관련 법령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이륜차 검사 포함</t>
    </r>
    <r>
      <rPr>
        <sz val="9"/>
        <color theme="1"/>
        <rFont val="맑은 고딕"/>
        <family val="2"/>
        <charset val="129"/>
      </rPr>
      <t xml:space="preserve">), </t>
    </r>
    <r>
      <rPr>
        <sz val="9"/>
        <color theme="1"/>
        <rFont val="DejaVu Sans"/>
        <family val="2"/>
      </rPr>
      <t>관할관청의 지침 및 회사 또는</t>
    </r>
  </si>
  <si>
    <r>
      <rPr>
        <sz val="9"/>
        <color theme="1"/>
        <rFont val="DejaVu Sans"/>
        <family val="2"/>
      </rPr>
      <t>⑨ 고객은 계약 개시 시점에 차량과 키 및 이에 부속된 일체의 부속품을 인수하므로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계약 종료 시까지</t>
    </r>
  </si>
  <si>
    <r>
      <rPr>
        <sz val="9"/>
        <color theme="1"/>
        <rFont val="DejaVu Sans"/>
        <family val="2"/>
      </rPr>
      <t>매도인의 지시에 따라 성실히 준수하여야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</si>
  <si>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차량 및 키 관련 부속품의 도난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멸실 또는 훼손 등에 대한 모든 책임을 부담한다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</si>
  <si>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② 회사는 계약기간 중 언제든지 고객이 본 계약을 준수하고 있는지 점검할 수 있으며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회사의</t>
    </r>
  </si>
  <si>
    <r>
      <rPr>
        <sz val="9"/>
        <color theme="1"/>
        <rFont val="DejaVu Sans"/>
        <family val="2"/>
      </rPr>
      <t>요청에 성실히 협조하여야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</si>
  <si>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6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이륜차의 인도 및 고객확인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</si>
  <si>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③ 이륜차의 보관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사용 등으로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손해가 발생한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회사의 고의 또는 과실이 없는 한</t>
    </r>
  </si>
  <si>
    <r>
      <rPr>
        <sz val="9"/>
        <color theme="1"/>
        <rFont val="DejaVu Sans"/>
        <family val="2"/>
      </rPr>
      <t>① 계약기간은 고객이 본 계약에 따라 이륜차를 인도받아 사용하는 기간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 “사용기간”이라 한다</t>
    </r>
    <r>
      <rPr>
        <sz val="9"/>
        <color theme="1"/>
        <rFont val="맑은 고딕"/>
        <family val="2"/>
        <charset val="129"/>
      </rPr>
      <t>)</t>
    </r>
  </si>
  <si>
    <r>
      <rPr>
        <sz val="9"/>
        <color theme="1"/>
        <rFont val="DejaVu Sans"/>
        <family val="2"/>
      </rPr>
      <t>그 책임은 고객이 부담하고 이를 배상하여야 한다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회사가 소유자로서 관련 분쟁에 관여하거나</t>
    </r>
  </si>
  <si>
    <r>
      <rPr>
        <sz val="9"/>
        <color theme="1"/>
        <rFont val="DejaVu Sans"/>
        <family val="2"/>
      </rPr>
      <t>으로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계약 개시일은 고객이 이륜차를 인도받은 날로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</si>
  <si>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배상책임을 부담하게 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지체 없이 회사에 해당 배상액을 지급하여야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</si>
  <si>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② 회사는 고객이 이륜차 인수증을 발급하거나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협력업체를 통하여 고객이 직접 이륜차를 수령한</t>
    </r>
  </si>
  <si>
    <r>
      <rPr>
        <sz val="9"/>
        <color theme="1"/>
        <rFont val="DejaVu Sans"/>
        <family val="2"/>
      </rPr>
      <t>이륜차 운행 중 발생하는 사고에 대한 보험 가입 및 보험처리 책임은 전적으로 고객에게 있으며</t>
    </r>
    <r>
      <rPr>
        <sz val="9"/>
        <color theme="1"/>
        <rFont val="맑은 고딕"/>
        <family val="2"/>
        <charset val="129"/>
      </rPr>
      <t>,</t>
    </r>
  </si>
  <si>
    <r>
      <rPr>
        <sz val="9"/>
        <color theme="1"/>
        <rFont val="DejaVu Sans"/>
        <family val="2"/>
      </rPr>
      <t>경우를 해당 이륜차의 인도가 완료된 것으로 본다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</si>
  <si>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고객의 귀책사유로 보험처리가 불가능하거나 보험금으로 충당되지 않는 손해가 발생하는 경우</t>
    </r>
    <r>
      <rPr>
        <sz val="9"/>
        <color theme="1"/>
        <rFont val="맑은 고딕"/>
        <family val="2"/>
        <charset val="129"/>
      </rPr>
      <t xml:space="preserve">, </t>
    </r>
  </si>
  <si>
    <t>③ 이륜차 인도 이후에는 고객은 이륜차의 하자 또는 결함을 이유로 할부금 지급의무 및 본 계약상의</t>
  </si>
  <si>
    <r>
      <rPr>
        <sz val="9"/>
        <color theme="1"/>
        <rFont val="DejaVu Sans"/>
        <family val="2"/>
      </rPr>
      <t>그 차액은 고객이 부담한다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</si>
  <si>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채무이행을 거부할 수 없다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</si>
  <si>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④ 이륜차의 등록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유지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사용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등록말소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폐지</t>
    </r>
    <r>
      <rPr>
        <sz val="9"/>
        <color theme="1"/>
        <rFont val="맑은 고딕"/>
        <family val="2"/>
        <charset val="129"/>
      </rPr>
      <t xml:space="preserve">), </t>
    </r>
    <r>
      <rPr>
        <sz val="9"/>
        <color theme="1"/>
        <rFont val="DejaVu Sans"/>
        <family val="2"/>
      </rPr>
      <t>폐차 등과 관련하여 할부금에 포함되지 아니한 비용과</t>
    </r>
  </si>
  <si>
    <r>
      <rPr>
        <sz val="9"/>
        <color theme="1"/>
        <rFont val="DejaVu Sans"/>
        <family val="2"/>
      </rPr>
      <t>제세공과금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과태료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범칙금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벌과금 등을 포함한다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은 전적으로 고객이 부담한다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</si>
  <si>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7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보증금 및 계약금</t>
    </r>
    <r>
      <rPr>
        <b/>
        <sz val="11"/>
        <color theme="1"/>
        <rFont val="맑은 고딕"/>
        <family val="3"/>
        <charset val="129"/>
      </rPr>
      <t>)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</si>
  <si>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14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금지행위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</si>
  <si>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① 이륜차를 양도 혹은 전대하는 행위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또는 본 계약서에 기재된 고객의 권리를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양도하는 행위</t>
    </r>
  </si>
  <si>
    <t>② 해당 이륜차 보험에서 인정하는 사용자 이외의 자에게 이륜차를 사용하게 하는 행위</t>
  </si>
  <si>
    <t>②  보증금은 계약기간 만료 및 고객이 본 계약상의 모든 채무를 완전히 이행한 경우 수납 대행사인</t>
  </si>
  <si>
    <r>
      <rPr>
        <sz val="9"/>
        <color theme="1"/>
        <rFont val="DejaVu Sans"/>
        <family val="2"/>
      </rPr>
      <t>③ 이륜차의 규격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성능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기능 등을 임의로 변경하거나 번호판 등을 훼손하는 행위</t>
    </r>
  </si>
  <si>
    <r>
      <rPr>
        <sz val="9"/>
        <color theme="1"/>
        <rFont val="DejaVu Sans"/>
        <family val="2"/>
      </rPr>
      <t>④ 이륜차를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 담보 목적으로 제공하는 등 회사의 소유권 및 정당한 권리를 침해할 수 있는</t>
    </r>
  </si>
  <si>
    <r>
      <rPr>
        <sz val="9"/>
        <color theme="1"/>
        <rFont val="DejaVu Sans"/>
        <family val="2"/>
      </rPr>
      <t>확인될 수 있으므로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 xml:space="preserve">회사는 계약기간 만료일로부터 </t>
    </r>
    <r>
      <rPr>
        <sz val="9"/>
        <color theme="1"/>
        <rFont val="맑은 고딕"/>
        <family val="2"/>
        <charset val="129"/>
      </rPr>
      <t>1</t>
    </r>
    <r>
      <rPr>
        <sz val="9"/>
        <color theme="1"/>
        <rFont val="DejaVu Sans"/>
        <family val="2"/>
      </rPr>
      <t>개월이 경과한 이후에 보증금을 반환한다</t>
    </r>
    <r>
      <rPr>
        <sz val="9"/>
        <color theme="1"/>
        <rFont val="맑은 고딕"/>
        <family val="2"/>
        <charset val="129"/>
      </rPr>
      <t>.</t>
    </r>
  </si>
  <si>
    <t>행위</t>
  </si>
  <si>
    <r>
      <rPr>
        <sz val="9"/>
        <color theme="1"/>
        <rFont val="DejaVu Sans"/>
        <family val="2"/>
      </rPr>
      <t>③ 회사는 반환된 이륜차의 상태에 따라 보증금에서 수리비를 공제할 수 있으며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수리비가 보증금을</t>
    </r>
  </si>
  <si>
    <r>
      <rPr>
        <sz val="9"/>
        <color theme="1"/>
        <rFont val="DejaVu Sans"/>
        <family val="2"/>
      </rPr>
      <t>⑤ 제</t>
    </r>
    <r>
      <rPr>
        <sz val="9"/>
        <color theme="1"/>
        <rFont val="맑은 고딕"/>
        <family val="2"/>
        <charset val="129"/>
      </rPr>
      <t>2</t>
    </r>
    <r>
      <rPr>
        <sz val="9"/>
        <color theme="1"/>
        <rFont val="DejaVu Sans"/>
        <family val="2"/>
      </rPr>
      <t>조 제</t>
    </r>
    <r>
      <rPr>
        <sz val="9"/>
        <color theme="1"/>
        <rFont val="맑은 고딕"/>
        <family val="2"/>
        <charset val="129"/>
      </rPr>
      <t>2</t>
    </r>
    <r>
      <rPr>
        <sz val="9"/>
        <color theme="1"/>
        <rFont val="DejaVu Sans"/>
        <family val="2"/>
      </rPr>
      <t>항 및 제</t>
    </r>
    <r>
      <rPr>
        <sz val="9"/>
        <color theme="1"/>
        <rFont val="맑은 고딕"/>
        <family val="2"/>
        <charset val="129"/>
      </rPr>
      <t>12</t>
    </r>
    <r>
      <rPr>
        <sz val="9"/>
        <color theme="1"/>
        <rFont val="DejaVu Sans"/>
        <family val="2"/>
      </rPr>
      <t>조 제</t>
    </r>
    <r>
      <rPr>
        <sz val="9"/>
        <color theme="1"/>
        <rFont val="맑은 고딕"/>
        <family val="2"/>
        <charset val="129"/>
      </rPr>
      <t>1</t>
    </r>
    <r>
      <rPr>
        <sz val="9"/>
        <color theme="1"/>
        <rFont val="DejaVu Sans"/>
        <family val="2"/>
      </rPr>
      <t>항에 따른 이륜차 부착 표지를 제거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훼손하거나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그 내용 또는 위치를</t>
    </r>
  </si>
  <si>
    <r>
      <rPr>
        <sz val="9"/>
        <color theme="1"/>
        <rFont val="DejaVu Sans"/>
        <family val="2"/>
      </rPr>
      <t>초과하는 경우 고객은 그 차액을 추가로 납부하여야 한다</t>
    </r>
    <r>
      <rPr>
        <sz val="9"/>
        <color theme="1"/>
        <rFont val="맑은 고딕"/>
        <family val="2"/>
        <charset val="129"/>
      </rPr>
      <t xml:space="preserve">. </t>
    </r>
  </si>
  <si>
    <t>변경하는 행위</t>
  </si>
  <si>
    <r>
      <rPr>
        <sz val="9"/>
        <color theme="1"/>
        <rFont val="DejaVu Sans"/>
        <family val="2"/>
      </rPr>
      <t>④ 고객이 납부하지 않은 과태료 또는 범칙금이 있는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회사는 이를 보증금에서 공제하고 잔액을</t>
    </r>
  </si>
  <si>
    <r>
      <rPr>
        <sz val="9"/>
        <color theme="1"/>
        <rFont val="DejaVu Sans"/>
        <family val="2"/>
      </rPr>
      <t>반환한다</t>
    </r>
    <r>
      <rPr>
        <sz val="9"/>
        <color theme="1"/>
        <rFont val="맑은 고딕"/>
        <family val="2"/>
        <charset val="129"/>
      </rPr>
      <t xml:space="preserve">. </t>
    </r>
    <r>
      <rPr>
        <sz val="9"/>
        <color theme="1"/>
        <rFont val="DejaVu Sans"/>
        <family val="2"/>
      </rPr>
      <t>과태료 또는 범칙금이 보증금을 초과하는 경우 고객은 그 차액을 추가로 납부하여야 한다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</si>
  <si>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15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제</t>
    </r>
    <r>
      <rPr>
        <b/>
        <sz val="11"/>
        <color theme="1"/>
        <rFont val="맑은 고딕"/>
        <family val="3"/>
        <charset val="129"/>
      </rPr>
      <t>3</t>
    </r>
    <r>
      <rPr>
        <b/>
        <sz val="11"/>
        <color theme="1"/>
        <rFont val="DejaVu Sans"/>
        <family val="2"/>
      </rPr>
      <t>자에 대한 면책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</si>
  <si>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⑤ 계약이 중도 해지된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어떠한 사유로도 납부한 보증금 및 계약금을 반환받을 수 없다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</si>
  <si>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① 계약기간의 종료나 해지 여부와 관계없이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고객이 이륜차를 인수한 날부터 회사에 반환한 날까지의</t>
    </r>
  </si>
  <si>
    <r>
      <rPr>
        <sz val="9"/>
        <color theme="1"/>
        <rFont val="DejaVu Sans"/>
        <family val="2"/>
      </rPr>
      <t>기간 동안 이륜차의 보관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운행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사용 등과 관련하여 회사가 소유자라는 이유로 고객 또는 고객의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</si>
  <si>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8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할부금 및 기타 지급금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</si>
  <si>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종업원을 포함한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자가 회사에 대하여 인적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물적 손해배상을 청구하는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자신의 비용과</t>
    </r>
  </si>
  <si>
    <t>① 고객은 계약서에 기재된 할부금 및 이륜차 운행과 관련하여 발생한 제 비용을 약정에 따라 공휴일과</t>
  </si>
  <si>
    <r>
      <rPr>
        <sz val="9"/>
        <color theme="1"/>
        <rFont val="DejaVu Sans"/>
        <family val="2"/>
      </rPr>
      <t>책임으로 회사를 해당 청구로부터 면책시켜야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이륜차에 대한 인적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 xml:space="preserve">물적 관리 및 지배가 고객에게 </t>
    </r>
  </si>
  <si>
    <r>
      <rPr>
        <sz val="9"/>
        <color theme="1"/>
        <rFont val="DejaVu Sans"/>
        <family val="2"/>
      </rPr>
      <t>있음을 입증하여 회사에 어떠한 손해도 발생하지 않도록 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</si>
  <si>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② 고객은 회사가 소유자라는 이유로 부득이하게 직접 손해배상을 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회사가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자에게</t>
    </r>
  </si>
  <si>
    <r>
      <rPr>
        <sz val="9"/>
        <color theme="1"/>
        <rFont val="DejaVu Sans"/>
        <family val="2"/>
      </rPr>
      <t>지급한 금액과 그와 관련하여 지출한 제비용을 즉시 회사에 상환하여야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</si>
  <si>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③ 매도인의 가격 인상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정부 정책 등 불가피한 사정으로 할부금이 변동될 경우 회사는 고객에게</t>
    </r>
  </si>
  <si>
    <r>
      <rPr>
        <sz val="9"/>
        <color theme="1"/>
        <rFont val="DejaVu Sans"/>
        <family val="2"/>
      </rPr>
      <t>③ 회사가 제</t>
    </r>
    <r>
      <rPr>
        <sz val="9"/>
        <color theme="1"/>
        <rFont val="맑은 고딕"/>
        <family val="2"/>
        <charset val="129"/>
      </rPr>
      <t>1</t>
    </r>
    <r>
      <rPr>
        <sz val="9"/>
        <color theme="1"/>
        <rFont val="DejaVu Sans"/>
        <family val="2"/>
      </rPr>
      <t>항 및 제</t>
    </r>
    <r>
      <rPr>
        <sz val="9"/>
        <color theme="1"/>
        <rFont val="맑은 고딕"/>
        <family val="2"/>
        <charset val="129"/>
      </rPr>
      <t>2</t>
    </r>
    <r>
      <rPr>
        <sz val="9"/>
        <color theme="1"/>
        <rFont val="DejaVu Sans"/>
        <family val="2"/>
      </rPr>
      <t>항과 관련하여 제</t>
    </r>
    <r>
      <rPr>
        <sz val="9"/>
        <color theme="1"/>
        <rFont val="맑은 고딕"/>
        <family val="2"/>
        <charset val="129"/>
      </rPr>
      <t>3</t>
    </r>
    <r>
      <rPr>
        <sz val="9"/>
        <color theme="1"/>
        <rFont val="DejaVu Sans"/>
        <family val="2"/>
      </rPr>
      <t>자의 청구에 방어를 한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회사가 그 방어와</t>
    </r>
  </si>
  <si>
    <r>
      <rPr>
        <sz val="9"/>
        <color theme="1"/>
        <rFont val="DejaVu Sans"/>
        <family val="2"/>
      </rPr>
      <t>변동된 금액을 개별 통지하며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이륜차 출고 이전까지 계약을 취소할 수 있다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</si>
  <si>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 xml:space="preserve"> 관련하여 지출한 소송비용 등 일체의 비용을 부담하여야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</si>
  <si>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④ 이륜차의 도난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멸실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훼손 등으로 운행이 불가능한 사유가 발생하더라도 고객은 할부금 지급의무</t>
    </r>
  </si>
  <si>
    <r>
      <rPr>
        <sz val="9"/>
        <color theme="1"/>
        <rFont val="DejaVu Sans"/>
        <family val="2"/>
      </rPr>
      <t>및 본 계약에 따른 채무이행을 거부할 수 없다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</si>
  <si>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16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고객에 의한 계약의 중도 해지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</si>
  <si>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⑤ 납부주기 변경으로 할부금이 조정될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해당 이륜차 최초 계약 당시의 단가표 기준에 따라</t>
    </r>
  </si>
  <si>
    <r>
      <rPr>
        <sz val="9"/>
        <color theme="1"/>
        <rFont val="DejaVu Sans"/>
        <family val="2"/>
      </rPr>
      <t>① 고객이 본 계약을 중도 해지하고자 하는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 xml:space="preserve">해지 예정일로부터 최소 </t>
    </r>
    <r>
      <rPr>
        <sz val="9"/>
        <color theme="1"/>
        <rFont val="맑은 고딕"/>
        <family val="2"/>
        <charset val="129"/>
      </rPr>
      <t>10</t>
    </r>
    <r>
      <rPr>
        <sz val="9"/>
        <color theme="1"/>
        <rFont val="DejaVu Sans"/>
        <family val="2"/>
      </rPr>
      <t>일 전에 회사에 사전 통보</t>
    </r>
  </si>
  <si>
    <r>
      <rPr>
        <sz val="9"/>
        <color theme="1"/>
        <rFont val="DejaVu Sans"/>
        <family val="2"/>
      </rPr>
      <t>산정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적용한다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</si>
  <si>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</si>
  <si>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⑥ 차량 대체가 이루어지는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취득세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인지세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번호판 발급비 등 차량 대체와 관련하여 발생하는</t>
    </r>
  </si>
  <si>
    <r>
      <rPr>
        <sz val="9"/>
        <color theme="1"/>
        <rFont val="DejaVu Sans"/>
        <family val="2"/>
      </rPr>
      <t>② 회사의 중대한 귀책사유로 인한 해지가 아닌 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고객은 제</t>
    </r>
    <r>
      <rPr>
        <sz val="9"/>
        <color theme="1"/>
        <rFont val="맑은 고딕"/>
        <family val="2"/>
        <charset val="129"/>
      </rPr>
      <t>9</t>
    </r>
    <r>
      <rPr>
        <sz val="9"/>
        <color theme="1"/>
        <rFont val="DejaVu Sans"/>
        <family val="2"/>
      </rPr>
      <t>조 및 계약에서 정한 위약금을</t>
    </r>
  </si>
  <si>
    <r>
      <rPr>
        <sz val="9"/>
        <color theme="1"/>
        <rFont val="DejaVu Sans"/>
        <family val="2"/>
      </rPr>
      <t>실비는 고객이 부담하며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변경 건별로 즉시 납부하여야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</si>
  <si>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회사에 지급하여야 한다</t>
    </r>
    <r>
      <rPr>
        <sz val="9"/>
        <color theme="1"/>
        <rFont val="맑은 고딕"/>
        <family val="2"/>
        <charset val="129"/>
      </rPr>
      <t xml:space="preserve">. </t>
    </r>
  </si>
  <si>
    <r>
      <rPr>
        <sz val="9"/>
        <color theme="1"/>
        <rFont val="DejaVu Sans"/>
        <family val="2"/>
      </rPr>
      <t>⑦ 고객은 회사에 할부금 납부 방법을 제공하며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회사는 할부금을 청구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수납한다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</si>
  <si>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③ 고객은 계약 해지 예정일까지 회사가 지정하는 장소에 이륜차를 반환하여야 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이와 관련하여</t>
    </r>
  </si>
  <si>
    <r>
      <rPr>
        <sz val="9"/>
        <color theme="1"/>
        <rFont val="DejaVu Sans"/>
        <family val="2"/>
      </rPr>
      <t>다만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채권양수인의 요청이 있는 경우 채권양수인이 청구</t>
    </r>
    <r>
      <rPr>
        <sz val="9"/>
        <color theme="1"/>
        <rFont val="맑은 고딕"/>
        <family val="2"/>
        <charset val="129"/>
      </rPr>
      <t>·</t>
    </r>
    <r>
      <rPr>
        <sz val="9"/>
        <color theme="1"/>
        <rFont val="DejaVu Sans"/>
        <family val="2"/>
      </rPr>
      <t>수납할 수 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</si>
  <si>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발생하는 비용은 고객의 부담으로 한다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</si>
  <si>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④ 최종 계약해지일은 이륜차가 회사에 반환된 날을 기준으로 하며</t>
    </r>
    <r>
      <rPr>
        <sz val="9"/>
        <color theme="1"/>
        <rFont val="맑은 고딕"/>
        <family val="2"/>
        <charset val="129"/>
      </rPr>
      <t xml:space="preserve">,  </t>
    </r>
    <r>
      <rPr>
        <sz val="9"/>
        <color theme="1"/>
        <rFont val="DejaVu Sans"/>
        <family val="2"/>
      </rPr>
      <t>고객은 회사의 이륜차 평가 및</t>
    </r>
  </si>
  <si>
    <r>
      <rPr>
        <sz val="9"/>
        <color theme="1"/>
        <rFont val="DejaVu Sans"/>
        <family val="2"/>
      </rPr>
      <t>정산 절차에 성실히 협조하여야 한다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</si>
  <si>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17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계약의 해지 사유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</si>
  <si>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고객은 다음 각 호의 행위를 하여서는 아니되며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이를 위반한 경우 회사는 고객에 대한 사전 통지나</t>
    </r>
  </si>
  <si>
    <r>
      <rPr>
        <sz val="9"/>
        <color theme="1"/>
        <rFont val="맑은 고딕"/>
        <family val="2"/>
        <charset val="129"/>
      </rPr>
      <t>[</t>
    </r>
    <r>
      <rPr>
        <sz val="9"/>
        <color theme="1"/>
        <rFont val="DejaVu Sans"/>
        <family val="2"/>
      </rPr>
      <t>첨부</t>
    </r>
    <r>
      <rPr>
        <sz val="9"/>
        <color theme="1"/>
        <rFont val="맑은 고딕"/>
        <family val="2"/>
        <charset val="129"/>
      </rPr>
      <t xml:space="preserve">_1] </t>
    </r>
    <r>
      <rPr>
        <sz val="9"/>
        <color theme="1"/>
        <rFont val="DejaVu Sans"/>
        <family val="2"/>
      </rPr>
      <t>차량 평가 및 감가기준</t>
    </r>
  </si>
  <si>
    <r>
      <rPr>
        <sz val="9"/>
        <color theme="1"/>
        <rFont val="DejaVu Sans"/>
        <family val="2"/>
      </rPr>
      <t>최고 없이 고객은 기한이익을 상실하고 회사는 유보된 소유권에 근거하여 차량의 인도를 청구한다</t>
    </r>
    <r>
      <rPr>
        <sz val="9"/>
        <color theme="1"/>
        <rFont val="맑은 고딕"/>
        <family val="3"/>
        <charset val="129"/>
      </rPr>
      <t>.</t>
    </r>
  </si>
  <si>
    <t>평가 항목</t>
  </si>
  <si>
    <t xml:space="preserve">① 이륜차의 무단 양도 또는 무단 전대 행위 </t>
  </si>
  <si>
    <t>커버류 교체 또는 수리 필요</t>
  </si>
  <si>
    <r>
      <rPr>
        <sz val="9"/>
        <color theme="1"/>
        <rFont val="DejaVu Sans"/>
        <family val="2"/>
      </rPr>
      <t>② 이륜차를 법령에 위반하여 사용하게 하거나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보험에서 인정하는 사용자 이외의 자에게 사용하도록</t>
    </r>
  </si>
  <si>
    <t>차대 교체 또는 수리 필요</t>
  </si>
  <si>
    <t>하는 행위</t>
  </si>
  <si>
    <t>도장 및 판금상태</t>
  </si>
  <si>
    <t>③ 정해진 입금일에 할부금을 납부하지 않고 보증금 이상의 할부금을 연체한 경우</t>
  </si>
  <si>
    <r>
      <rPr>
        <sz val="9"/>
        <color theme="1"/>
        <rFont val="DejaVu Sans"/>
        <family val="2"/>
      </rPr>
      <t>④ 회사가 통지한 수리비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 xml:space="preserve">과태료 등 금액을 정당한 사유 없이 </t>
    </r>
    <r>
      <rPr>
        <sz val="9"/>
        <color theme="1"/>
        <rFont val="맑은 고딕"/>
        <family val="3"/>
        <charset val="129"/>
      </rPr>
      <t>5</t>
    </r>
    <r>
      <rPr>
        <sz val="9"/>
        <color theme="1"/>
        <rFont val="DejaVu Sans"/>
        <family val="2"/>
      </rPr>
      <t>일 이내에 납부하지 않는 경우</t>
    </r>
  </si>
  <si>
    <r>
      <rPr>
        <sz val="9"/>
        <color theme="1"/>
        <rFont val="맑은 고딕"/>
        <family val="2"/>
        <charset val="129"/>
      </rPr>
      <t>[</t>
    </r>
    <r>
      <rPr>
        <sz val="9"/>
        <color theme="1"/>
        <rFont val="DejaVu Sans"/>
        <family val="2"/>
      </rPr>
      <t>첨부</t>
    </r>
    <r>
      <rPr>
        <sz val="9"/>
        <color theme="1"/>
        <rFont val="맑은 고딕"/>
        <family val="2"/>
        <charset val="129"/>
      </rPr>
      <t xml:space="preserve">_2] </t>
    </r>
    <r>
      <rPr>
        <sz val="9"/>
        <color theme="1"/>
        <rFont val="DejaVu Sans"/>
        <family val="2"/>
      </rPr>
      <t>자동계좌이체 약관</t>
    </r>
  </si>
  <si>
    <r>
      <rPr>
        <sz val="9"/>
        <color theme="1"/>
        <rFont val="DejaVu Sans"/>
        <family val="2"/>
      </rPr>
      <t>⑤ 무면허운전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음주운전 등 사용자의 귀책사유로 인하여 회사에 배상금이 청구된 사실을</t>
    </r>
  </si>
  <si>
    <r>
      <rPr>
        <sz val="9"/>
        <color theme="1"/>
        <rFont val="DejaVu Sans"/>
        <family val="2"/>
      </rPr>
      <t>① 신청인 및 예금주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이하⌜고객⌟이라 합니다</t>
    </r>
    <r>
      <rPr>
        <sz val="9"/>
        <color theme="1"/>
        <rFont val="맑은 고딕"/>
        <family val="2"/>
        <charset val="129"/>
      </rPr>
      <t>.)</t>
    </r>
    <r>
      <rPr>
        <sz val="9"/>
        <color theme="1"/>
        <rFont val="DejaVu Sans"/>
        <family val="2"/>
      </rPr>
      <t>는 약정된 납부일을 기준으로 포어스바이크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주</t>
    </r>
    <r>
      <rPr>
        <sz val="9"/>
        <color theme="1"/>
        <rFont val="맑은 고딕"/>
        <family val="2"/>
        <charset val="129"/>
      </rPr>
      <t>)(</t>
    </r>
    <r>
      <rPr>
        <sz val="9"/>
        <color theme="1"/>
        <rFont val="DejaVu Sans"/>
        <family val="2"/>
      </rPr>
      <t>이하⌜회</t>
    </r>
  </si>
  <si>
    <r>
      <rPr>
        <sz val="9"/>
        <color theme="1"/>
        <rFont val="DejaVu Sans"/>
        <family val="2"/>
      </rPr>
      <t>통보받은 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 xml:space="preserve">특별한 사유 없이 </t>
    </r>
    <r>
      <rPr>
        <sz val="9"/>
        <color theme="1"/>
        <rFont val="맑은 고딕"/>
        <family val="3"/>
        <charset val="129"/>
      </rPr>
      <t>3</t>
    </r>
    <r>
      <rPr>
        <sz val="9"/>
        <color theme="1"/>
        <rFont val="DejaVu Sans"/>
        <family val="2"/>
      </rPr>
      <t xml:space="preserve">일 이내에 배상금을 납부하지 않는 경우 </t>
    </r>
  </si>
  <si>
    <r>
      <rPr>
        <sz val="9"/>
        <color theme="1"/>
        <rFont val="DejaVu Sans"/>
        <family val="2"/>
      </rPr>
      <t>사⌟라 합니다</t>
    </r>
    <r>
      <rPr>
        <sz val="9"/>
        <color theme="1"/>
        <rFont val="맑은 고딕"/>
        <family val="2"/>
        <charset val="129"/>
      </rPr>
      <t>.)</t>
    </r>
    <r>
      <rPr>
        <sz val="9"/>
        <color theme="1"/>
        <rFont val="DejaVu Sans"/>
        <family val="2"/>
      </rPr>
      <t xml:space="preserve">이 지정하는 계좌이체일 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휴일인 경우 익영업일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에 회사가 청구하는 금액을 자동이체</t>
    </r>
  </si>
  <si>
    <r>
      <rPr>
        <sz val="9"/>
        <color theme="1"/>
        <rFont val="DejaVu Sans"/>
        <family val="2"/>
      </rPr>
      <t>⑥ 이륜차를 제</t>
    </r>
    <r>
      <rPr>
        <sz val="9"/>
        <color theme="1"/>
        <rFont val="맑은 고딕"/>
        <family val="3"/>
        <charset val="129"/>
      </rPr>
      <t>3</t>
    </r>
    <r>
      <rPr>
        <sz val="9"/>
        <color theme="1"/>
        <rFont val="DejaVu Sans"/>
        <family val="2"/>
      </rPr>
      <t xml:space="preserve">자에게 담보 목적으로 제공하는 등 회사의 소유권 및 재산권을 침해할 수 있는 행위  </t>
    </r>
  </si>
  <si>
    <r>
      <rPr>
        <sz val="9"/>
        <color theme="1"/>
        <rFont val="DejaVu Sans"/>
        <family val="2"/>
      </rPr>
      <t>계좌로 신청한 은행 및 잔액보유 금융기관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이하⌜금융기관⌟이라 합니다</t>
    </r>
    <r>
      <rPr>
        <sz val="9"/>
        <color theme="1"/>
        <rFont val="맑은 고딕"/>
        <family val="2"/>
        <charset val="129"/>
      </rPr>
      <t>.)</t>
    </r>
    <r>
      <rPr>
        <sz val="9"/>
        <color theme="1"/>
        <rFont val="DejaVu Sans"/>
        <family val="2"/>
      </rPr>
      <t>계좌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이하⌜지정계좌⌟라 합</t>
    </r>
  </si>
  <si>
    <r>
      <rPr>
        <sz val="9"/>
        <color theme="1"/>
        <rFont val="DejaVu Sans"/>
        <family val="2"/>
      </rPr>
      <t>⑦ 이륜차의 규격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성능 등을 불법적으로 무단 변경하거나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무단 해체하거나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부착된 표지를 임의로</t>
    </r>
  </si>
  <si>
    <r>
      <rPr>
        <sz val="9"/>
        <color theme="1"/>
        <rFont val="DejaVu Sans"/>
        <family val="2"/>
      </rPr>
      <t>니다</t>
    </r>
    <r>
      <rPr>
        <sz val="9"/>
        <color theme="1"/>
        <rFont val="맑은 고딕"/>
        <family val="2"/>
        <charset val="129"/>
      </rPr>
      <t>.)</t>
    </r>
    <r>
      <rPr>
        <sz val="9"/>
        <color theme="1"/>
        <rFont val="DejaVu Sans"/>
        <family val="2"/>
      </rPr>
      <t>에서 출금하여 납부할 것을 확인합니다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</si>
  <si>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제거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훼손하거나 그 위치를 변경하는 행위</t>
    </r>
  </si>
  <si>
    <t>② 자동납부를 위하여 지정계좌의 예금을 출금하는 경우에는 예금약관이나 계약서의 규정에도 예</t>
  </si>
  <si>
    <r>
      <rPr>
        <sz val="9"/>
        <color theme="1"/>
        <rFont val="DejaVu Sans"/>
        <family val="2"/>
      </rPr>
      <t>⑧ 이륜차에 부착된 위치정보 수집 장치를 훼손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은닉하는 등 본래의 효용을 해하는 행위</t>
    </r>
  </si>
  <si>
    <r>
      <rPr>
        <sz val="9"/>
        <color theme="1"/>
        <rFont val="DejaVu Sans"/>
        <family val="2"/>
      </rPr>
      <t>금청구서나 수표 없이 자동계좌이체 처리절차에 의하여 출금처리 되며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 xml:space="preserve">금융기관의 출금 마감 시간 </t>
    </r>
  </si>
  <si>
    <r>
      <rPr>
        <sz val="9"/>
        <color theme="1"/>
        <rFont val="DejaVu Sans"/>
        <family val="2"/>
      </rPr>
      <t>내에 입금된 금액에 한하여 출금처리 됩니다</t>
    </r>
    <r>
      <rPr>
        <sz val="9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</si>
  <si>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18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해지위약금 등의 부과방법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</si>
  <si>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③ 지정계좌의 예금잔액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자동대출 약관이 있는 경우 대출한도 포함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이 이체일 현재 회사의 청구금</t>
    </r>
  </si>
  <si>
    <r>
      <rPr>
        <sz val="9"/>
        <color theme="1"/>
        <rFont val="DejaVu Sans"/>
        <family val="2"/>
      </rPr>
      <t>제</t>
    </r>
    <r>
      <rPr>
        <sz val="9"/>
        <color theme="1"/>
        <rFont val="맑은 고딕"/>
        <family val="3"/>
        <charset val="129"/>
      </rPr>
      <t>16</t>
    </r>
    <r>
      <rPr>
        <sz val="9"/>
        <color theme="1"/>
        <rFont val="DejaVu Sans"/>
        <family val="2"/>
      </rPr>
      <t>조 및 제</t>
    </r>
    <r>
      <rPr>
        <sz val="9"/>
        <color theme="1"/>
        <rFont val="맑은 고딕"/>
        <family val="3"/>
        <charset val="129"/>
      </rPr>
      <t>17</t>
    </r>
    <r>
      <rPr>
        <sz val="9"/>
        <color theme="1"/>
        <rFont val="DejaVu Sans"/>
        <family val="2"/>
      </rPr>
      <t>조에 따라 본 계약이 해지되는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위약금 및 수리비 등은 다음 각 호의 방법에 따라</t>
    </r>
  </si>
  <si>
    <r>
      <rPr>
        <sz val="9"/>
        <color theme="1"/>
        <rFont val="DejaVu Sans"/>
        <family val="2"/>
      </rPr>
      <t>액보다 부족하거나 예금의 지급제한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 xml:space="preserve">약정대출의 연체 등으로 대체 납부가 불가능한 경우의 손해에 </t>
    </r>
  </si>
  <si>
    <r>
      <rPr>
        <sz val="9"/>
        <color theme="1"/>
        <rFont val="DejaVu Sans"/>
        <family val="2"/>
      </rPr>
      <t>부과된다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</si>
  <si>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관해서는 고객의 책임으로 합니다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</si>
  <si>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① 고객은 아래의 산식에 따라 계산된 위약금을 계약 해지일까지 회사에 지급하여야 한다</t>
    </r>
    <r>
      <rPr>
        <sz val="9"/>
        <color theme="1"/>
        <rFont val="맑은 고딕"/>
        <family val="3"/>
        <charset val="129"/>
      </rPr>
      <t>.</t>
    </r>
  </si>
  <si>
    <t>④ 이체일에 동일한 수종의 자동계좌이체 청구가 있는 경우의 출금 우선 순위는 금융기관이 이미</t>
  </si>
  <si>
    <r>
      <rPr>
        <sz val="9"/>
        <color theme="1"/>
        <rFont val="맑은 고딕"/>
        <family val="3"/>
        <charset val="129"/>
      </rPr>
      <t xml:space="preserve">[ </t>
    </r>
    <r>
      <rPr>
        <sz val="9"/>
        <color theme="1"/>
        <rFont val="DejaVu Sans"/>
        <family val="2"/>
      </rPr>
      <t xml:space="preserve">위약금 </t>
    </r>
    <r>
      <rPr>
        <sz val="9"/>
        <color theme="1"/>
        <rFont val="맑은 고딕"/>
        <family val="3"/>
        <charset val="129"/>
      </rPr>
      <t xml:space="preserve">= </t>
    </r>
    <r>
      <rPr>
        <sz val="9"/>
        <color theme="1"/>
        <rFont val="DejaVu Sans"/>
        <family val="2"/>
      </rPr>
      <t xml:space="preserve">보증금 </t>
    </r>
    <r>
      <rPr>
        <sz val="9"/>
        <color theme="1"/>
        <rFont val="맑은 고딕"/>
        <family val="3"/>
        <charset val="129"/>
      </rPr>
      <t>+ (</t>
    </r>
    <r>
      <rPr>
        <sz val="9"/>
        <color theme="1"/>
        <rFont val="DejaVu Sans"/>
        <family val="2"/>
      </rPr>
      <t xml:space="preserve">잔여기간에 대한 총 할부금 </t>
    </r>
    <r>
      <rPr>
        <sz val="9"/>
        <color theme="1"/>
        <rFont val="맑은 고딕"/>
        <family val="3"/>
        <charset val="129"/>
      </rPr>
      <t xml:space="preserve">× 20%) ] </t>
    </r>
  </si>
  <si>
    <r>
      <rPr>
        <sz val="9"/>
        <color theme="1"/>
        <rFont val="DejaVu Sans"/>
        <family val="2"/>
      </rPr>
      <t>약관에 따라 고객과 약정한 바에 따르기로 합니다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</si>
  <si>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② 선납한 보증금은 어떠한 경우에도 반환되지 않는다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</si>
  <si>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DejaVu Sans"/>
        <family val="2"/>
      </rPr>
      <t>⑤ 자동이체 일자는 회사의 사정에 따라 변경될 수 있으나 이런 경우 사전에 고객에게 통지하며</t>
    </r>
    <r>
      <rPr>
        <sz val="9"/>
        <color theme="1"/>
        <rFont val="맑은 고딕"/>
        <family val="2"/>
        <charset val="129"/>
      </rPr>
      <t xml:space="preserve">, </t>
    </r>
  </si>
  <si>
    <r>
      <rPr>
        <sz val="9"/>
        <color theme="1"/>
        <rFont val="DejaVu Sans"/>
        <family val="2"/>
      </rPr>
      <t>③ 반환된 이륜차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부착물 및 키 관련 부속품 일체에 파손이 있는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고객은 원상복구에 필요한</t>
    </r>
  </si>
  <si>
    <r>
      <rPr>
        <sz val="9"/>
        <color theme="1"/>
        <rFont val="DejaVu Sans"/>
        <family val="2"/>
      </rPr>
      <t>자동이체일 변경으로 인해 고객이 불리하지 않도록 하겠습니다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</si>
  <si>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 xml:space="preserve">수리비를 회사가 청구한 날로부터 </t>
    </r>
    <r>
      <rPr>
        <sz val="9"/>
        <color theme="1"/>
        <rFont val="맑은 고딕"/>
        <family val="3"/>
        <charset val="129"/>
      </rPr>
      <t>5</t>
    </r>
    <r>
      <rPr>
        <sz val="9"/>
        <color theme="1"/>
        <rFont val="DejaVu Sans"/>
        <family val="2"/>
      </rPr>
      <t>일 이내에 지급하여야 한다</t>
    </r>
    <r>
      <rPr>
        <sz val="9"/>
        <color theme="1"/>
        <rFont val="맑은 고딕"/>
        <family val="3"/>
        <charset val="129"/>
      </rPr>
      <t>.</t>
    </r>
  </si>
  <si>
    <t>➅ 납부자의 사정으로 예금계좌를 변경하거나 자동납부신청을 해지하고자 하는 경우에는 금융기관</t>
  </si>
  <si>
    <r>
      <rPr>
        <sz val="9"/>
        <color theme="1"/>
        <rFont val="DejaVu Sans"/>
        <family val="2"/>
      </rPr>
      <t>소정의 양식에 의한 자동납부</t>
    </r>
    <r>
      <rPr>
        <sz val="9"/>
        <color theme="1"/>
        <rFont val="맑은 고딕"/>
        <family val="2"/>
        <charset val="129"/>
      </rPr>
      <t>(</t>
    </r>
    <r>
      <rPr>
        <sz val="9"/>
        <color theme="1"/>
        <rFont val="DejaVu Sans"/>
        <family val="2"/>
      </rPr>
      <t>해지</t>
    </r>
    <r>
      <rPr>
        <sz val="9"/>
        <color theme="1"/>
        <rFont val="맑은 고딕"/>
        <family val="2"/>
        <charset val="129"/>
      </rPr>
      <t>)</t>
    </r>
    <r>
      <rPr>
        <sz val="9"/>
        <color theme="1"/>
        <rFont val="DejaVu Sans"/>
        <family val="2"/>
      </rPr>
      <t>신청서와 통장사본을 제출할 것이며 이의 불이행으로 발생하는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</si>
  <si>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19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이륜차의 반환 및 회수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</si>
  <si>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손해는 고객의 책임으로 합니다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</si>
  <si>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① 제</t>
    </r>
    <r>
      <rPr>
        <sz val="9"/>
        <color theme="1"/>
        <rFont val="맑은 고딕"/>
        <family val="3"/>
        <charset val="129"/>
      </rPr>
      <t>16</t>
    </r>
    <r>
      <rPr>
        <sz val="9"/>
        <color theme="1"/>
        <rFont val="DejaVu Sans"/>
        <family val="2"/>
      </rPr>
      <t>조 및 제</t>
    </r>
    <r>
      <rPr>
        <sz val="9"/>
        <color theme="1"/>
        <rFont val="맑은 고딕"/>
        <family val="3"/>
        <charset val="129"/>
      </rPr>
      <t>17</t>
    </r>
    <r>
      <rPr>
        <sz val="9"/>
        <color theme="1"/>
        <rFont val="DejaVu Sans"/>
        <family val="2"/>
      </rPr>
      <t>조에 따라 본 계약이 해지되는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 xml:space="preserve">고객은 즉시 회사가 지정하는 장소로 이륜차를 </t>
    </r>
  </si>
  <si>
    <t xml:space="preserve">➆ 자동납부 신청에 의한 지정계좌에서의 출금은 회사의 청구대로 출금하되 청구금액에 이의가 있을 </t>
  </si>
  <si>
    <r>
      <rPr>
        <sz val="9"/>
        <color theme="1"/>
        <rFont val="DejaVu Sans"/>
        <family val="2"/>
      </rPr>
      <t>반환하여야 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</si>
  <si>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때에는 고객과 회사가 협의하여 조정하기로 합니다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</si>
  <si>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② 고객이 이륜차의 반환을 지연하거나 거부하는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회사는 이륜차를 임의로 회수할 수 있으며</t>
    </r>
    <r>
      <rPr>
        <sz val="9"/>
        <color theme="1"/>
        <rFont val="맑은 고딕"/>
        <family val="3"/>
        <charset val="129"/>
      </rPr>
      <t xml:space="preserve">, </t>
    </r>
  </si>
  <si>
    <r>
      <rPr>
        <sz val="9"/>
        <color theme="1"/>
        <rFont val="DejaVu Sans"/>
        <family val="2"/>
      </rPr>
      <t>➇ 이 약관에서 정하지 아니한 사항은 금융기관의 자동이체납부약관에서 정하는 바에 따릅니다</t>
    </r>
    <r>
      <rPr>
        <sz val="9"/>
        <color theme="1"/>
        <rFont val="맑은 고딕"/>
        <family val="2"/>
        <charset val="129"/>
      </rPr>
      <t>.</t>
    </r>
  </si>
  <si>
    <r>
      <rPr>
        <sz val="9"/>
        <color theme="1"/>
        <rFont val="DejaVu Sans"/>
        <family val="2"/>
      </rPr>
      <t>고객은 이에 대하여 민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형사상 어떠한 이의도 제기할 수 없다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</si>
  <si>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DejaVu Sans"/>
        <family val="2"/>
      </rPr>
      <t>③ 제</t>
    </r>
    <r>
      <rPr>
        <sz val="9"/>
        <color theme="1"/>
        <rFont val="맑은 고딕"/>
        <family val="3"/>
        <charset val="129"/>
      </rPr>
      <t>2</t>
    </r>
    <r>
      <rPr>
        <sz val="9"/>
        <color theme="1"/>
        <rFont val="DejaVu Sans"/>
        <family val="2"/>
      </rPr>
      <t>항의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고객은 이륜차 회수에 소요된 일체의 비용을 부담하여야 한다</t>
    </r>
    <r>
      <rPr>
        <sz val="9"/>
        <color theme="1"/>
        <rFont val="맑은 고딕"/>
        <family val="3"/>
        <charset val="129"/>
      </rPr>
      <t>.</t>
    </r>
  </si>
  <si>
    <t>④ 고객은 계약 해지일로부터 이륜차가 최종 반환되는 날까지의 기간 동안 손해배상금을 회사에</t>
  </si>
  <si>
    <r>
      <rPr>
        <sz val="9"/>
        <color theme="1"/>
        <rFont val="DejaVu Sans"/>
        <family val="2"/>
      </rPr>
      <t>지급하여야 한다</t>
    </r>
    <r>
      <rPr>
        <sz val="9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</si>
  <si>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20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계약만료 후 처리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</si>
  <si>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① 고객은 계약만료일 이후 이륜차를 운행하여서는 아니되며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계약만료 후 임의 운행으로 발생하는</t>
    </r>
  </si>
  <si>
    <r>
      <rPr>
        <sz val="9"/>
        <color theme="1"/>
        <rFont val="DejaVu Sans"/>
        <family val="2"/>
      </rPr>
      <t>사고에 대하여 회사는 민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형사상 책임을 지지 않는다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</si>
  <si>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② 인수형 계약의 경우 고객은 다음 각 호 중 하나의 방식을 선택하여 이행하여야 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고객이 등기</t>
    </r>
  </si>
  <si>
    <r>
      <rPr>
        <sz val="9"/>
        <color theme="1"/>
        <rFont val="DejaVu Sans"/>
        <family val="2"/>
      </rPr>
      <t>번호 등을 회사에 고지한 날부터 제</t>
    </r>
    <r>
      <rPr>
        <sz val="9"/>
        <color theme="1"/>
        <rFont val="맑은 고딕"/>
        <family val="3"/>
        <charset val="129"/>
      </rPr>
      <t>9</t>
    </r>
    <r>
      <rPr>
        <sz val="9"/>
        <color theme="1"/>
        <rFont val="DejaVu Sans"/>
        <family val="2"/>
      </rPr>
      <t>조에 따른 계약만료 후 지체에 대한 손해배상 의무가 종료된다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</si>
  <si>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맑은 고딕"/>
        <family val="3"/>
        <charset val="129"/>
      </rPr>
      <t xml:space="preserve"> 1. </t>
    </r>
    <r>
      <rPr>
        <sz val="9"/>
        <color theme="1"/>
        <rFont val="DejaVu Sans"/>
        <family val="2"/>
      </rPr>
      <t>고객 명의로 이전하는 경우</t>
    </r>
    <r>
      <rPr>
        <sz val="9"/>
        <color theme="1"/>
        <rFont val="맑은 고딕"/>
        <family val="3"/>
        <charset val="129"/>
      </rPr>
      <t xml:space="preserve">: </t>
    </r>
    <r>
      <rPr>
        <sz val="9"/>
        <color theme="1"/>
        <rFont val="DejaVu Sans"/>
        <family val="2"/>
      </rPr>
      <t>고객 명의 보험가입증명서와 신분증을 회사에 제출한다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</si>
  <si>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맑은 고딕"/>
        <family val="3"/>
        <charset val="129"/>
      </rPr>
      <t xml:space="preserve"> 2. </t>
    </r>
    <r>
      <rPr>
        <sz val="9"/>
        <color theme="1"/>
        <rFont val="DejaVu Sans"/>
        <family val="2"/>
      </rPr>
      <t>사용폐지하는 경우</t>
    </r>
    <r>
      <rPr>
        <sz val="9"/>
        <color theme="1"/>
        <rFont val="맑은 고딕"/>
        <family val="3"/>
        <charset val="129"/>
      </rPr>
      <t xml:space="preserve">: </t>
    </r>
    <r>
      <rPr>
        <sz val="9"/>
        <color theme="1"/>
        <rFont val="DejaVu Sans"/>
        <family val="2"/>
      </rPr>
      <t>계약만료일 익일에 번호판을 등기우편으로 회사에 발송한다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</si>
  <si>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③ 인수형 계약에서 폐지 또는 명의이전과 관련하여 미납금이 있는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다음 각 호의 규정에 따른다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</si>
  <si>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맑은 고딕"/>
        <family val="3"/>
        <charset val="129"/>
      </rPr>
      <t xml:space="preserve"> 1. </t>
    </r>
    <r>
      <rPr>
        <sz val="9"/>
        <color theme="1"/>
        <rFont val="DejaVu Sans"/>
        <family val="2"/>
      </rPr>
      <t>명의이전 시 발생하는 취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등록세는 고객이 부담한다</t>
    </r>
    <r>
      <rPr>
        <sz val="9"/>
        <color theme="1"/>
        <rFont val="맑은 고딕"/>
        <family val="3"/>
        <charset val="129"/>
      </rPr>
      <t xml:space="preserve">. </t>
    </r>
    <r>
      <rPr>
        <sz val="9"/>
        <color theme="1"/>
        <rFont val="DejaVu Sans"/>
        <family val="2"/>
      </rPr>
      <t>단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취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등록세 신고는 회사가 대행하며</t>
    </r>
    <r>
      <rPr>
        <sz val="9"/>
        <color theme="1"/>
        <rFont val="맑은 고딕"/>
        <family val="3"/>
        <charset val="129"/>
      </rPr>
      <t>,</t>
    </r>
  </si>
  <si>
    <r>
      <rPr>
        <sz val="9"/>
        <color theme="1"/>
        <rFont val="DejaVu Sans"/>
        <family val="2"/>
      </rPr>
      <t xml:space="preserve"> 보증금에서 차감하거나 영수증을 발송하면 고객은 즉시 납부하여야 한다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</si>
  <si>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맑은 고딕"/>
        <family val="3"/>
        <charset val="129"/>
      </rPr>
      <t xml:space="preserve"> 2. </t>
    </r>
    <r>
      <rPr>
        <sz val="9"/>
        <color theme="1"/>
        <rFont val="DejaVu Sans"/>
        <family val="2"/>
      </rPr>
      <t>계약만료일까지 고객은 회사에 할부금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인수대금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과태료 등 모든 금액을 완납하여야 차량 인수가</t>
    </r>
  </si>
  <si>
    <r>
      <rPr>
        <sz val="9"/>
        <rFont val="DejaVu Sans"/>
        <family val="2"/>
      </rPr>
      <t xml:space="preserve"> 가능하다</t>
    </r>
    <r>
      <rPr>
        <sz val="9"/>
        <rFont val="맑은 고딕"/>
        <family val="3"/>
        <charset val="129"/>
      </rPr>
      <t>.</t>
    </r>
    <r>
      <rPr>
        <sz val="9"/>
        <rFont val="DejaVu Sans"/>
        <family val="2"/>
      </rPr>
      <t>단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>계약만료일</t>
    </r>
    <r>
      <rPr>
        <sz val="9"/>
        <rFont val="맑은 고딕"/>
        <family val="3"/>
        <charset val="129"/>
      </rPr>
      <t>(D)</t>
    </r>
    <r>
      <rPr>
        <sz val="9"/>
        <rFont val="DejaVu Sans"/>
        <family val="2"/>
      </rPr>
      <t xml:space="preserve">로부터 </t>
    </r>
    <r>
      <rPr>
        <sz val="9"/>
        <rFont val="맑은 고딕"/>
        <family val="3"/>
        <charset val="129"/>
      </rPr>
      <t>D+3</t>
    </r>
    <r>
      <rPr>
        <sz val="9"/>
        <rFont val="DejaVu Sans"/>
        <family val="2"/>
      </rPr>
      <t>일까지 미납이 있는 경우 차량 회수가 진행되며</t>
    </r>
    <r>
      <rPr>
        <sz val="9"/>
        <rFont val="맑은 고딕"/>
        <family val="3"/>
        <charset val="129"/>
      </rPr>
      <t>, D+15</t>
    </r>
    <r>
      <rPr>
        <sz val="9"/>
        <rFont val="DejaVu Sans"/>
        <family val="2"/>
      </rPr>
      <t>일까지</t>
    </r>
  </si>
  <si>
    <r>
      <rPr>
        <sz val="9"/>
        <color theme="1"/>
        <rFont val="DejaVu Sans"/>
        <family val="2"/>
      </rPr>
      <t>완납하지 않는 경우 고객은 기한의 이익을 상실하고 회사는 차량을 자체 처분할 수 있으며</t>
    </r>
    <r>
      <rPr>
        <sz val="9"/>
        <color theme="1"/>
        <rFont val="맑은 고딕"/>
        <family val="3"/>
        <charset val="129"/>
      </rPr>
      <t>,</t>
    </r>
  </si>
  <si>
    <r>
      <rPr>
        <sz val="9"/>
        <color theme="1"/>
        <rFont val="DejaVu Sans"/>
        <family val="2"/>
      </rPr>
      <t>처분대금은 미납금 상환에 우선 충당된다</t>
    </r>
    <r>
      <rPr>
        <sz val="9"/>
        <color theme="1"/>
        <rFont val="맑은 고딕"/>
        <family val="3"/>
        <charset val="129"/>
      </rPr>
      <t xml:space="preserve">.  </t>
    </r>
  </si>
  <si>
    <r>
      <rPr>
        <sz val="9"/>
        <color theme="1"/>
        <rFont val="DejaVu Sans"/>
        <family val="2"/>
      </rPr>
      <t>④ 반납형 계약의 경우 고객은 계약만료일 익일에 이륜차를 회사에 반환하여야 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</si>
  <si>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맑은 고딕"/>
        <family val="3"/>
        <charset val="129"/>
      </rPr>
      <t xml:space="preserve"> 1. </t>
    </r>
    <r>
      <rPr>
        <sz val="9"/>
        <color theme="1"/>
        <rFont val="DejaVu Sans"/>
        <family val="2"/>
      </rPr>
      <t>회사는 반환된 이륜차에 대한 수리견적을 작성하고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수리비를 보증금에서 차감한 후 남은 금액을</t>
    </r>
  </si>
  <si>
    <r>
      <rPr>
        <sz val="9"/>
        <color theme="1"/>
        <rFont val="DejaVu Sans"/>
        <family val="2"/>
      </rPr>
      <t>고객에게 지급한다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</si>
  <si>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맑은 고딕"/>
        <family val="3"/>
        <charset val="129"/>
      </rPr>
      <t xml:space="preserve"> 2. </t>
    </r>
    <r>
      <rPr>
        <sz val="9"/>
        <color theme="1"/>
        <rFont val="DejaVu Sans"/>
        <family val="2"/>
      </rPr>
      <t>수리비가 보증금을 초과하는 경우 고객은 그 차액을 납부하여야 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</si>
  <si>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⑤ 이륜차의 명의이전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폐지 또는 반납 절차는 계약만료일 익일에 완료되어야 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지체되는 경우</t>
    </r>
  </si>
  <si>
    <r>
      <rPr>
        <sz val="9"/>
        <color theme="1"/>
        <rFont val="DejaVu Sans"/>
        <family val="2"/>
      </rPr>
      <t>고객은 제</t>
    </r>
    <r>
      <rPr>
        <sz val="9"/>
        <color theme="1"/>
        <rFont val="맑은 고딕"/>
        <family val="3"/>
        <charset val="129"/>
      </rPr>
      <t>9</t>
    </r>
    <r>
      <rPr>
        <sz val="9"/>
        <color theme="1"/>
        <rFont val="DejaVu Sans"/>
        <family val="2"/>
      </rPr>
      <t>조</t>
    </r>
    <r>
      <rPr>
        <sz val="9"/>
        <color theme="1"/>
        <rFont val="맑은 고딕"/>
        <family val="3"/>
        <charset val="129"/>
      </rPr>
      <t>(</t>
    </r>
    <r>
      <rPr>
        <sz val="9"/>
        <color theme="1"/>
        <rFont val="DejaVu Sans"/>
        <family val="2"/>
      </rPr>
      <t>지연손해금 및 반환지연금</t>
    </r>
    <r>
      <rPr>
        <sz val="9"/>
        <color theme="1"/>
        <rFont val="맑은 고딕"/>
        <family val="3"/>
        <charset val="129"/>
      </rPr>
      <t>)</t>
    </r>
    <r>
      <rPr>
        <sz val="9"/>
        <color theme="1"/>
        <rFont val="DejaVu Sans"/>
        <family val="2"/>
      </rPr>
      <t>에 따라 계약만료일 익일부터 계산한 손해배상금 및</t>
    </r>
  </si>
  <si>
    <t>부당사용이익을 회사에 납부하여야 한다</t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</si>
  <si>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21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계약만료 전 할부금 완납 시 절차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</si>
  <si>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① 고객은 계약만료일까지 이륜차를 운행할 수 있다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</si>
  <si>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DejaVu Sans"/>
        <family val="2"/>
      </rPr>
      <t>② 계약 만료 전에 할부금을 모두 완납하여 계약이 종료되는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고객은 제</t>
    </r>
    <r>
      <rPr>
        <sz val="9"/>
        <color theme="1"/>
        <rFont val="맑은 고딕"/>
        <family val="3"/>
        <charset val="129"/>
      </rPr>
      <t>20</t>
    </r>
    <r>
      <rPr>
        <sz val="9"/>
        <color theme="1"/>
        <rFont val="DejaVu Sans"/>
        <family val="2"/>
      </rPr>
      <t>조에서 정한 계약 만료</t>
    </r>
  </si>
  <si>
    <r>
      <rPr>
        <sz val="9"/>
        <color theme="1"/>
        <rFont val="DejaVu Sans"/>
        <family val="2"/>
      </rPr>
      <t>후 절차를 진행하여야 한다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</si>
  <si>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DejaVu Sans"/>
        <family val="2"/>
      </rPr>
      <t>③ 고객의 요청에 따라 계약만료일보다 일찍 명의이전 또는 사용폐지를 진행하는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고객은 회사에</t>
    </r>
  </si>
  <si>
    <r>
      <rPr>
        <sz val="9"/>
        <color theme="1"/>
        <rFont val="DejaVu Sans"/>
        <family val="2"/>
      </rPr>
      <t>이외에 보험환급금 등 추가 환급을 청구할 수 없다</t>
    </r>
    <r>
      <rPr>
        <sz val="9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</si>
  <si>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22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변제충당순서</t>
    </r>
    <r>
      <rPr>
        <b/>
        <sz val="11"/>
        <color theme="1"/>
        <rFont val="맑은 고딕"/>
        <family val="3"/>
        <charset val="129"/>
      </rPr>
      <t>)</t>
    </r>
  </si>
  <si>
    <t>① 고객이 납입한 금액이 납입일 현재 채무 전액을 충당하기에 부족한 경우 회사는 고객이 납입한</t>
  </si>
  <si>
    <r>
      <rPr>
        <sz val="9"/>
        <color theme="1"/>
        <rFont val="DejaVu Sans"/>
        <family val="2"/>
      </rPr>
      <t>금액을 납기일 기준으로 먼저 도래한 채무액부터 우선 충당한다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</si>
  <si>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 xml:space="preserve">② 위 </t>
    </r>
    <r>
      <rPr>
        <sz val="9"/>
        <color theme="1"/>
        <rFont val="맑은 고딕"/>
        <family val="3"/>
        <charset val="129"/>
      </rPr>
      <t>1</t>
    </r>
    <r>
      <rPr>
        <sz val="9"/>
        <color theme="1"/>
        <rFont val="DejaVu Sans"/>
        <family val="2"/>
      </rPr>
      <t>항에도 불구하고 연체이자가 있는 경우 연체이자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지연손해금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위약금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원금의 순으로 충당한다</t>
    </r>
  </si>
  <si>
    <r>
      <rPr>
        <sz val="11"/>
        <color theme="1"/>
        <rFont val="DejaVu Sans"/>
        <family val="2"/>
      </rPr>
      <t>③ 각 계약자</t>
    </r>
    <r>
      <rPr>
        <sz val="11"/>
        <color theme="1"/>
        <rFont val="맑은 고딕"/>
        <family val="2"/>
        <charset val="129"/>
      </rPr>
      <t>(</t>
    </r>
    <r>
      <rPr>
        <sz val="11"/>
        <color theme="1"/>
        <rFont val="DejaVu Sans"/>
        <family val="2"/>
      </rPr>
      <t>라이더</t>
    </r>
    <r>
      <rPr>
        <sz val="11"/>
        <color theme="1"/>
        <rFont val="맑은 고딕"/>
        <family val="2"/>
        <charset val="129"/>
      </rPr>
      <t>)</t>
    </r>
    <r>
      <rPr>
        <sz val="11"/>
        <color theme="1"/>
        <rFont val="DejaVu Sans"/>
        <family val="2"/>
      </rPr>
      <t>별 납부금은 해당 계약자 본인 명의 계좌로부터 입금된 금원에 한하여 충당되며</t>
    </r>
    <r>
      <rPr>
        <sz val="11"/>
        <color theme="1"/>
        <rFont val="맑은 고딕"/>
        <family val="2"/>
        <charset val="129"/>
      </rPr>
      <t xml:space="preserve">, </t>
    </r>
    <r>
      <rPr>
        <sz val="11"/>
        <color theme="1"/>
        <rFont val="DejaVu Sans"/>
        <family val="2"/>
      </rPr>
      <t>타 계약자</t>
    </r>
    <r>
      <rPr>
        <sz val="11"/>
        <color theme="1"/>
        <rFont val="맑은 고딕"/>
        <family val="2"/>
        <charset val="129"/>
      </rPr>
      <t>(</t>
    </r>
    <r>
      <rPr>
        <sz val="11"/>
        <color theme="1"/>
        <rFont val="DejaVu Sans"/>
        <family val="2"/>
      </rPr>
      <t>라이더</t>
    </r>
    <r>
      <rPr>
        <sz val="11"/>
        <color theme="1"/>
        <rFont val="맑은 고딕"/>
        <family val="2"/>
        <charset val="129"/>
      </rPr>
      <t>)</t>
    </r>
    <r>
      <rPr>
        <sz val="11"/>
        <color theme="1"/>
        <rFont val="DejaVu Sans"/>
        <family val="2"/>
      </rPr>
      <t>의 입금은 타인의 채무에 충당되지 아니한다</t>
    </r>
    <r>
      <rPr>
        <sz val="11"/>
        <color theme="1"/>
        <rFont val="맑은 고딕"/>
        <family val="2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</si>
  <si>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23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세금계산서 발급</t>
    </r>
    <r>
      <rPr>
        <b/>
        <sz val="11"/>
        <color theme="1"/>
        <rFont val="맑은 고딕"/>
        <family val="3"/>
        <charset val="129"/>
      </rPr>
      <t>)</t>
    </r>
  </si>
  <si>
    <r>
      <rPr>
        <b/>
        <sz val="9"/>
        <color rgb="FFFF0000"/>
        <rFont val="DejaVu Sans"/>
        <family val="2"/>
      </rPr>
      <t>① 세금계산서</t>
    </r>
    <r>
      <rPr>
        <b/>
        <sz val="9"/>
        <color rgb="FFFF0000"/>
        <rFont val="맑은 고딕"/>
        <family val="3"/>
        <charset val="129"/>
      </rPr>
      <t>(</t>
    </r>
    <r>
      <rPr>
        <b/>
        <sz val="9"/>
        <color rgb="FFFF0000"/>
        <rFont val="DejaVu Sans"/>
        <family val="2"/>
      </rPr>
      <t>또는 현금영수증</t>
    </r>
    <r>
      <rPr>
        <b/>
        <sz val="9"/>
        <color rgb="FFFF0000"/>
        <rFont val="맑은 고딕"/>
        <family val="3"/>
        <charset val="129"/>
      </rPr>
      <t>)</t>
    </r>
    <r>
      <rPr>
        <b/>
        <sz val="9"/>
        <color rgb="FFFF0000"/>
        <rFont val="DejaVu Sans"/>
        <family val="2"/>
      </rPr>
      <t>는 회사 명의로 발행하며</t>
    </r>
    <r>
      <rPr>
        <b/>
        <sz val="9"/>
        <color rgb="FFFF0000"/>
        <rFont val="맑은 고딕"/>
        <family val="3"/>
        <charset val="129"/>
      </rPr>
      <t xml:space="preserve">, </t>
    </r>
    <r>
      <rPr>
        <b/>
        <sz val="9"/>
        <color rgb="FFFF0000"/>
        <rFont val="DejaVu Sans"/>
        <family val="2"/>
      </rPr>
      <t>본 계약서에 기재된 연대보증인</t>
    </r>
  </si>
  <si>
    <r>
      <rPr>
        <sz val="9"/>
        <color theme="1"/>
        <rFont val="맑은 고딕"/>
        <family val="3"/>
        <charset val="129"/>
      </rPr>
      <t>(</t>
    </r>
    <r>
      <rPr>
        <sz val="9"/>
        <color theme="1"/>
        <rFont val="DejaVu Sans"/>
        <family val="2"/>
      </rPr>
      <t>사업장</t>
    </r>
    <r>
      <rPr>
        <sz val="9"/>
        <color theme="1"/>
        <rFont val="맑은 고딕"/>
        <family val="3"/>
        <charset val="129"/>
      </rPr>
      <t>)</t>
    </r>
    <r>
      <rPr>
        <sz val="9"/>
        <color theme="1"/>
        <rFont val="DejaVu Sans"/>
        <family val="2"/>
      </rPr>
      <t>의 사업자등록번호를 기준으로 발급한다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</si>
  <si>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② 차량 이관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사업자 변경 등으로 계산서 발행 대상이 변경되는 경우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 xml:space="preserve">고객은 익월 </t>
    </r>
    <r>
      <rPr>
        <sz val="9"/>
        <color theme="1"/>
        <rFont val="맑은 고딕"/>
        <family val="3"/>
        <charset val="129"/>
      </rPr>
      <t>5</t>
    </r>
    <r>
      <rPr>
        <sz val="9"/>
        <color theme="1"/>
        <rFont val="DejaVu Sans"/>
        <family val="2"/>
      </rPr>
      <t>일까지 회사에</t>
    </r>
  </si>
  <si>
    <r>
      <rPr>
        <sz val="9"/>
        <color theme="1"/>
        <rFont val="DejaVu Sans"/>
        <family val="2"/>
      </rPr>
      <t>이를 통지하여야 한다</t>
    </r>
    <r>
      <rPr>
        <sz val="9"/>
        <color theme="1"/>
        <rFont val="맑은 고딕"/>
        <family val="3"/>
        <charset val="129"/>
      </rPr>
      <t>.</t>
    </r>
  </si>
  <si>
    <r>
      <rPr>
        <sz val="9"/>
        <color theme="1"/>
        <rFont val="DejaVu Sans"/>
        <family val="2"/>
      </rPr>
      <t>③ 고객은 주소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전화번호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상호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사업자등록번호 등 세금계산서 발행에 영향을 미치는 사항에 변경이</t>
    </r>
  </si>
  <si>
    <r>
      <rPr>
        <sz val="9"/>
        <color theme="1"/>
        <rFont val="DejaVu Sans"/>
        <family val="2"/>
      </rPr>
      <t>발생한 경우 즉시 회사에 통지하여야 한다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</si>
  <si>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DejaVu Sans"/>
        <family val="2"/>
      </rPr>
      <t>④ 고객이 전항의 통지의무를 해태함으로써 발생하는 모든 불이익은 고객이 부담한다</t>
    </r>
    <r>
      <rPr>
        <sz val="9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</si>
  <si>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24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적용범위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</si>
  <si>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① 본 계약서에 기재된 이륜차에 관하여 할부금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수리비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위약금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과태료 등 미납금이 발생한 경우</t>
    </r>
    <r>
      <rPr>
        <sz val="9"/>
        <color theme="1"/>
        <rFont val="맑은 고딕"/>
        <family val="3"/>
        <charset val="129"/>
      </rPr>
      <t>,</t>
    </r>
  </si>
  <si>
    <r>
      <rPr>
        <sz val="9"/>
        <color theme="1"/>
        <rFont val="DejaVu Sans"/>
        <family val="2"/>
      </rPr>
      <t>고객이 회사와 체결한 다른 이륜차 계약의 처분에도 영향을 미칠 수 있다</t>
    </r>
    <r>
      <rPr>
        <sz val="9"/>
        <color theme="1"/>
        <rFont val="맑은 고딕"/>
        <family val="3"/>
        <charset val="129"/>
      </rPr>
      <t xml:space="preserve">. </t>
    </r>
  </si>
  <si>
    <r>
      <rPr>
        <sz val="9"/>
        <color theme="1"/>
        <rFont val="DejaVu Sans"/>
        <family val="2"/>
      </rPr>
      <t>② 반대로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고객이 회사와 체결한 다른 이륜차 계약에서 할부금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수리비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위약금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과태료 등 미납금이</t>
    </r>
  </si>
  <si>
    <r>
      <rPr>
        <sz val="9"/>
        <color theme="1"/>
        <rFont val="DejaVu Sans"/>
        <family val="2"/>
      </rPr>
      <t>발생한 경우에도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본 계약서에 기재된 이륜차의 처분에 영향을 미칠 수 있다</t>
    </r>
    <r>
      <rPr>
        <sz val="9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</si>
  <si>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25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약관에 정하지 아니한 사항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</si>
  <si>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본 계약에서 정하지 아니한 사항에 관하여는 관계 법령 및 회사의 관련 규정을 따른다</t>
    </r>
    <r>
      <rPr>
        <sz val="9"/>
        <color theme="1"/>
        <rFont val="맑은 고딕"/>
        <family val="3"/>
        <charset val="129"/>
      </rPr>
      <t>.</t>
    </r>
  </si>
  <si>
    <r>
      <rPr>
        <b/>
        <sz val="11"/>
        <color theme="1"/>
        <rFont val="DejaVu Sans"/>
        <family val="2"/>
      </rPr>
      <t xml:space="preserve">제 </t>
    </r>
    <r>
      <rPr>
        <b/>
        <sz val="11"/>
        <color theme="1"/>
        <rFont val="맑은 고딕"/>
        <family val="3"/>
        <charset val="129"/>
      </rPr>
      <t xml:space="preserve">26 </t>
    </r>
    <r>
      <rPr>
        <b/>
        <sz val="11"/>
        <color theme="1"/>
        <rFont val="DejaVu Sans"/>
        <family val="2"/>
      </rPr>
      <t xml:space="preserve">조 </t>
    </r>
    <r>
      <rPr>
        <b/>
        <sz val="11"/>
        <color theme="1"/>
        <rFont val="맑은 고딕"/>
        <family val="3"/>
        <charset val="129"/>
      </rPr>
      <t>(</t>
    </r>
    <r>
      <rPr>
        <b/>
        <sz val="11"/>
        <color theme="1"/>
        <rFont val="DejaVu Sans"/>
        <family val="2"/>
      </rPr>
      <t>준거법 및 관할</t>
    </r>
    <r>
      <rPr>
        <b/>
        <sz val="11"/>
        <color theme="1"/>
        <rFont val="맑은 고딕"/>
        <family val="3"/>
        <charset val="129"/>
      </rPr>
      <t>)</t>
    </r>
  </si>
  <si>
    <r>
      <rPr>
        <sz val="9"/>
        <color theme="1"/>
        <rFont val="DejaVu Sans"/>
        <family val="2"/>
      </rPr>
      <t>본 계약은 대한민국 법률에 따라 해석</t>
    </r>
    <r>
      <rPr>
        <sz val="9"/>
        <color theme="1"/>
        <rFont val="맑은 고딕"/>
        <family val="3"/>
        <charset val="129"/>
      </rPr>
      <t>·</t>
    </r>
    <r>
      <rPr>
        <sz val="9"/>
        <color theme="1"/>
        <rFont val="DejaVu Sans"/>
        <family val="2"/>
      </rPr>
      <t>적용하며</t>
    </r>
    <r>
      <rPr>
        <sz val="9"/>
        <color theme="1"/>
        <rFont val="맑은 고딕"/>
        <family val="3"/>
        <charset val="129"/>
      </rPr>
      <t xml:space="preserve">, </t>
    </r>
    <r>
      <rPr>
        <sz val="9"/>
        <color theme="1"/>
        <rFont val="DejaVu Sans"/>
        <family val="2"/>
      </rPr>
      <t>본 계약과 관련하여 분쟁이 발생하는 경우 회사 본점</t>
    </r>
  </si>
  <si>
    <t>소재지를 관할하는 법원을 전속 관할 법원으로 한다</t>
  </si>
  <si>
    <t>연대보증인(사업장)</t>
    <phoneticPr fontId="49" type="noConversion"/>
  </si>
  <si>
    <t>계약자
(라이더)</t>
    <phoneticPr fontId="49" type="noConversion"/>
  </si>
  <si>
    <t>계약정보</t>
    <phoneticPr fontId="49" type="noConversion"/>
  </si>
  <si>
    <t>본 계약에서 연대보증인(사업장)은 세금계산서 수취 대상을 겸한다.</t>
    <phoneticPr fontId="49" type="noConversion"/>
  </si>
  <si>
    <r>
      <t>① 고객은 계약 체결 시 회사가 지정하는 수납 대행사</t>
    </r>
    <r>
      <rPr>
        <sz val="9"/>
        <rFont val="맑은 고딕"/>
        <family val="3"/>
        <charset val="129"/>
      </rPr>
      <t>(</t>
    </r>
    <r>
      <rPr>
        <sz val="9"/>
        <rFont val="DejaVu Sans"/>
        <family val="2"/>
      </rPr>
      <t>포어스바이크 유한회사</t>
    </r>
    <r>
      <rPr>
        <sz val="9"/>
        <rFont val="맑은 고딕"/>
        <family val="3"/>
        <charset val="129"/>
      </rPr>
      <t>)</t>
    </r>
    <r>
      <rPr>
        <sz val="9"/>
        <rFont val="DejaVu Sans"/>
        <family val="2"/>
      </rPr>
      <t>의 계좌로 보증금을 지급</t>
    </r>
  </si>
  <si>
    <r>
      <t>하여야 한다</t>
    </r>
    <r>
      <rPr>
        <sz val="9"/>
        <rFont val="맑은 고딕"/>
        <family val="3"/>
        <charset val="129"/>
      </rPr>
      <t xml:space="preserve">. </t>
    </r>
    <r>
      <rPr>
        <sz val="9"/>
        <rFont val="DejaVu Sans"/>
        <family val="2"/>
      </rPr>
      <t>사전 동의를 받아 보증금 지급이 지연된 경우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 xml:space="preserve">회사는 최대 </t>
    </r>
    <r>
      <rPr>
        <sz val="9"/>
        <rFont val="맑은 고딕"/>
        <family val="3"/>
        <charset val="129"/>
      </rPr>
      <t>7</t>
    </r>
    <r>
      <rPr>
        <sz val="9"/>
        <rFont val="DejaVu Sans"/>
        <family val="2"/>
      </rPr>
      <t>일의 유예기간을 둘 수 있으며</t>
    </r>
    <r>
      <rPr>
        <sz val="9"/>
        <rFont val="맑은 고딕"/>
        <family val="3"/>
        <charset val="129"/>
      </rPr>
      <t>,</t>
    </r>
  </si>
  <si>
    <r>
      <t>"</t>
    </r>
    <r>
      <rPr>
        <sz val="9"/>
        <rFont val="DejaVu Sans"/>
        <family val="2"/>
      </rPr>
      <t>포어스바이크 유한회사</t>
    </r>
    <r>
      <rPr>
        <sz val="9"/>
        <rFont val="맑은 고딕"/>
        <family val="3"/>
        <charset val="129"/>
      </rPr>
      <t>"</t>
    </r>
    <r>
      <rPr>
        <sz val="9"/>
        <rFont val="DejaVu Sans"/>
        <family val="2"/>
      </rPr>
      <t>를 통해 반환한다</t>
    </r>
    <r>
      <rPr>
        <sz val="9"/>
        <rFont val="맑은 고딕"/>
        <family val="3"/>
        <charset val="129"/>
      </rPr>
      <t xml:space="preserve">. </t>
    </r>
    <r>
      <rPr>
        <sz val="9"/>
        <rFont val="DejaVu Sans"/>
        <family val="2"/>
      </rPr>
      <t>다만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>미납 과태료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>수리비 등 부대 비용이 계약기간 만료 이후</t>
    </r>
  </si>
  <si>
    <r>
      <t>② 고객이 계약기간 동안 할부금을 성실히 납부하고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본 계약에 따른 모든 채무를 완전히 이행한</t>
    </r>
  </si>
  <si>
    <r>
      <t>경우</t>
    </r>
    <r>
      <rPr>
        <sz val="9"/>
        <color theme="1"/>
        <rFont val="맑은 고딕"/>
        <family val="2"/>
        <charset val="129"/>
      </rPr>
      <t xml:space="preserve">, </t>
    </r>
    <r>
      <rPr>
        <sz val="9"/>
        <color theme="1"/>
        <rFont val="DejaVu Sans"/>
        <family val="2"/>
      </rPr>
      <t>회사는 지체 없이 해당 이륜차의 소유권을 고객에게 이전한다</t>
    </r>
    <r>
      <rPr>
        <sz val="9"/>
        <color theme="1"/>
        <rFont val="맑은 고딕"/>
        <family val="2"/>
        <charset val="129"/>
      </rPr>
      <t>.</t>
    </r>
  </si>
  <si>
    <r>
      <t xml:space="preserve">관계없이 정해진 결제일에 수납 대행사인 </t>
    </r>
    <r>
      <rPr>
        <sz val="9"/>
        <rFont val="맑은 고딕"/>
        <family val="3"/>
        <charset val="129"/>
      </rPr>
      <t>"</t>
    </r>
    <r>
      <rPr>
        <sz val="9"/>
        <rFont val="DejaVu Sans"/>
        <family val="2"/>
      </rPr>
      <t>포어스바이크 유한회사</t>
    </r>
    <r>
      <rPr>
        <sz val="9"/>
        <rFont val="맑은 고딕"/>
        <family val="3"/>
        <charset val="129"/>
      </rPr>
      <t xml:space="preserve">" </t>
    </r>
    <r>
      <rPr>
        <sz val="9"/>
        <rFont val="DejaVu Sans"/>
        <family val="2"/>
      </rPr>
      <t>명의의 계좌로 납부하여야 한다</t>
    </r>
    <r>
      <rPr>
        <sz val="9"/>
        <rFont val="맑은 고딕"/>
        <family val="3"/>
        <charset val="129"/>
      </rPr>
      <t>.</t>
    </r>
  </si>
  <si>
    <r>
      <t>② 전항의 결제방법이란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 xml:space="preserve">회사가 안내한 </t>
    </r>
    <r>
      <rPr>
        <sz val="9"/>
        <rFont val="맑은 고딕"/>
        <family val="3"/>
        <charset val="129"/>
      </rPr>
      <t>"</t>
    </r>
    <r>
      <rPr>
        <sz val="9"/>
        <rFont val="DejaVu Sans"/>
        <family val="2"/>
      </rPr>
      <t>포어스바이크 유한회사</t>
    </r>
    <r>
      <rPr>
        <sz val="9"/>
        <rFont val="맑은 고딕"/>
        <family val="3"/>
        <charset val="129"/>
      </rPr>
      <t>"</t>
    </r>
    <r>
      <rPr>
        <sz val="9"/>
        <rFont val="DejaVu Sans"/>
        <family val="2"/>
      </rPr>
      <t>의 은행계좌로 한국은행이 발행한</t>
    </r>
  </si>
  <si>
    <r>
      <t>지급하거나 결제를 통해 납부하는 것을 의미한다</t>
    </r>
    <r>
      <rPr>
        <sz val="9"/>
        <rFont val="맑은 고딕"/>
        <family val="3"/>
        <charset val="129"/>
      </rPr>
      <t xml:space="preserve">. </t>
    </r>
  </si>
  <si>
    <r>
      <t xml:space="preserve">➇ 고객이 수납 대행사인 </t>
    </r>
    <r>
      <rPr>
        <sz val="9"/>
        <rFont val="맑은 고딕"/>
        <family val="3"/>
        <charset val="129"/>
      </rPr>
      <t>'</t>
    </r>
    <r>
      <rPr>
        <sz val="9"/>
        <rFont val="DejaVu Sans"/>
        <family val="2"/>
      </rPr>
      <t>포어스바이크 유한회사</t>
    </r>
    <r>
      <rPr>
        <sz val="9"/>
        <rFont val="맑은 고딕"/>
        <family val="3"/>
        <charset val="129"/>
      </rPr>
      <t>'</t>
    </r>
    <r>
      <rPr>
        <sz val="9"/>
        <rFont val="DejaVu Sans"/>
        <family val="2"/>
      </rPr>
      <t>의 계좌로 할부금 등을 정상적으로 입금한 경우</t>
    </r>
    <r>
      <rPr>
        <sz val="9"/>
        <rFont val="맑은 고딕"/>
        <family val="3"/>
        <charset val="129"/>
      </rPr>
      <t>,</t>
    </r>
  </si>
  <si>
    <r>
      <t>이는 회사에 지급한 것과 동일한 효력을 가지며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>고객의 지급 의무는 소멸한다</t>
    </r>
    <r>
      <rPr>
        <sz val="9"/>
        <rFont val="맑은 고딕"/>
        <family val="3"/>
        <charset val="129"/>
      </rPr>
      <t>.</t>
    </r>
  </si>
  <si>
    <r>
      <rPr>
        <sz val="11"/>
        <color theme="1"/>
        <rFont val="맑은 고딕"/>
        <family val="3"/>
        <charset val="129"/>
      </rPr>
      <t>⑨</t>
    </r>
    <r>
      <rPr>
        <sz val="9"/>
        <color theme="1"/>
        <rFont val="맑은 고딕"/>
        <family val="2"/>
        <charset val="129"/>
      </rPr>
      <t xml:space="preserve"> "계약자(라이더)"는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본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계약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제1면에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기재된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라이더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본인을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말하며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본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계약상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2"/>
        <charset val="129"/>
      </rPr>
      <t>주채무자이다.</t>
    </r>
    <phoneticPr fontId="49" type="noConversion"/>
  </si>
  <si>
    <r>
      <rPr>
        <sz val="11"/>
        <color theme="1"/>
        <rFont val="Segoe UI Symbol"/>
        <family val="1"/>
      </rPr>
      <t>①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본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계약에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따른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이륜차의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소유권은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고객이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계약에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따른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모든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채무를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전액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이행할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때까지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회사에</t>
    </r>
    <r>
      <rPr>
        <sz val="9"/>
        <color theme="1"/>
        <rFont val="Arial"/>
        <family val="2"/>
      </rPr>
      <t xml:space="preserve"> </t>
    </r>
    <r>
      <rPr>
        <sz val="9"/>
        <color theme="1"/>
        <rFont val="맑은 고딕"/>
        <family val="3"/>
        <charset val="129"/>
      </rPr>
      <t>유보된다</t>
    </r>
    <r>
      <rPr>
        <sz val="9"/>
        <color theme="1"/>
        <rFont val="DejaVu Sans"/>
        <family val="2"/>
      </rPr>
      <t>.</t>
    </r>
    <phoneticPr fontId="49" type="noConversion"/>
  </si>
  <si>
    <t>해당기간 내 지급이 이루어지지 않을 경우 본 계약은 자동해지되며, 고객은 즉시 이륜차를 반환함과 동시에</t>
    <phoneticPr fontId="49" type="noConversion"/>
  </si>
  <si>
    <t>인도일부터 반환일까지의 일할 사용료, (2) 이륜차 감가손실액, (3) 차량 등록비·번호판 비용·보험료 등</t>
    <phoneticPr fontId="49" type="noConversion"/>
  </si>
  <si>
    <t>회사가 이미 지출한 부대비용 일체를 회사에 배상하여야 한다.</t>
    <phoneticPr fontId="49" type="noConversion"/>
  </si>
  <si>
    <r>
      <t>⑥ 회사는 연체된 할부금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>위약금 등 본 계약에 따른 채권의 회수 및 추심 업무를 수납 대행사인</t>
    </r>
  </si>
  <si>
    <r>
      <t>포어스바이크 유한회사</t>
    </r>
    <r>
      <rPr>
        <sz val="9"/>
        <rFont val="맑은 고딕"/>
        <family val="3"/>
        <charset val="129"/>
      </rPr>
      <t>'</t>
    </r>
    <r>
      <rPr>
        <sz val="9"/>
        <rFont val="DejaVu Sans"/>
        <family val="2"/>
      </rPr>
      <t>에게 위임하며</t>
    </r>
    <r>
      <rPr>
        <sz val="9"/>
        <rFont val="맑은 고딕"/>
        <family val="3"/>
        <charset val="129"/>
      </rPr>
      <t xml:space="preserve">, </t>
    </r>
    <r>
      <rPr>
        <sz val="9"/>
        <rFont val="DejaVu Sans"/>
        <family val="2"/>
      </rPr>
      <t>포어스바이크는 회사를 대리하여 고객에게 납부를 독촉하거나</t>
    </r>
  </si>
  <si>
    <r>
      <t>추심할 수 있다</t>
    </r>
    <r>
      <rPr>
        <sz val="9"/>
        <rFont val="맑은 고딕"/>
        <family val="3"/>
        <charset val="129"/>
      </rPr>
      <t>.</t>
    </r>
  </si>
  <si>
    <r>
      <rPr>
        <b/>
        <sz val="11"/>
        <color theme="1"/>
        <rFont val="맑은 고딕"/>
        <family val="3"/>
        <charset val="129"/>
      </rPr>
      <t>이용약관의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내용에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대해서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설명을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듣고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확인하였습니다.</t>
    </r>
    <r>
      <rPr>
        <b/>
        <sz val="11"/>
        <color theme="1"/>
        <rFont val="DejaVu Sans"/>
        <family val="2"/>
      </rPr>
      <t xml:space="preserve">                         </t>
    </r>
    <r>
      <rPr>
        <b/>
        <sz val="9"/>
        <color theme="1"/>
        <rFont val="맑은 고딕"/>
        <family val="3"/>
        <charset val="129"/>
      </rPr>
      <t>서명</t>
    </r>
    <r>
      <rPr>
        <b/>
        <sz val="9"/>
        <color theme="1"/>
        <rFont val="Arial"/>
        <family val="2"/>
      </rPr>
      <t xml:space="preserve"> </t>
    </r>
    <r>
      <rPr>
        <b/>
        <sz val="9"/>
        <color theme="1"/>
        <rFont val="맑은 고딕"/>
        <family val="3"/>
        <charset val="129"/>
      </rPr>
      <t>또는</t>
    </r>
    <r>
      <rPr>
        <b/>
        <sz val="9"/>
        <color theme="1"/>
        <rFont val="Arial"/>
        <family val="2"/>
      </rPr>
      <t xml:space="preserve"> </t>
    </r>
    <r>
      <rPr>
        <b/>
        <sz val="9"/>
        <color theme="1"/>
        <rFont val="맑은 고딕"/>
        <family val="3"/>
        <charset val="129"/>
      </rPr>
      <t>인</t>
    </r>
    <phoneticPr fontId="49" type="noConversion"/>
  </si>
  <si>
    <r>
      <rPr>
        <b/>
        <sz val="11"/>
        <color rgb="FF000000"/>
        <rFont val="Segoe UI Symbol"/>
        <family val="1"/>
      </rPr>
      <t>▣</t>
    </r>
    <r>
      <rPr>
        <b/>
        <sz val="11"/>
        <color rgb="FF000000"/>
        <rFont val="Arial"/>
        <family val="2"/>
      </rPr>
      <t xml:space="preserve"> </t>
    </r>
    <r>
      <rPr>
        <b/>
        <sz val="11"/>
        <color rgb="FF000000"/>
        <rFont val="맑은 고딕"/>
        <family val="3"/>
        <charset val="129"/>
      </rPr>
      <t>개인정보 수집, 이용 및 제공 동의서</t>
    </r>
    <phoneticPr fontId="4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</si>
</sst>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_(* #,##0_);_(* \(#,##0\);_(* \-_);_(@_)"/>
    <numFmt numFmtId="177" formatCode="m/d/yyyy"/>
    <numFmt numFmtId="178" formatCode="#,###&quot;원&quot;"/>
    <numFmt numFmtId="179" formatCode="###&quot;일&quot;"/>
    <numFmt numFmtId="180" formatCode="_-* #,##0_-;\-* #,##0_-;_-* \-_-;_-@_-"/>
    <numFmt numFmtId="181" formatCode="###,###&quot;원&quot;"/>
    <numFmt numFmtId="182" formatCode="mm&quot;월 &quot;dd&quot;일&quot;"/>
    <numFmt numFmtId="183" formatCode=";;;"/>
  </numFmts>
  <fonts count="59">
    <font>
      <sz val="11"/>
      <color theme="1"/>
      <name val="맑은 고딕"/>
      <family val="2"/>
      <charset val="129"/>
    </font>
    <font>
      <sz val="10"/>
      <color rgb="FF000000"/>
      <name val="나눔고딕"/>
      <family val="3"/>
      <charset val="129"/>
    </font>
    <font>
      <sz val="11"/>
      <color theme="1"/>
      <name val="맑은 고딕"/>
      <family val="2"/>
      <charset val="1"/>
    </font>
    <font>
      <sz val="10"/>
      <color theme="1"/>
      <name val="맑은 고딕"/>
      <family val="3"/>
      <charset val="129"/>
    </font>
    <font>
      <sz val="10"/>
      <color theme="1"/>
      <name val="DejaVu Sans"/>
      <family val="2"/>
    </font>
    <font>
      <sz val="18"/>
      <color theme="1"/>
      <name val="DejaVu Sans"/>
      <family val="2"/>
    </font>
    <font>
      <vertAlign val="subscript"/>
      <sz val="16"/>
      <color theme="1"/>
      <name val="DejaVu Sans"/>
      <family val="2"/>
    </font>
    <font>
      <sz val="12"/>
      <color theme="1"/>
      <name val="맑은 고딕"/>
      <family val="3"/>
      <charset val="129"/>
    </font>
    <font>
      <sz val="11"/>
      <color theme="1"/>
      <name val="DejaVu Sans"/>
      <family val="2"/>
    </font>
    <font>
      <b/>
      <sz val="14"/>
      <color theme="1"/>
      <name val="DejaVu Sans"/>
      <family val="2"/>
    </font>
    <font>
      <b/>
      <sz val="14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sz val="11"/>
      <name val="맑은 고딕"/>
      <family val="2"/>
      <charset val="129"/>
    </font>
    <font>
      <b/>
      <sz val="11"/>
      <color theme="1"/>
      <name val="DejaVu Sans"/>
      <family val="2"/>
    </font>
    <font>
      <b/>
      <sz val="11"/>
      <color theme="1"/>
      <name val="맑은 고딕"/>
      <family val="3"/>
      <charset val="129"/>
    </font>
    <font>
      <sz val="8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10"/>
      <color rgb="FF000000"/>
      <name val="Malgun Gothic"/>
      <family val="3"/>
      <charset val="129"/>
    </font>
    <font>
      <sz val="11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b/>
      <sz val="11"/>
      <color rgb="FFFF0000"/>
      <name val="DejaVu Sans"/>
      <family val="2"/>
    </font>
    <font>
      <sz val="11"/>
      <name val="DejaVu Sans"/>
      <family val="2"/>
    </font>
    <font>
      <sz val="8"/>
      <color theme="1"/>
      <name val="맑은 고딕"/>
      <family val="2"/>
      <charset val="129"/>
    </font>
    <font>
      <sz val="8"/>
      <color theme="1"/>
      <name val="DejaVu Sans"/>
      <family val="2"/>
    </font>
    <font>
      <sz val="6"/>
      <color theme="1"/>
      <name val="맑은 고딕"/>
      <family val="2"/>
      <charset val="129"/>
    </font>
    <font>
      <sz val="6"/>
      <color theme="1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theme="1"/>
      <name val="DejaVu Sans"/>
      <family val="2"/>
    </font>
    <font>
      <b/>
      <sz val="11"/>
      <color rgb="FF000000"/>
      <name val="DejaVu Sans"/>
      <family val="2"/>
    </font>
    <font>
      <b/>
      <sz val="11"/>
      <color rgb="FF000000"/>
      <name val="맑은 고딕"/>
      <family val="3"/>
      <charset val="129"/>
    </font>
    <font>
      <b/>
      <sz val="7"/>
      <color rgb="FF000000"/>
      <name val="맑은 고딕"/>
      <family val="3"/>
      <charset val="129"/>
    </font>
    <font>
      <sz val="10"/>
      <color rgb="FF000000"/>
      <name val="DejaVu Sans"/>
      <family val="2"/>
    </font>
    <font>
      <sz val="10"/>
      <color rgb="FF000000"/>
      <name val="맑은 고딕"/>
      <family val="3"/>
      <charset val="129"/>
    </font>
    <font>
      <sz val="7"/>
      <color rgb="FF000000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11"/>
      <color rgb="FF000000"/>
      <name val="DejaVu Sans"/>
      <family val="2"/>
    </font>
    <font>
      <sz val="7"/>
      <color theme="1"/>
      <name val="맑은 고딕"/>
      <family val="2"/>
      <charset val="129"/>
    </font>
    <font>
      <b/>
      <sz val="13"/>
      <color theme="1"/>
      <name val="맑은 고딕"/>
      <family val="3"/>
      <charset val="129"/>
    </font>
    <font>
      <b/>
      <sz val="13"/>
      <color theme="1"/>
      <name val="DejaVu Sans"/>
      <family val="2"/>
    </font>
    <font>
      <sz val="13"/>
      <color theme="1"/>
      <name val="맑은 고딕"/>
      <family val="3"/>
      <charset val="129"/>
    </font>
    <font>
      <b/>
      <sz val="9"/>
      <color theme="1"/>
      <name val="DejaVu Sans"/>
      <family val="2"/>
    </font>
    <font>
      <sz val="7"/>
      <color theme="1"/>
      <name val="맑은 고딕"/>
      <family val="3"/>
      <charset val="129"/>
    </font>
    <font>
      <sz val="9"/>
      <name val="DejaVu Sans"/>
      <family val="2"/>
    </font>
    <font>
      <sz val="9"/>
      <name val="맑은 고딕"/>
      <family val="3"/>
      <charset val="129"/>
    </font>
    <font>
      <b/>
      <sz val="9"/>
      <color rgb="FFFF0000"/>
      <name val="DejaVu Sans"/>
      <family val="2"/>
    </font>
    <font>
      <b/>
      <sz val="9"/>
      <color rgb="FFFF000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9"/>
      <color theme="1"/>
      <name val="Arial"/>
      <family val="2"/>
    </font>
    <font>
      <sz val="11"/>
      <color theme="1"/>
      <name val="Segoe UI Symbol"/>
      <family val="1"/>
    </font>
    <font>
      <b/>
      <sz val="11"/>
      <color theme="1"/>
      <name val="Arial"/>
      <family val="2"/>
    </font>
    <font>
      <b/>
      <sz val="11"/>
      <color theme="1"/>
      <name val="DejaVu Sans"/>
      <family val="3"/>
      <charset val="129"/>
    </font>
    <font>
      <b/>
      <sz val="9"/>
      <color theme="1"/>
      <name val="맑은 고딕"/>
      <family val="3"/>
      <charset val="129"/>
    </font>
    <font>
      <b/>
      <sz val="9"/>
      <color theme="1"/>
      <name val="Arial"/>
      <family val="2"/>
    </font>
    <font>
      <b/>
      <sz val="11"/>
      <color rgb="FF000000"/>
      <name val="Arial"/>
      <family val="2"/>
    </font>
    <font>
      <b/>
      <sz val="11"/>
      <color rgb="FF000000"/>
      <name val="Segoe UI Symbol"/>
      <family val="1"/>
    </font>
    <font>
      <b/>
      <sz val="11"/>
      <color rgb="FF000000"/>
      <name val="DejaVu Sans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9D9D9"/>
        <bgColor rgb="FFF2F2F2"/>
      </patternFill>
    </fill>
    <fill>
      <patternFill patternType="solid">
        <fgColor rgb="FFF2F2F2"/>
        <bgColor rgb="FFFFFFCC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5">
    <xf numFmtId="0" fontId="0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2" fillId="0" borderId="0"/>
    <xf numFmtId="176" fontId="48" fillId="0" borderId="0">
      <alignment vertical="center"/>
    </xf>
  </cellStyleXfs>
  <cellXfs count="172">
    <xf numFmtId="0" fontId="0" fillId="0" borderId="0" xfId="0">
      <alignment vertical="center"/>
    </xf>
    <xf numFmtId="0" fontId="15" fillId="0" borderId="1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 shrinkToFit="1"/>
    </xf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4" borderId="1" xfId="0" applyFont="1" applyFill="1" applyBorder="1" applyAlignment="1">
      <alignment horizontal="left" vertical="center" indent="1"/>
    </xf>
    <xf numFmtId="0" fontId="9" fillId="3" borderId="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80" fontId="3" fillId="0" borderId="0" xfId="4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80" fontId="4" fillId="0" borderId="0" xfId="4" applyNumberFormat="1" applyFont="1" applyAlignment="1">
      <alignment horizontal="center" vertical="center"/>
    </xf>
    <xf numFmtId="178" fontId="3" fillId="2" borderId="0" xfId="0" applyNumberFormat="1" applyFont="1" applyFill="1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horizont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14" fillId="4" borderId="4" xfId="0" applyFont="1" applyFill="1" applyBorder="1">
      <alignment vertical="center"/>
    </xf>
    <xf numFmtId="0" fontId="16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19" fillId="0" borderId="1" xfId="3" applyFont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14" fillId="4" borderId="7" xfId="0" applyFont="1" applyFill="1" applyBorder="1">
      <alignment vertical="center"/>
    </xf>
    <xf numFmtId="0" fontId="13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4" fillId="4" borderId="9" xfId="0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 indent="1"/>
    </xf>
    <xf numFmtId="183" fontId="13" fillId="0" borderId="0" xfId="0" applyNumberFormat="1" applyFont="1">
      <alignment vertical="center"/>
    </xf>
    <xf numFmtId="0" fontId="17" fillId="0" borderId="0" xfId="0" applyFont="1">
      <alignment vertical="center"/>
    </xf>
    <xf numFmtId="183" fontId="17" fillId="0" borderId="0" xfId="0" applyNumberFormat="1" applyFont="1">
      <alignment vertical="center"/>
    </xf>
    <xf numFmtId="0" fontId="15" fillId="0" borderId="10" xfId="0" applyFont="1" applyBorder="1" applyAlignment="1">
      <alignment horizontal="right" vertical="center"/>
    </xf>
    <xf numFmtId="183" fontId="23" fillId="0" borderId="0" xfId="0" applyNumberFormat="1" applyFont="1">
      <alignment vertical="center"/>
    </xf>
    <xf numFmtId="0" fontId="26" fillId="0" borderId="0" xfId="0" applyFont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24" fillId="3" borderId="12" xfId="0" applyFont="1" applyFill="1" applyBorder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0" fillId="0" borderId="10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8" fillId="0" borderId="15" xfId="0" applyFont="1" applyBorder="1">
      <alignment vertical="center"/>
    </xf>
    <xf numFmtId="0" fontId="28" fillId="0" borderId="12" xfId="0" applyFont="1" applyBorder="1">
      <alignment vertical="center"/>
    </xf>
    <xf numFmtId="0" fontId="0" fillId="0" borderId="12" xfId="0" applyBorder="1">
      <alignment vertical="center"/>
    </xf>
    <xf numFmtId="0" fontId="32" fillId="0" borderId="12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12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5" fillId="0" borderId="12" xfId="0" applyFont="1" applyBorder="1" applyAlignment="1">
      <alignment horizontal="justify" vertical="center"/>
    </xf>
    <xf numFmtId="0" fontId="35" fillId="0" borderId="0" xfId="0" applyFont="1" applyAlignment="1">
      <alignment horizontal="justify" vertical="center"/>
    </xf>
    <xf numFmtId="0" fontId="33" fillId="0" borderId="0" xfId="0" applyFont="1" applyAlignment="1">
      <alignment horizontal="justify" vertical="center" wrapText="1"/>
    </xf>
    <xf numFmtId="0" fontId="35" fillId="0" borderId="12" xfId="0" applyFont="1" applyBorder="1" applyAlignment="1">
      <alignment horizontal="justify" vertical="center" wrapText="1"/>
    </xf>
    <xf numFmtId="0" fontId="35" fillId="0" borderId="0" xfId="0" applyFont="1" applyAlignment="1">
      <alignment horizontal="justify" vertical="center" wrapText="1"/>
    </xf>
    <xf numFmtId="0" fontId="38" fillId="0" borderId="0" xfId="0" applyFont="1" applyAlignment="1">
      <alignment vertical="center" wrapText="1"/>
    </xf>
    <xf numFmtId="0" fontId="41" fillId="0" borderId="0" xfId="0" applyFont="1" applyAlignment="1">
      <alignment horizontal="right" vertical="center" indent="1"/>
    </xf>
    <xf numFmtId="0" fontId="14" fillId="4" borderId="0" xfId="0" applyFont="1" applyFill="1">
      <alignment vertical="center"/>
    </xf>
    <xf numFmtId="0" fontId="42" fillId="4" borderId="0" xfId="0" applyFont="1" applyFill="1" applyAlignment="1">
      <alignment horizontal="center"/>
    </xf>
    <xf numFmtId="0" fontId="14" fillId="4" borderId="0" xfId="0" applyFont="1" applyFill="1" applyAlignment="1">
      <alignment horizontal="left" vertical="center"/>
    </xf>
    <xf numFmtId="0" fontId="42" fillId="4" borderId="0" xfId="0" applyFont="1" applyFill="1" applyAlignment="1">
      <alignment horizontal="right" indent="1"/>
    </xf>
    <xf numFmtId="0" fontId="4" fillId="4" borderId="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>
      <alignment vertical="center"/>
    </xf>
    <xf numFmtId="0" fontId="26" fillId="0" borderId="0" xfId="0" applyFont="1" applyAlignment="1">
      <alignment horizontal="center" vertical="center"/>
    </xf>
    <xf numFmtId="0" fontId="43" fillId="0" borderId="0" xfId="0" applyFont="1" applyAlignment="1">
      <alignment vertical="center" wrapText="1"/>
    </xf>
    <xf numFmtId="0" fontId="0" fillId="0" borderId="7" xfId="0" applyBorder="1">
      <alignment vertical="center"/>
    </xf>
    <xf numFmtId="0" fontId="0" fillId="0" borderId="16" xfId="0" applyBorder="1">
      <alignment vertical="center"/>
    </xf>
    <xf numFmtId="0" fontId="0" fillId="0" borderId="13" xfId="0" applyBorder="1">
      <alignment vertical="center"/>
    </xf>
    <xf numFmtId="0" fontId="0" fillId="0" borderId="0" xfId="0" applyAlignment="1">
      <alignment horizontal="left" vertical="center"/>
    </xf>
    <xf numFmtId="0" fontId="44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29" fillId="3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0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 indent="1"/>
    </xf>
    <xf numFmtId="0" fontId="9" fillId="3" borderId="5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left" vertical="center" indent="1"/>
    </xf>
    <xf numFmtId="0" fontId="11" fillId="0" borderId="1" xfId="0" applyFont="1" applyBorder="1">
      <alignment vertical="center"/>
    </xf>
    <xf numFmtId="0" fontId="15" fillId="0" borderId="5" xfId="0" applyFont="1" applyBorder="1" applyAlignment="1">
      <alignment horizontal="center" vertical="center"/>
    </xf>
    <xf numFmtId="177" fontId="15" fillId="0" borderId="5" xfId="0" applyNumberFormat="1" applyFont="1" applyBorder="1" applyAlignment="1">
      <alignment horizontal="center" vertical="center"/>
    </xf>
    <xf numFmtId="177" fontId="14" fillId="0" borderId="5" xfId="0" applyNumberFormat="1" applyFont="1" applyBorder="1" applyAlignment="1">
      <alignment horizontal="center" vertical="center"/>
    </xf>
    <xf numFmtId="181" fontId="15" fillId="0" borderId="4" xfId="0" applyNumberFormat="1" applyFont="1" applyBorder="1" applyAlignment="1">
      <alignment horizontal="right" vertical="center"/>
    </xf>
    <xf numFmtId="49" fontId="15" fillId="0" borderId="2" xfId="0" applyNumberFormat="1" applyFont="1" applyBorder="1" applyAlignment="1">
      <alignment horizontal="left" vertical="center"/>
    </xf>
    <xf numFmtId="0" fontId="14" fillId="0" borderId="4" xfId="0" applyFont="1" applyBorder="1" applyAlignment="1">
      <alignment horizontal="center" vertical="center"/>
    </xf>
    <xf numFmtId="0" fontId="14" fillId="4" borderId="3" xfId="0" applyFont="1" applyFill="1" applyBorder="1" applyAlignment="1">
      <alignment horizontal="left" vertical="center" indent="1"/>
    </xf>
    <xf numFmtId="0" fontId="14" fillId="0" borderId="3" xfId="0" applyFont="1" applyBorder="1" applyAlignment="1">
      <alignment horizontal="center" vertical="center"/>
    </xf>
    <xf numFmtId="182" fontId="14" fillId="0" borderId="8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shrinkToFit="1"/>
    </xf>
    <xf numFmtId="177" fontId="14" fillId="0" borderId="6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left" vertical="center" wrapText="1" indent="1"/>
    </xf>
    <xf numFmtId="180" fontId="15" fillId="0" borderId="4" xfId="4" applyNumberFormat="1" applyFont="1" applyBorder="1" applyAlignment="1">
      <alignment horizontal="right" vertical="center" indent="2"/>
    </xf>
    <xf numFmtId="180" fontId="14" fillId="0" borderId="2" xfId="4" applyNumberFormat="1" applyFont="1" applyBorder="1">
      <alignment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left" vertical="top" indent="1"/>
    </xf>
    <xf numFmtId="0" fontId="24" fillId="3" borderId="11" xfId="0" applyFont="1" applyFill="1" applyBorder="1" applyAlignment="1">
      <alignment horizontal="left" vertical="center"/>
    </xf>
    <xf numFmtId="0" fontId="16" fillId="3" borderId="13" xfId="0" applyFont="1" applyFill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wrapText="1"/>
    </xf>
    <xf numFmtId="0" fontId="33" fillId="0" borderId="0" xfId="0" applyFont="1" applyAlignment="1">
      <alignment horizontal="justify" vertical="center"/>
    </xf>
    <xf numFmtId="0" fontId="33" fillId="0" borderId="0" xfId="0" applyFont="1" applyAlignment="1">
      <alignment horizontal="distributed" vertical="center"/>
    </xf>
    <xf numFmtId="0" fontId="4" fillId="0" borderId="0" xfId="0" applyFont="1" applyAlignment="1">
      <alignment vertical="center" wrapText="1"/>
    </xf>
    <xf numFmtId="0" fontId="34" fillId="0" borderId="0" xfId="0" applyFont="1" applyAlignment="1">
      <alignment horizontal="distributed" vertical="center"/>
    </xf>
    <xf numFmtId="0" fontId="33" fillId="0" borderId="0" xfId="0" applyFont="1" applyAlignment="1">
      <alignment horizontal="justify" vertical="center" wrapText="1"/>
    </xf>
    <xf numFmtId="0" fontId="33" fillId="0" borderId="0" xfId="0" applyFont="1" applyAlignment="1">
      <alignment horizontal="left" vertical="center"/>
    </xf>
    <xf numFmtId="0" fontId="36" fillId="0" borderId="0" xfId="0" applyFont="1">
      <alignment vertical="center"/>
    </xf>
    <xf numFmtId="0" fontId="37" fillId="0" borderId="0" xfId="0" applyFont="1" applyAlignment="1">
      <alignment horizontal="justify" vertical="center" wrapText="1"/>
    </xf>
    <xf numFmtId="0" fontId="38" fillId="0" borderId="0" xfId="0" applyFont="1" applyAlignment="1">
      <alignment vertical="center" wrapText="1"/>
    </xf>
    <xf numFmtId="0" fontId="39" fillId="0" borderId="0" xfId="0" applyFont="1" applyAlignment="1">
      <alignment horizontal="right" vertical="center" indent="1"/>
    </xf>
    <xf numFmtId="0" fontId="40" fillId="0" borderId="0" xfId="0" applyFont="1" applyAlignment="1">
      <alignment horizontal="right" vertical="center" indent="1"/>
    </xf>
    <xf numFmtId="0" fontId="14" fillId="4" borderId="0" xfId="0" applyFont="1" applyFill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35" fillId="0" borderId="0" xfId="0" applyFont="1" applyAlignment="1">
      <alignment vertical="center" wrapText="1"/>
    </xf>
    <xf numFmtId="0" fontId="9" fillId="3" borderId="0" xfId="0" applyFont="1" applyFill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/>
    </xf>
    <xf numFmtId="0" fontId="44" fillId="0" borderId="0" xfId="0" applyFont="1" applyAlignment="1">
      <alignment horizontal="left" vertical="center"/>
    </xf>
    <xf numFmtId="0" fontId="45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5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" fillId="0" borderId="16" xfId="0" applyFont="1" applyBorder="1" applyAlignment="1">
      <alignment horizontal="left" vertical="center"/>
    </xf>
    <xf numFmtId="0" fontId="53" fillId="4" borderId="0" xfId="0" applyFont="1" applyFill="1" applyAlignment="1">
      <alignment horizontal="left" vertical="center"/>
    </xf>
    <xf numFmtId="0" fontId="58" fillId="0" borderId="0" xfId="0" applyFont="1" applyAlignment="1">
      <alignment horizontal="left" vertical="center"/>
    </xf>
    <xf numFmtId="0" fontId="14" fillId="4" borderId="0" xfId="0" applyFont="1" applyFill="1" applyAlignment="1">
      <alignment vertical="center"/>
    </xf>
    <xf numFmtId="0" fontId="42" fillId="4" borderId="0" xfId="0" applyFont="1" applyFill="1" applyAlignment="1">
      <alignment horizontal="center" vertical="center"/>
    </xf>
    <xf numFmtId="0" fontId="42" fillId="4" borderId="0" xfId="0" applyFont="1" applyFill="1" applyAlignment="1">
      <alignment horizontal="left" vertical="center"/>
    </xf>
  </cellXfs>
  <cellStyles count="5">
    <cellStyle name="Excel Built-in Comma [0]" xfId="4" xr:uid="{00000000-0005-0000-0000-000009000000}"/>
    <cellStyle name="쉼표 [0] 2 10 2 4" xfId="1" xr:uid="{00000000-0005-0000-0000-000006000000}"/>
    <cellStyle name="쉼표 [0] 4 2 4" xfId="2" xr:uid="{00000000-0005-0000-0000-000007000000}"/>
    <cellStyle name="표준" xfId="0" builtinId="0"/>
    <cellStyle name="표준 2" xfId="3" xr:uid="{00000000-0005-0000-0000-000008000000}"/>
  </cellStyles>
  <dxfs count="0"/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90360</xdr:colOff>
      <xdr:row>12</xdr:row>
      <xdr:rowOff>35280</xdr:rowOff>
    </xdr:from>
    <xdr:to>
      <xdr:col>19</xdr:col>
      <xdr:colOff>303120</xdr:colOff>
      <xdr:row>15</xdr:row>
      <xdr:rowOff>70200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6129080" y="3559680"/>
          <a:ext cx="990720" cy="8730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W1936"/>
  <sheetViews>
    <sheetView showZeros="0" topLeftCell="A12" zoomScaleNormal="100" workbookViewId="0">
      <selection activeCell="K33" sqref="K33"/>
    </sheetView>
  </sheetViews>
  <sheetFormatPr defaultColWidth="9" defaultRowHeight="15.6"/>
  <cols>
    <col min="1" max="1" width="5.19921875" style="15" customWidth="1"/>
    <col min="2" max="2" width="9.69921875" style="16" customWidth="1"/>
    <col min="3" max="3" width="16.8984375" style="15" customWidth="1"/>
    <col min="4" max="4" width="17.8984375" style="15" customWidth="1"/>
    <col min="5" max="5" width="11.5" style="15" customWidth="1"/>
    <col min="6" max="6" width="7.3984375" style="15" customWidth="1"/>
    <col min="7" max="7" width="7.8984375" style="17" customWidth="1"/>
    <col min="8" max="8" width="7.8984375" style="18" customWidth="1"/>
    <col min="9" max="9" width="8.69921875" style="17" customWidth="1"/>
    <col min="10" max="10" width="16.5" style="15" customWidth="1"/>
    <col min="11" max="11" width="12.09765625" style="15" customWidth="1"/>
    <col min="12" max="12" width="8.5" style="15" customWidth="1"/>
    <col min="13" max="13" width="34.69921875" style="19" customWidth="1"/>
    <col min="14" max="14" width="12.69921875" style="15" customWidth="1"/>
    <col min="15" max="15" width="13" style="15" customWidth="1"/>
    <col min="16" max="16" width="35.19921875" style="19" customWidth="1"/>
    <col min="17" max="19" width="23.3984375" style="19" customWidth="1"/>
    <col min="20" max="20" width="6.19921875" style="15" customWidth="1"/>
    <col min="21" max="21" width="11.09765625" style="15" customWidth="1"/>
    <col min="22" max="23" width="9" style="20"/>
    <col min="24" max="16384" width="9" style="15"/>
  </cols>
  <sheetData>
    <row r="2" spans="1:23" ht="27" customHeight="1">
      <c r="A2" s="21" t="s">
        <v>0</v>
      </c>
      <c r="B2" s="22" t="s">
        <v>1</v>
      </c>
      <c r="C2" s="23" t="s">
        <v>2</v>
      </c>
      <c r="D2" s="23" t="s">
        <v>3</v>
      </c>
      <c r="E2" s="23" t="s">
        <v>4</v>
      </c>
      <c r="F2" s="23" t="s">
        <v>5</v>
      </c>
      <c r="G2" s="24" t="s">
        <v>6</v>
      </c>
      <c r="H2" s="25" t="s">
        <v>7</v>
      </c>
      <c r="I2" s="24" t="s">
        <v>8</v>
      </c>
      <c r="J2" s="23" t="s">
        <v>9</v>
      </c>
      <c r="K2" s="23" t="s">
        <v>10</v>
      </c>
      <c r="L2" s="23" t="s">
        <v>11</v>
      </c>
      <c r="M2" s="26" t="s">
        <v>12</v>
      </c>
      <c r="N2" s="23" t="s">
        <v>13</v>
      </c>
      <c r="O2" s="23" t="s">
        <v>14</v>
      </c>
      <c r="P2" s="26" t="s">
        <v>15</v>
      </c>
      <c r="Q2" s="23" t="s">
        <v>16</v>
      </c>
      <c r="R2" s="23" t="s">
        <v>17</v>
      </c>
      <c r="S2" s="23" t="s">
        <v>18</v>
      </c>
      <c r="T2" s="23" t="s">
        <v>19</v>
      </c>
      <c r="U2" s="23" t="s">
        <v>2</v>
      </c>
      <c r="V2" s="27" t="s">
        <v>6</v>
      </c>
      <c r="W2" s="27" t="s">
        <v>8</v>
      </c>
    </row>
    <row r="3" spans="1:23">
      <c r="A3" s="15">
        <f t="shared" ref="A3:A22" si="0">IF(B3&lt;&gt;"",ROW()-2,"")</f>
        <v>1</v>
      </c>
      <c r="B3" s="16">
        <v>45923</v>
      </c>
      <c r="C3" s="23" t="s">
        <v>20</v>
      </c>
      <c r="D3" s="15" t="s">
        <v>21</v>
      </c>
      <c r="F3" s="23" t="s">
        <v>22</v>
      </c>
      <c r="G3" s="17">
        <f>IFERROR(VLOOKUP(C3,$U$3:$W$19,2,),"")</f>
        <v>29000</v>
      </c>
      <c r="H3" s="18" t="s">
        <v>23</v>
      </c>
      <c r="I3" s="17">
        <f>IFERROR(VLOOKUP(C3,$U$3:$W$19,3,),"")</f>
        <v>500000</v>
      </c>
      <c r="J3" s="23" t="s">
        <v>24</v>
      </c>
      <c r="K3" s="15" t="s">
        <v>25</v>
      </c>
      <c r="L3" s="23" t="s">
        <v>26</v>
      </c>
      <c r="M3" s="26" t="s">
        <v>27</v>
      </c>
      <c r="N3" s="15" t="s">
        <v>28</v>
      </c>
      <c r="O3" s="15" t="s">
        <v>29</v>
      </c>
      <c r="P3" s="26" t="s">
        <v>30</v>
      </c>
      <c r="U3" s="15" t="s">
        <v>31</v>
      </c>
      <c r="V3" s="20">
        <v>9500</v>
      </c>
      <c r="W3" s="20">
        <v>300000</v>
      </c>
    </row>
    <row r="4" spans="1:23">
      <c r="A4" s="15">
        <f t="shared" si="0"/>
        <v>2</v>
      </c>
      <c r="B4" s="16">
        <v>45923</v>
      </c>
      <c r="C4" s="23" t="s">
        <v>20</v>
      </c>
      <c r="D4" s="15" t="s">
        <v>32</v>
      </c>
      <c r="G4" s="17" t="s">
        <v>33</v>
      </c>
      <c r="H4" s="18" t="s">
        <v>23</v>
      </c>
      <c r="I4" s="17">
        <f>IFERROR(VLOOKUP(C4,$U$3:$W$19,3,),"")</f>
        <v>500000</v>
      </c>
      <c r="J4" s="23" t="s">
        <v>34</v>
      </c>
      <c r="K4" s="15" t="s">
        <v>35</v>
      </c>
      <c r="L4" s="23" t="s">
        <v>36</v>
      </c>
      <c r="M4" s="26" t="s">
        <v>37</v>
      </c>
      <c r="N4" s="15" t="s">
        <v>38</v>
      </c>
      <c r="O4" s="15" t="s">
        <v>39</v>
      </c>
      <c r="P4" s="26" t="s">
        <v>40</v>
      </c>
      <c r="U4" s="15" t="s">
        <v>41</v>
      </c>
      <c r="V4" s="20">
        <v>10000</v>
      </c>
      <c r="W4" s="20">
        <v>300000</v>
      </c>
    </row>
    <row r="5" spans="1:23">
      <c r="A5" s="15">
        <f t="shared" si="0"/>
        <v>3</v>
      </c>
      <c r="B5" s="16">
        <v>45924</v>
      </c>
      <c r="C5" s="15" t="s">
        <v>42</v>
      </c>
      <c r="D5" s="15" t="s">
        <v>43</v>
      </c>
      <c r="F5" s="23" t="s">
        <v>22</v>
      </c>
      <c r="G5" s="17">
        <f>IFERROR(VLOOKUP(C5,$U$3:$W$19,2,),"")</f>
        <v>16500</v>
      </c>
      <c r="H5" s="18" t="s">
        <v>23</v>
      </c>
      <c r="I5" s="17">
        <f>IFERROR(VLOOKUP(C5,$U$3:$W$19,3,),"")</f>
        <v>300000</v>
      </c>
      <c r="J5" s="23" t="s">
        <v>44</v>
      </c>
      <c r="K5" s="15" t="s">
        <v>45</v>
      </c>
      <c r="L5" s="23" t="s">
        <v>46</v>
      </c>
      <c r="M5" s="26" t="s">
        <v>47</v>
      </c>
      <c r="N5" s="15" t="s">
        <v>48</v>
      </c>
      <c r="O5" s="15" t="s">
        <v>49</v>
      </c>
      <c r="P5" s="26" t="s">
        <v>50</v>
      </c>
      <c r="U5" s="15" t="s">
        <v>51</v>
      </c>
      <c r="V5" s="20">
        <v>15500</v>
      </c>
      <c r="W5" s="20">
        <v>300000</v>
      </c>
    </row>
    <row r="6" spans="1:23">
      <c r="A6" s="15">
        <f t="shared" si="0"/>
        <v>4</v>
      </c>
      <c r="B6" s="16">
        <v>45930</v>
      </c>
      <c r="C6" s="15" t="s">
        <v>52</v>
      </c>
      <c r="D6" s="15" t="s">
        <v>53</v>
      </c>
      <c r="F6" s="23" t="s">
        <v>54</v>
      </c>
      <c r="G6" s="17">
        <v>16500</v>
      </c>
      <c r="H6" s="18" t="s">
        <v>23</v>
      </c>
      <c r="I6" s="17">
        <v>300000</v>
      </c>
      <c r="J6" s="23" t="s">
        <v>55</v>
      </c>
      <c r="K6" s="15" t="s">
        <v>56</v>
      </c>
      <c r="L6" s="23" t="s">
        <v>57</v>
      </c>
      <c r="M6" s="26" t="s">
        <v>58</v>
      </c>
      <c r="N6" s="15" t="s">
        <v>59</v>
      </c>
      <c r="O6" s="15" t="s">
        <v>60</v>
      </c>
      <c r="P6" s="26" t="s">
        <v>61</v>
      </c>
      <c r="U6" s="23" t="s">
        <v>62</v>
      </c>
      <c r="V6" s="20">
        <v>21000</v>
      </c>
      <c r="W6" s="20">
        <v>300000</v>
      </c>
    </row>
    <row r="7" spans="1:23">
      <c r="A7" s="15">
        <f t="shared" si="0"/>
        <v>5</v>
      </c>
      <c r="B7" s="16">
        <v>45930</v>
      </c>
      <c r="C7" s="15" t="s">
        <v>63</v>
      </c>
      <c r="D7" s="15" t="s">
        <v>64</v>
      </c>
      <c r="F7" s="23" t="s">
        <v>22</v>
      </c>
      <c r="G7" s="17">
        <v>29500</v>
      </c>
      <c r="H7" s="18">
        <v>365</v>
      </c>
      <c r="I7" s="17">
        <f>IFERROR(VLOOKUP(C7,$U$3:$W$19,3,),"")</f>
        <v>500000</v>
      </c>
      <c r="J7" s="23" t="s">
        <v>44</v>
      </c>
      <c r="K7" s="15" t="s">
        <v>45</v>
      </c>
      <c r="L7" s="23" t="s">
        <v>46</v>
      </c>
      <c r="M7" s="26" t="s">
        <v>47</v>
      </c>
      <c r="N7" s="15" t="s">
        <v>48</v>
      </c>
      <c r="O7" s="15" t="s">
        <v>49</v>
      </c>
      <c r="P7" s="26" t="s">
        <v>50</v>
      </c>
      <c r="U7" s="15" t="s">
        <v>65</v>
      </c>
      <c r="V7" s="20">
        <v>10000</v>
      </c>
      <c r="W7" s="20">
        <v>300000</v>
      </c>
    </row>
    <row r="8" spans="1:23">
      <c r="A8" s="15">
        <f t="shared" si="0"/>
        <v>6</v>
      </c>
      <c r="B8" s="16">
        <v>45930</v>
      </c>
      <c r="C8" s="15" t="s">
        <v>63</v>
      </c>
      <c r="D8" s="15" t="s">
        <v>66</v>
      </c>
      <c r="F8" s="23" t="s">
        <v>67</v>
      </c>
      <c r="G8" s="17">
        <v>29500</v>
      </c>
      <c r="H8" s="18">
        <v>365</v>
      </c>
      <c r="I8" s="17">
        <f>IFERROR(VLOOKUP(C8,$U$3:$W$19,3,),"")</f>
        <v>500000</v>
      </c>
      <c r="J8" s="23" t="s">
        <v>44</v>
      </c>
      <c r="K8" s="15" t="s">
        <v>45</v>
      </c>
      <c r="L8" s="23" t="s">
        <v>46</v>
      </c>
      <c r="M8" s="26" t="s">
        <v>47</v>
      </c>
      <c r="N8" s="15" t="s">
        <v>48</v>
      </c>
      <c r="O8" s="15" t="s">
        <v>49</v>
      </c>
      <c r="P8" s="26" t="s">
        <v>50</v>
      </c>
      <c r="U8" s="15" t="s">
        <v>68</v>
      </c>
      <c r="V8" s="20">
        <v>16500</v>
      </c>
      <c r="W8" s="20">
        <v>300000</v>
      </c>
    </row>
    <row r="9" spans="1:23">
      <c r="A9" s="15">
        <f t="shared" si="0"/>
        <v>7</v>
      </c>
      <c r="B9" s="16">
        <v>45940</v>
      </c>
      <c r="C9" s="15" t="s">
        <v>69</v>
      </c>
      <c r="D9" s="15" t="s">
        <v>70</v>
      </c>
      <c r="F9" s="23" t="s">
        <v>22</v>
      </c>
      <c r="G9" s="17">
        <v>16500</v>
      </c>
      <c r="H9" s="18">
        <v>365</v>
      </c>
      <c r="I9" s="17">
        <v>300000</v>
      </c>
      <c r="J9" s="23" t="s">
        <v>71</v>
      </c>
      <c r="K9" s="15" t="s">
        <v>72</v>
      </c>
      <c r="L9" s="23" t="s">
        <v>73</v>
      </c>
      <c r="M9" s="26" t="s">
        <v>74</v>
      </c>
      <c r="N9" s="15" t="s">
        <v>75</v>
      </c>
      <c r="O9" s="15" t="s">
        <v>76</v>
      </c>
      <c r="P9" s="26" t="s">
        <v>77</v>
      </c>
      <c r="U9" s="15" t="s">
        <v>42</v>
      </c>
      <c r="V9" s="20">
        <v>16500</v>
      </c>
      <c r="W9" s="20">
        <v>300000</v>
      </c>
    </row>
    <row r="10" spans="1:23">
      <c r="A10" s="15">
        <f t="shared" si="0"/>
        <v>8</v>
      </c>
      <c r="B10" s="16">
        <v>45943</v>
      </c>
      <c r="C10" s="15" t="s">
        <v>69</v>
      </c>
      <c r="D10" s="15" t="s">
        <v>78</v>
      </c>
      <c r="F10" s="23" t="s">
        <v>22</v>
      </c>
      <c r="G10" s="17">
        <v>16500</v>
      </c>
      <c r="H10" s="18">
        <v>365</v>
      </c>
      <c r="I10" s="17">
        <v>300000</v>
      </c>
      <c r="J10" s="23" t="s">
        <v>79</v>
      </c>
      <c r="K10" s="15" t="s">
        <v>80</v>
      </c>
      <c r="L10" s="23" t="s">
        <v>81</v>
      </c>
      <c r="M10" s="26" t="s">
        <v>82</v>
      </c>
      <c r="N10" s="15" t="s">
        <v>83</v>
      </c>
      <c r="O10" s="15" t="s">
        <v>84</v>
      </c>
      <c r="P10" s="26" t="s">
        <v>85</v>
      </c>
      <c r="U10" s="15" t="s">
        <v>86</v>
      </c>
      <c r="V10" s="20">
        <v>21000</v>
      </c>
      <c r="W10" s="20">
        <v>300000</v>
      </c>
    </row>
    <row r="11" spans="1:23">
      <c r="A11" s="15">
        <f t="shared" si="0"/>
        <v>9</v>
      </c>
      <c r="B11" s="16">
        <v>45943</v>
      </c>
      <c r="C11" s="15" t="s">
        <v>69</v>
      </c>
      <c r="D11" s="15" t="s">
        <v>87</v>
      </c>
      <c r="F11" s="23" t="s">
        <v>54</v>
      </c>
      <c r="G11" s="17">
        <v>16500</v>
      </c>
      <c r="H11" s="18">
        <v>365</v>
      </c>
      <c r="I11" s="17">
        <v>300000</v>
      </c>
      <c r="J11" s="23" t="s">
        <v>79</v>
      </c>
      <c r="K11" s="15" t="s">
        <v>80</v>
      </c>
      <c r="L11" s="23" t="s">
        <v>81</v>
      </c>
      <c r="M11" s="26" t="s">
        <v>82</v>
      </c>
      <c r="N11" s="15" t="s">
        <v>83</v>
      </c>
      <c r="O11" s="15" t="s">
        <v>84</v>
      </c>
      <c r="P11" s="26" t="s">
        <v>85</v>
      </c>
      <c r="U11" s="23" t="s">
        <v>20</v>
      </c>
      <c r="V11" s="20">
        <v>29000</v>
      </c>
      <c r="W11" s="20">
        <v>500000</v>
      </c>
    </row>
    <row r="12" spans="1:23">
      <c r="A12" s="15">
        <f t="shared" si="0"/>
        <v>10</v>
      </c>
      <c r="B12" s="16">
        <v>45943</v>
      </c>
      <c r="C12" s="15" t="s">
        <v>69</v>
      </c>
      <c r="D12" s="15" t="s">
        <v>88</v>
      </c>
      <c r="F12" s="23" t="s">
        <v>67</v>
      </c>
      <c r="G12" s="17">
        <v>16500</v>
      </c>
      <c r="H12" s="18">
        <v>365</v>
      </c>
      <c r="I12" s="17">
        <v>300000</v>
      </c>
      <c r="J12" s="23" t="s">
        <v>89</v>
      </c>
      <c r="K12" s="15" t="s">
        <v>90</v>
      </c>
      <c r="L12" s="23" t="s">
        <v>91</v>
      </c>
      <c r="M12" s="26" t="s">
        <v>92</v>
      </c>
      <c r="N12" s="15" t="s">
        <v>93</v>
      </c>
      <c r="O12" s="15" t="s">
        <v>94</v>
      </c>
      <c r="P12" s="26" t="s">
        <v>95</v>
      </c>
      <c r="U12" s="15" t="s">
        <v>63</v>
      </c>
      <c r="V12" s="20">
        <v>29500</v>
      </c>
      <c r="W12" s="20">
        <v>500000</v>
      </c>
    </row>
    <row r="13" spans="1:23">
      <c r="A13" s="15">
        <f t="shared" si="0"/>
        <v>11</v>
      </c>
      <c r="B13" s="16">
        <v>45943</v>
      </c>
      <c r="C13" s="15" t="s">
        <v>69</v>
      </c>
      <c r="D13" s="15" t="s">
        <v>96</v>
      </c>
      <c r="F13" s="23" t="s">
        <v>97</v>
      </c>
      <c r="G13" s="17">
        <v>16500</v>
      </c>
      <c r="H13" s="18">
        <v>365</v>
      </c>
      <c r="I13" s="17">
        <v>300000</v>
      </c>
      <c r="J13" s="23" t="s">
        <v>89</v>
      </c>
      <c r="K13" s="15" t="s">
        <v>90</v>
      </c>
      <c r="L13" s="23" t="s">
        <v>91</v>
      </c>
      <c r="M13" s="26" t="s">
        <v>92</v>
      </c>
      <c r="N13" s="15" t="s">
        <v>93</v>
      </c>
      <c r="O13" s="15" t="s">
        <v>94</v>
      </c>
      <c r="P13" s="26" t="s">
        <v>95</v>
      </c>
      <c r="U13" s="15" t="s">
        <v>98</v>
      </c>
      <c r="V13" s="20">
        <v>31000</v>
      </c>
      <c r="W13" s="20">
        <v>500000</v>
      </c>
    </row>
    <row r="14" spans="1:23">
      <c r="A14" s="15">
        <f t="shared" si="0"/>
        <v>12</v>
      </c>
      <c r="B14" s="16">
        <v>45944</v>
      </c>
      <c r="C14" s="15" t="s">
        <v>69</v>
      </c>
      <c r="D14" s="15" t="s">
        <v>99</v>
      </c>
      <c r="F14" s="23" t="s">
        <v>54</v>
      </c>
      <c r="G14" s="17">
        <v>16500</v>
      </c>
      <c r="H14" s="18">
        <v>365</v>
      </c>
      <c r="I14" s="17">
        <v>300000</v>
      </c>
      <c r="J14" s="23" t="s">
        <v>100</v>
      </c>
      <c r="K14" s="15" t="s">
        <v>101</v>
      </c>
      <c r="L14" s="23" t="s">
        <v>102</v>
      </c>
      <c r="M14" s="26" t="s">
        <v>103</v>
      </c>
      <c r="N14" s="15" t="s">
        <v>104</v>
      </c>
      <c r="O14" s="15" t="s">
        <v>105</v>
      </c>
      <c r="P14" s="26" t="s">
        <v>106</v>
      </c>
      <c r="U14" s="23" t="s">
        <v>107</v>
      </c>
      <c r="V14" s="20">
        <v>25000</v>
      </c>
      <c r="W14" s="20">
        <v>500000</v>
      </c>
    </row>
    <row r="15" spans="1:23">
      <c r="A15" s="15">
        <f t="shared" si="0"/>
        <v>13</v>
      </c>
      <c r="B15" s="16">
        <v>45945</v>
      </c>
      <c r="C15" s="15" t="s">
        <v>42</v>
      </c>
      <c r="D15" s="15" t="s">
        <v>108</v>
      </c>
      <c r="F15" s="23" t="s">
        <v>22</v>
      </c>
      <c r="G15" s="17">
        <f>IFERROR(VLOOKUP(C15,$U$3:$W$19,2,),"")</f>
        <v>16500</v>
      </c>
      <c r="H15" s="18">
        <v>365</v>
      </c>
      <c r="I15" s="17">
        <f>IFERROR(VLOOKUP(C15,$U$3:$W$19,3,),"")</f>
        <v>300000</v>
      </c>
      <c r="J15" s="23" t="s">
        <v>109</v>
      </c>
      <c r="K15" s="15" t="s">
        <v>110</v>
      </c>
      <c r="L15" s="23" t="s">
        <v>111</v>
      </c>
      <c r="M15" s="26" t="s">
        <v>112</v>
      </c>
      <c r="N15" s="15" t="s">
        <v>113</v>
      </c>
      <c r="O15" s="15" t="s">
        <v>114</v>
      </c>
      <c r="P15" s="26" t="s">
        <v>112</v>
      </c>
      <c r="U15" s="23" t="s">
        <v>115</v>
      </c>
      <c r="V15" s="20">
        <v>28000</v>
      </c>
      <c r="W15" s="20">
        <v>500000</v>
      </c>
    </row>
    <row r="16" spans="1:23">
      <c r="A16" s="15">
        <f t="shared" si="0"/>
        <v>14</v>
      </c>
      <c r="B16" s="16">
        <v>45947</v>
      </c>
      <c r="C16" s="15" t="s">
        <v>69</v>
      </c>
      <c r="D16" s="15" t="s">
        <v>116</v>
      </c>
      <c r="F16" s="23" t="s">
        <v>54</v>
      </c>
      <c r="G16" s="17">
        <v>16500</v>
      </c>
      <c r="H16" s="18">
        <v>365</v>
      </c>
      <c r="I16" s="17">
        <v>300000</v>
      </c>
      <c r="J16" s="23" t="s">
        <v>89</v>
      </c>
      <c r="K16" s="15" t="s">
        <v>90</v>
      </c>
      <c r="L16" s="23" t="s">
        <v>91</v>
      </c>
      <c r="M16" s="26" t="s">
        <v>92</v>
      </c>
      <c r="N16" s="15" t="s">
        <v>93</v>
      </c>
      <c r="O16" s="15" t="s">
        <v>94</v>
      </c>
      <c r="P16" s="26" t="s">
        <v>95</v>
      </c>
      <c r="U16" s="23" t="s">
        <v>117</v>
      </c>
      <c r="V16" s="20">
        <v>29500</v>
      </c>
      <c r="W16" s="20">
        <v>500000</v>
      </c>
    </row>
    <row r="17" spans="1:23">
      <c r="A17" s="15">
        <f t="shared" si="0"/>
        <v>15</v>
      </c>
      <c r="B17" s="16">
        <v>45950</v>
      </c>
      <c r="C17" s="15" t="s">
        <v>69</v>
      </c>
      <c r="D17" s="15" t="s">
        <v>118</v>
      </c>
      <c r="F17" s="23" t="s">
        <v>54</v>
      </c>
      <c r="G17" s="17">
        <v>16500</v>
      </c>
      <c r="H17" s="18">
        <v>365</v>
      </c>
      <c r="I17" s="17">
        <v>300000</v>
      </c>
      <c r="J17" s="23" t="s">
        <v>89</v>
      </c>
      <c r="K17" s="15" t="s">
        <v>90</v>
      </c>
      <c r="L17" s="23" t="s">
        <v>91</v>
      </c>
      <c r="M17" s="26" t="s">
        <v>92</v>
      </c>
      <c r="N17" s="15" t="s">
        <v>93</v>
      </c>
      <c r="O17" s="15" t="s">
        <v>94</v>
      </c>
      <c r="P17" s="26" t="s">
        <v>95</v>
      </c>
      <c r="U17" s="23" t="s">
        <v>117</v>
      </c>
      <c r="V17" s="20">
        <v>29500</v>
      </c>
      <c r="W17" s="20">
        <v>500000</v>
      </c>
    </row>
    <row r="18" spans="1:23">
      <c r="A18" s="15">
        <f t="shared" si="0"/>
        <v>16</v>
      </c>
      <c r="B18" s="16">
        <v>45950</v>
      </c>
      <c r="C18" s="23" t="s">
        <v>20</v>
      </c>
      <c r="D18" s="15" t="s">
        <v>119</v>
      </c>
      <c r="F18" s="23" t="s">
        <v>22</v>
      </c>
      <c r="G18" s="17">
        <f>IFERROR(VLOOKUP(C18,$U$3:$W$19,2,),"")</f>
        <v>29000</v>
      </c>
      <c r="H18" s="18">
        <v>365</v>
      </c>
      <c r="I18" s="17">
        <f>IFERROR(VLOOKUP(C18,$U$3:$W$19,3,),"")</f>
        <v>500000</v>
      </c>
      <c r="J18" s="23" t="s">
        <v>120</v>
      </c>
      <c r="K18" s="15" t="s">
        <v>121</v>
      </c>
      <c r="L18" s="23" t="s">
        <v>122</v>
      </c>
      <c r="M18" s="26" t="s">
        <v>123</v>
      </c>
      <c r="N18" s="15" t="s">
        <v>124</v>
      </c>
      <c r="O18" s="15" t="s">
        <v>125</v>
      </c>
      <c r="P18" s="26" t="s">
        <v>126</v>
      </c>
      <c r="U18" s="23" t="s">
        <v>127</v>
      </c>
      <c r="V18" s="20">
        <v>58000</v>
      </c>
      <c r="W18" s="20">
        <v>500000</v>
      </c>
    </row>
    <row r="19" spans="1:23">
      <c r="A19" s="15">
        <f t="shared" si="0"/>
        <v>17</v>
      </c>
      <c r="B19" s="16">
        <v>45953</v>
      </c>
      <c r="C19" s="23" t="s">
        <v>117</v>
      </c>
      <c r="D19" s="15" t="s">
        <v>128</v>
      </c>
      <c r="F19" s="23" t="s">
        <v>97</v>
      </c>
      <c r="G19" s="17">
        <f>IFERROR(VLOOKUP(C19,$U$3:$W$19,2,),"")</f>
        <v>29500</v>
      </c>
      <c r="H19" s="18">
        <v>365</v>
      </c>
      <c r="I19" s="17">
        <f>IFERROR(VLOOKUP(C19,$U$3:$W$19,3,),"")</f>
        <v>500000</v>
      </c>
      <c r="J19" s="23" t="s">
        <v>129</v>
      </c>
      <c r="K19" s="15" t="s">
        <v>130</v>
      </c>
      <c r="L19" s="23" t="s">
        <v>131</v>
      </c>
      <c r="M19" s="26" t="s">
        <v>132</v>
      </c>
      <c r="N19" s="15" t="s">
        <v>133</v>
      </c>
      <c r="O19" s="15" t="s">
        <v>134</v>
      </c>
      <c r="P19" s="26" t="s">
        <v>132</v>
      </c>
      <c r="U19" s="15" t="s">
        <v>135</v>
      </c>
      <c r="V19" s="20">
        <v>60000</v>
      </c>
      <c r="W19" s="20">
        <v>500000</v>
      </c>
    </row>
    <row r="20" spans="1:23">
      <c r="A20" s="15">
        <f t="shared" si="0"/>
        <v>18</v>
      </c>
      <c r="B20" s="16">
        <v>45954</v>
      </c>
      <c r="C20" s="15" t="s">
        <v>69</v>
      </c>
      <c r="D20" s="15" t="s">
        <v>136</v>
      </c>
      <c r="F20" s="23" t="s">
        <v>54</v>
      </c>
      <c r="G20" s="17">
        <v>16500</v>
      </c>
      <c r="H20" s="18">
        <v>365</v>
      </c>
      <c r="I20" s="17">
        <v>300000</v>
      </c>
      <c r="J20" s="23" t="s">
        <v>137</v>
      </c>
      <c r="K20" s="15" t="s">
        <v>138</v>
      </c>
      <c r="L20" s="23" t="s">
        <v>139</v>
      </c>
      <c r="M20" s="26" t="s">
        <v>140</v>
      </c>
      <c r="N20" s="15" t="s">
        <v>141</v>
      </c>
      <c r="O20" s="15" t="s">
        <v>142</v>
      </c>
      <c r="P20" s="26" t="s">
        <v>140</v>
      </c>
      <c r="U20" s="23" t="s">
        <v>143</v>
      </c>
      <c r="V20" s="20">
        <v>12500</v>
      </c>
      <c r="W20" s="20">
        <v>300000</v>
      </c>
    </row>
    <row r="21" spans="1:23">
      <c r="A21" s="15">
        <f t="shared" si="0"/>
        <v>19</v>
      </c>
      <c r="B21" s="16">
        <v>45958</v>
      </c>
      <c r="C21" s="15" t="s">
        <v>69</v>
      </c>
      <c r="D21" s="15" t="s">
        <v>144</v>
      </c>
      <c r="F21" s="23" t="s">
        <v>54</v>
      </c>
      <c r="G21" s="17">
        <v>16500</v>
      </c>
      <c r="H21" s="18">
        <v>365</v>
      </c>
      <c r="I21" s="17">
        <v>300000</v>
      </c>
      <c r="J21" s="23" t="s">
        <v>145</v>
      </c>
      <c r="K21" s="15" t="s">
        <v>146</v>
      </c>
      <c r="L21" s="23" t="s">
        <v>147</v>
      </c>
      <c r="M21" s="26" t="s">
        <v>148</v>
      </c>
      <c r="N21" s="15" t="s">
        <v>149</v>
      </c>
      <c r="O21" s="15" t="s">
        <v>150</v>
      </c>
      <c r="P21" s="26" t="s">
        <v>151</v>
      </c>
    </row>
    <row r="22" spans="1:23">
      <c r="A22" s="15">
        <f t="shared" si="0"/>
        <v>20</v>
      </c>
      <c r="B22" s="16">
        <v>45964</v>
      </c>
      <c r="C22" s="15" t="s">
        <v>69</v>
      </c>
      <c r="D22" s="15" t="s">
        <v>152</v>
      </c>
      <c r="F22" s="23" t="s">
        <v>97</v>
      </c>
      <c r="G22" s="17">
        <v>16500</v>
      </c>
      <c r="H22" s="18">
        <v>365</v>
      </c>
      <c r="I22" s="17">
        <v>300000</v>
      </c>
      <c r="J22" s="23" t="s">
        <v>109</v>
      </c>
      <c r="K22" s="15" t="s">
        <v>110</v>
      </c>
      <c r="L22" s="23" t="s">
        <v>111</v>
      </c>
      <c r="M22" s="26" t="s">
        <v>112</v>
      </c>
      <c r="N22" s="15" t="s">
        <v>113</v>
      </c>
      <c r="O22" s="15" t="s">
        <v>114</v>
      </c>
      <c r="P22" s="26" t="s">
        <v>112</v>
      </c>
    </row>
    <row r="23" spans="1:23">
      <c r="A23" s="15">
        <v>21</v>
      </c>
      <c r="B23" s="16">
        <v>45965</v>
      </c>
      <c r="C23" s="15" t="s">
        <v>69</v>
      </c>
      <c r="D23" s="15" t="s">
        <v>153</v>
      </c>
      <c r="F23" s="23" t="s">
        <v>22</v>
      </c>
      <c r="G23" s="17">
        <v>16500</v>
      </c>
      <c r="H23" s="18">
        <v>365</v>
      </c>
      <c r="I23" s="17">
        <v>300000</v>
      </c>
      <c r="J23" s="23" t="s">
        <v>154</v>
      </c>
      <c r="K23" s="15" t="s">
        <v>155</v>
      </c>
      <c r="L23" s="23" t="s">
        <v>156</v>
      </c>
      <c r="M23" s="23" t="s">
        <v>157</v>
      </c>
      <c r="N23" s="15" t="s">
        <v>158</v>
      </c>
      <c r="O23" s="15" t="s">
        <v>159</v>
      </c>
      <c r="P23" s="26" t="s">
        <v>157</v>
      </c>
    </row>
    <row r="24" spans="1:23">
      <c r="A24" s="15">
        <f t="shared" ref="A24:A87" si="1">IF(B24&lt;&gt;"",ROW()-2,"")</f>
        <v>22</v>
      </c>
      <c r="B24" s="16">
        <v>45966</v>
      </c>
      <c r="C24" s="15" t="s">
        <v>69</v>
      </c>
      <c r="D24" s="15" t="s">
        <v>160</v>
      </c>
      <c r="F24" s="23" t="s">
        <v>22</v>
      </c>
      <c r="G24" s="17">
        <v>16500</v>
      </c>
      <c r="H24" s="18">
        <v>365</v>
      </c>
      <c r="I24" s="17">
        <v>300000</v>
      </c>
      <c r="J24" s="23" t="s">
        <v>161</v>
      </c>
      <c r="K24" s="15" t="s">
        <v>162</v>
      </c>
      <c r="L24" s="23" t="s">
        <v>163</v>
      </c>
      <c r="M24" s="26" t="s">
        <v>164</v>
      </c>
      <c r="N24" s="15" t="s">
        <v>165</v>
      </c>
      <c r="O24" s="15" t="s">
        <v>166</v>
      </c>
      <c r="P24" s="26" t="s">
        <v>164</v>
      </c>
    </row>
    <row r="25" spans="1:23">
      <c r="A25" s="15">
        <f t="shared" si="1"/>
        <v>23</v>
      </c>
      <c r="B25" s="16">
        <v>45966</v>
      </c>
      <c r="C25" s="15" t="s">
        <v>69</v>
      </c>
      <c r="D25" s="15" t="s">
        <v>167</v>
      </c>
      <c r="F25" s="23" t="s">
        <v>22</v>
      </c>
      <c r="G25" s="17">
        <v>16500</v>
      </c>
      <c r="H25" s="18">
        <v>365</v>
      </c>
      <c r="I25" s="17">
        <v>300000</v>
      </c>
      <c r="J25" s="23" t="s">
        <v>168</v>
      </c>
      <c r="K25" s="15" t="s">
        <v>169</v>
      </c>
      <c r="L25" s="23" t="s">
        <v>170</v>
      </c>
      <c r="M25" s="26" t="s">
        <v>171</v>
      </c>
      <c r="N25" s="15" t="s">
        <v>172</v>
      </c>
      <c r="O25" s="15" t="s">
        <v>173</v>
      </c>
      <c r="P25" s="26" t="s">
        <v>174</v>
      </c>
    </row>
    <row r="26" spans="1:23">
      <c r="A26" s="15">
        <f t="shared" si="1"/>
        <v>24</v>
      </c>
      <c r="B26" s="16">
        <v>45967</v>
      </c>
      <c r="C26" s="23" t="s">
        <v>20</v>
      </c>
      <c r="D26" s="15" t="s">
        <v>175</v>
      </c>
      <c r="F26" s="23" t="s">
        <v>22</v>
      </c>
      <c r="G26" s="17">
        <f>IFERROR(VLOOKUP(C26,$U$3:$W$19,2,),"")</f>
        <v>29000</v>
      </c>
      <c r="H26" s="18">
        <v>365</v>
      </c>
      <c r="I26" s="17">
        <f>IFERROR(VLOOKUP(C26,$U$3:$W$19,3,),"")</f>
        <v>500000</v>
      </c>
      <c r="J26" s="23" t="s">
        <v>129</v>
      </c>
      <c r="K26" s="15" t="s">
        <v>130</v>
      </c>
      <c r="L26" s="23" t="s">
        <v>131</v>
      </c>
      <c r="M26" s="26" t="s">
        <v>132</v>
      </c>
      <c r="N26" s="15" t="s">
        <v>133</v>
      </c>
      <c r="O26" s="15" t="s">
        <v>134</v>
      </c>
      <c r="P26" s="26" t="s">
        <v>132</v>
      </c>
    </row>
    <row r="27" spans="1:23">
      <c r="A27" s="15">
        <f t="shared" si="1"/>
        <v>25</v>
      </c>
      <c r="B27" s="16">
        <v>45968</v>
      </c>
      <c r="C27" s="23" t="s">
        <v>20</v>
      </c>
      <c r="D27" s="15" t="s">
        <v>176</v>
      </c>
      <c r="F27" s="23" t="s">
        <v>97</v>
      </c>
      <c r="G27" s="17">
        <f>IFERROR(VLOOKUP(C27,$U$3:$W$19,2,),"")</f>
        <v>29000</v>
      </c>
      <c r="H27" s="18">
        <v>365</v>
      </c>
      <c r="I27" s="17">
        <f>IFERROR(VLOOKUP(C27,$U$3:$W$19,3,),"")</f>
        <v>500000</v>
      </c>
      <c r="J27" s="23" t="s">
        <v>89</v>
      </c>
      <c r="K27" s="15" t="s">
        <v>90</v>
      </c>
      <c r="L27" s="23" t="s">
        <v>91</v>
      </c>
      <c r="M27" s="26" t="s">
        <v>92</v>
      </c>
      <c r="N27" s="15" t="s">
        <v>93</v>
      </c>
      <c r="O27" s="15" t="s">
        <v>94</v>
      </c>
      <c r="P27" s="26" t="s">
        <v>95</v>
      </c>
    </row>
    <row r="28" spans="1:23">
      <c r="A28" s="15">
        <f t="shared" si="1"/>
        <v>26</v>
      </c>
      <c r="B28" s="16">
        <v>45971</v>
      </c>
      <c r="C28" s="15" t="s">
        <v>41</v>
      </c>
      <c r="D28" s="15" t="s">
        <v>177</v>
      </c>
      <c r="F28" s="23" t="s">
        <v>178</v>
      </c>
      <c r="G28" s="17">
        <f>IFERROR(VLOOKUP(C28,$U$3:$W$19,2,),"")</f>
        <v>10000</v>
      </c>
      <c r="H28" s="18">
        <v>365</v>
      </c>
      <c r="I28" s="17">
        <f>IFERROR(VLOOKUP(C28,$U$3:$W$19,3,),"")</f>
        <v>300000</v>
      </c>
      <c r="J28" s="23" t="s">
        <v>179</v>
      </c>
      <c r="K28" s="15" t="s">
        <v>180</v>
      </c>
      <c r="L28" s="23" t="s">
        <v>181</v>
      </c>
      <c r="M28" s="26" t="s">
        <v>182</v>
      </c>
      <c r="N28" s="15" t="s">
        <v>183</v>
      </c>
      <c r="O28" s="15" t="s">
        <v>184</v>
      </c>
      <c r="P28" s="26" t="s">
        <v>185</v>
      </c>
    </row>
    <row r="29" spans="1:23">
      <c r="A29" s="15">
        <f t="shared" si="1"/>
        <v>27</v>
      </c>
      <c r="B29" s="16">
        <v>45971</v>
      </c>
      <c r="C29" s="23" t="s">
        <v>117</v>
      </c>
      <c r="D29" s="15" t="s">
        <v>186</v>
      </c>
      <c r="F29" s="23" t="s">
        <v>97</v>
      </c>
      <c r="G29" s="17">
        <v>29500</v>
      </c>
      <c r="H29" s="18">
        <v>365</v>
      </c>
      <c r="I29" s="17">
        <v>500000</v>
      </c>
      <c r="J29" s="23" t="s">
        <v>154</v>
      </c>
      <c r="K29" s="15" t="s">
        <v>155</v>
      </c>
      <c r="L29" s="23" t="s">
        <v>156</v>
      </c>
      <c r="M29" s="23" t="s">
        <v>157</v>
      </c>
      <c r="N29" s="15" t="s">
        <v>158</v>
      </c>
      <c r="O29" s="15" t="s">
        <v>159</v>
      </c>
      <c r="P29" s="26" t="s">
        <v>157</v>
      </c>
    </row>
    <row r="30" spans="1:23">
      <c r="A30" s="15">
        <f t="shared" si="1"/>
        <v>28</v>
      </c>
      <c r="B30" s="16">
        <v>45971</v>
      </c>
      <c r="C30" s="23" t="s">
        <v>20</v>
      </c>
      <c r="D30" s="15" t="s">
        <v>187</v>
      </c>
      <c r="F30" s="23" t="s">
        <v>22</v>
      </c>
      <c r="G30" s="17">
        <f>IFERROR(VLOOKUP(C30,$U$3:$W$19,2,),"")</f>
        <v>29000</v>
      </c>
      <c r="H30" s="18">
        <v>365</v>
      </c>
      <c r="I30" s="17">
        <f>IFERROR(VLOOKUP(C30,$U$3:$W$19,3,),"")</f>
        <v>500000</v>
      </c>
      <c r="J30" s="23" t="s">
        <v>109</v>
      </c>
      <c r="K30" s="15" t="s">
        <v>110</v>
      </c>
      <c r="L30" s="23" t="s">
        <v>111</v>
      </c>
      <c r="M30" s="26" t="s">
        <v>112</v>
      </c>
      <c r="N30" s="15" t="s">
        <v>113</v>
      </c>
      <c r="O30" s="15" t="s">
        <v>114</v>
      </c>
      <c r="P30" s="26" t="s">
        <v>112</v>
      </c>
    </row>
    <row r="31" spans="1:23">
      <c r="A31" s="15">
        <f t="shared" si="1"/>
        <v>29</v>
      </c>
      <c r="B31" s="16">
        <v>45973</v>
      </c>
      <c r="C31" s="15" t="s">
        <v>69</v>
      </c>
      <c r="D31" s="15" t="s">
        <v>188</v>
      </c>
      <c r="F31" s="23" t="s">
        <v>54</v>
      </c>
      <c r="G31" s="17">
        <v>16500</v>
      </c>
      <c r="H31" s="18">
        <v>365</v>
      </c>
      <c r="I31" s="17">
        <v>300000</v>
      </c>
      <c r="J31" s="23" t="s">
        <v>161</v>
      </c>
      <c r="K31" s="15" t="s">
        <v>162</v>
      </c>
      <c r="L31" s="23" t="s">
        <v>163</v>
      </c>
      <c r="M31" s="26" t="s">
        <v>164</v>
      </c>
      <c r="N31" s="15" t="s">
        <v>165</v>
      </c>
      <c r="O31" s="15" t="s">
        <v>166</v>
      </c>
      <c r="P31" s="26" t="s">
        <v>164</v>
      </c>
    </row>
    <row r="32" spans="1:23">
      <c r="A32" s="15">
        <f t="shared" si="1"/>
        <v>30</v>
      </c>
      <c r="B32" s="16">
        <v>45975</v>
      </c>
      <c r="C32" s="23" t="s">
        <v>20</v>
      </c>
      <c r="D32" s="15" t="s">
        <v>189</v>
      </c>
      <c r="F32" s="23" t="s">
        <v>22</v>
      </c>
      <c r="G32" s="17">
        <v>18000</v>
      </c>
      <c r="H32" s="18">
        <v>365</v>
      </c>
      <c r="I32" s="17">
        <f>IFERROR(VLOOKUP(C32,$U$3:$W$19,3,),"")</f>
        <v>500000</v>
      </c>
      <c r="J32" s="23" t="s">
        <v>109</v>
      </c>
      <c r="K32" s="15" t="s">
        <v>110</v>
      </c>
      <c r="L32" s="23" t="s">
        <v>111</v>
      </c>
      <c r="M32" s="26" t="s">
        <v>112</v>
      </c>
      <c r="N32" s="15" t="s">
        <v>113</v>
      </c>
      <c r="O32" s="15" t="s">
        <v>114</v>
      </c>
      <c r="P32" s="26" t="s">
        <v>112</v>
      </c>
    </row>
    <row r="33" spans="1:16">
      <c r="A33" s="15">
        <f t="shared" si="1"/>
        <v>31</v>
      </c>
      <c r="B33" s="16">
        <v>45978</v>
      </c>
      <c r="C33" s="15" t="s">
        <v>69</v>
      </c>
      <c r="D33" s="15" t="s">
        <v>190</v>
      </c>
      <c r="F33" s="23" t="s">
        <v>54</v>
      </c>
      <c r="G33" s="17">
        <v>16500</v>
      </c>
      <c r="H33" s="18">
        <v>365</v>
      </c>
      <c r="I33" s="17">
        <v>300000</v>
      </c>
      <c r="J33" s="23" t="s">
        <v>191</v>
      </c>
      <c r="K33" s="15" t="s">
        <v>192</v>
      </c>
      <c r="L33" s="23" t="s">
        <v>193</v>
      </c>
      <c r="M33" s="26" t="s">
        <v>194</v>
      </c>
      <c r="N33" s="15" t="s">
        <v>195</v>
      </c>
      <c r="O33" s="15" t="s">
        <v>196</v>
      </c>
      <c r="P33" s="26" t="s">
        <v>197</v>
      </c>
    </row>
    <row r="34" spans="1:16">
      <c r="A34" s="15">
        <f t="shared" si="1"/>
        <v>32</v>
      </c>
      <c r="B34" s="16">
        <v>45978</v>
      </c>
      <c r="C34" s="15" t="s">
        <v>42</v>
      </c>
      <c r="D34" s="15" t="s">
        <v>198</v>
      </c>
      <c r="F34" s="23" t="s">
        <v>22</v>
      </c>
      <c r="G34" s="17">
        <v>16500</v>
      </c>
      <c r="H34" s="18" t="s">
        <v>23</v>
      </c>
      <c r="I34" s="17">
        <v>300000</v>
      </c>
      <c r="J34" s="23" t="s">
        <v>44</v>
      </c>
      <c r="K34" s="15" t="s">
        <v>45</v>
      </c>
      <c r="L34" s="23" t="s">
        <v>46</v>
      </c>
      <c r="M34" s="26" t="s">
        <v>47</v>
      </c>
      <c r="N34" s="15" t="s">
        <v>48</v>
      </c>
      <c r="O34" s="15" t="s">
        <v>49</v>
      </c>
      <c r="P34" s="26" t="s">
        <v>50</v>
      </c>
    </row>
    <row r="35" spans="1:16">
      <c r="A35" s="15">
        <f t="shared" si="1"/>
        <v>33</v>
      </c>
      <c r="B35" s="16">
        <v>45978</v>
      </c>
      <c r="C35" s="23" t="s">
        <v>117</v>
      </c>
      <c r="D35" s="15" t="s">
        <v>199</v>
      </c>
      <c r="F35" s="23" t="s">
        <v>97</v>
      </c>
      <c r="G35" s="17">
        <f>IFERROR(VLOOKUP(C35,$U$3:$W$19,2,),"")</f>
        <v>29500</v>
      </c>
      <c r="H35" s="18" t="s">
        <v>23</v>
      </c>
      <c r="I35" s="28">
        <v>300000</v>
      </c>
      <c r="J35" s="23" t="s">
        <v>200</v>
      </c>
      <c r="K35" s="15" t="s">
        <v>201</v>
      </c>
      <c r="L35" s="23" t="s">
        <v>202</v>
      </c>
      <c r="M35" s="26" t="s">
        <v>203</v>
      </c>
      <c r="N35" s="15" t="s">
        <v>204</v>
      </c>
      <c r="O35" s="15" t="s">
        <v>205</v>
      </c>
      <c r="P35" s="26" t="s">
        <v>206</v>
      </c>
    </row>
    <row r="36" spans="1:16">
      <c r="A36" s="15">
        <f t="shared" si="1"/>
        <v>34</v>
      </c>
      <c r="B36" s="16">
        <v>45979</v>
      </c>
      <c r="C36" s="15" t="s">
        <v>69</v>
      </c>
      <c r="D36" s="15" t="s">
        <v>207</v>
      </c>
      <c r="F36" s="23" t="s">
        <v>54</v>
      </c>
      <c r="G36" s="17">
        <v>16500</v>
      </c>
      <c r="H36" s="18">
        <v>365</v>
      </c>
      <c r="I36" s="17">
        <v>300000</v>
      </c>
      <c r="J36" s="23" t="s">
        <v>79</v>
      </c>
      <c r="K36" s="15" t="s">
        <v>80</v>
      </c>
      <c r="L36" s="23" t="s">
        <v>81</v>
      </c>
      <c r="M36" s="26" t="s">
        <v>82</v>
      </c>
      <c r="N36" s="15" t="s">
        <v>83</v>
      </c>
      <c r="O36" s="15" t="s">
        <v>84</v>
      </c>
      <c r="P36" s="26" t="s">
        <v>85</v>
      </c>
    </row>
    <row r="37" spans="1:16">
      <c r="A37" s="15">
        <f t="shared" si="1"/>
        <v>35</v>
      </c>
      <c r="B37" s="16">
        <v>45979</v>
      </c>
      <c r="C37" s="15" t="s">
        <v>69</v>
      </c>
      <c r="D37" s="15" t="s">
        <v>208</v>
      </c>
      <c r="F37" s="23" t="s">
        <v>54</v>
      </c>
      <c r="G37" s="17">
        <v>16500</v>
      </c>
      <c r="H37" s="18">
        <v>365</v>
      </c>
      <c r="I37" s="17">
        <v>300000</v>
      </c>
      <c r="J37" s="23" t="s">
        <v>129</v>
      </c>
      <c r="K37" s="15" t="s">
        <v>130</v>
      </c>
      <c r="L37" s="23" t="s">
        <v>131</v>
      </c>
      <c r="M37" s="26" t="s">
        <v>132</v>
      </c>
      <c r="N37" s="15" t="s">
        <v>133</v>
      </c>
      <c r="O37" s="15" t="s">
        <v>134</v>
      </c>
      <c r="P37" s="26" t="s">
        <v>132</v>
      </c>
    </row>
    <row r="38" spans="1:16">
      <c r="A38" s="15">
        <f t="shared" si="1"/>
        <v>36</v>
      </c>
      <c r="B38" s="16">
        <v>45982</v>
      </c>
      <c r="C38" s="15" t="s">
        <v>69</v>
      </c>
      <c r="D38" s="15" t="s">
        <v>209</v>
      </c>
      <c r="F38" s="23" t="s">
        <v>97</v>
      </c>
      <c r="G38" s="17">
        <v>16500</v>
      </c>
      <c r="H38" s="18">
        <v>365</v>
      </c>
      <c r="I38" s="17">
        <v>300000</v>
      </c>
      <c r="J38" s="23" t="s">
        <v>100</v>
      </c>
      <c r="K38" s="15" t="s">
        <v>101</v>
      </c>
      <c r="L38" s="23" t="s">
        <v>102</v>
      </c>
      <c r="M38" s="26" t="s">
        <v>103</v>
      </c>
      <c r="N38" s="15" t="s">
        <v>104</v>
      </c>
      <c r="O38" s="15" t="s">
        <v>105</v>
      </c>
      <c r="P38" s="26" t="s">
        <v>106</v>
      </c>
    </row>
    <row r="39" spans="1:16">
      <c r="A39" s="15">
        <f t="shared" si="1"/>
        <v>37</v>
      </c>
      <c r="B39" s="16">
        <v>45986</v>
      </c>
      <c r="C39" s="23" t="s">
        <v>117</v>
      </c>
      <c r="D39" s="15" t="s">
        <v>128</v>
      </c>
      <c r="F39" s="23" t="s">
        <v>97</v>
      </c>
      <c r="G39" s="17">
        <v>28000</v>
      </c>
      <c r="H39" s="18" t="s">
        <v>23</v>
      </c>
      <c r="I39" s="17">
        <v>500000</v>
      </c>
      <c r="J39" s="23" t="s">
        <v>44</v>
      </c>
      <c r="K39" s="15" t="s">
        <v>45</v>
      </c>
      <c r="L39" s="23" t="s">
        <v>46</v>
      </c>
      <c r="M39" s="26" t="s">
        <v>47</v>
      </c>
      <c r="N39" s="15" t="s">
        <v>48</v>
      </c>
      <c r="O39" s="15" t="s">
        <v>49</v>
      </c>
      <c r="P39" s="26" t="s">
        <v>50</v>
      </c>
    </row>
    <row r="40" spans="1:16">
      <c r="A40" s="15">
        <f t="shared" si="1"/>
        <v>38</v>
      </c>
      <c r="B40" s="16">
        <v>45989</v>
      </c>
      <c r="C40" s="15" t="s">
        <v>42</v>
      </c>
      <c r="D40" s="15" t="s">
        <v>210</v>
      </c>
      <c r="F40" s="23" t="s">
        <v>22</v>
      </c>
      <c r="G40" s="17">
        <f>IFERROR(VLOOKUP(C40,$U$3:$W$19,2,),"")</f>
        <v>16500</v>
      </c>
      <c r="H40" s="18" t="s">
        <v>23</v>
      </c>
      <c r="I40" s="17">
        <f>IFERROR(VLOOKUP(C40,$U$3:$W$19,3,),"")</f>
        <v>300000</v>
      </c>
      <c r="J40" s="23" t="s">
        <v>129</v>
      </c>
      <c r="K40" s="15" t="s">
        <v>130</v>
      </c>
      <c r="L40" s="23" t="s">
        <v>131</v>
      </c>
      <c r="M40" s="26" t="s">
        <v>132</v>
      </c>
      <c r="N40" s="15" t="s">
        <v>133</v>
      </c>
      <c r="O40" s="15" t="s">
        <v>134</v>
      </c>
      <c r="P40" s="26" t="s">
        <v>132</v>
      </c>
    </row>
    <row r="41" spans="1:16">
      <c r="A41" s="15">
        <f t="shared" si="1"/>
        <v>39</v>
      </c>
      <c r="B41" s="16">
        <v>45992</v>
      </c>
      <c r="C41" s="15" t="s">
        <v>42</v>
      </c>
      <c r="D41" s="15" t="s">
        <v>211</v>
      </c>
      <c r="F41" s="23" t="s">
        <v>22</v>
      </c>
      <c r="G41" s="17">
        <f>IFERROR(VLOOKUP(C41,$U$3:$W$19,2,),"")</f>
        <v>16500</v>
      </c>
      <c r="H41" s="18" t="s">
        <v>23</v>
      </c>
      <c r="I41" s="17">
        <f>IFERROR(VLOOKUP(C41,$U$3:$W$19,3,),"")</f>
        <v>300000</v>
      </c>
      <c r="J41" s="23" t="s">
        <v>129</v>
      </c>
      <c r="K41" s="15" t="s">
        <v>130</v>
      </c>
      <c r="L41" s="23" t="s">
        <v>131</v>
      </c>
      <c r="M41" s="26" t="s">
        <v>132</v>
      </c>
      <c r="N41" s="15" t="s">
        <v>133</v>
      </c>
      <c r="O41" s="15" t="s">
        <v>134</v>
      </c>
      <c r="P41" s="26" t="s">
        <v>132</v>
      </c>
    </row>
    <row r="42" spans="1:16">
      <c r="A42" s="15">
        <f t="shared" si="1"/>
        <v>40</v>
      </c>
      <c r="B42" s="16">
        <v>45992</v>
      </c>
      <c r="C42" s="15" t="s">
        <v>69</v>
      </c>
      <c r="D42" s="15" t="s">
        <v>212</v>
      </c>
      <c r="F42" s="23" t="s">
        <v>97</v>
      </c>
      <c r="G42" s="17">
        <v>4500</v>
      </c>
      <c r="H42" s="18" t="s">
        <v>23</v>
      </c>
      <c r="I42" s="17">
        <v>300000</v>
      </c>
      <c r="J42" s="23" t="s">
        <v>179</v>
      </c>
      <c r="K42" s="15" t="s">
        <v>180</v>
      </c>
      <c r="L42" s="23" t="s">
        <v>181</v>
      </c>
      <c r="M42" s="26" t="s">
        <v>182</v>
      </c>
      <c r="N42" s="15" t="s">
        <v>183</v>
      </c>
      <c r="O42" s="15" t="s">
        <v>184</v>
      </c>
      <c r="P42" s="26" t="s">
        <v>185</v>
      </c>
    </row>
    <row r="43" spans="1:16">
      <c r="A43" s="15">
        <f t="shared" si="1"/>
        <v>41</v>
      </c>
      <c r="B43" s="16">
        <v>45993</v>
      </c>
      <c r="C43" s="15" t="s">
        <v>42</v>
      </c>
      <c r="D43" s="15" t="s">
        <v>213</v>
      </c>
      <c r="F43" s="23" t="s">
        <v>22</v>
      </c>
      <c r="G43" s="17">
        <f>IFERROR(VLOOKUP(C43,$U$3:$W$19,2,),"")</f>
        <v>16500</v>
      </c>
      <c r="H43" s="18">
        <v>365</v>
      </c>
      <c r="I43" s="17">
        <f>IFERROR(VLOOKUP(C43,$U$3:$W$19,3,),"")</f>
        <v>300000</v>
      </c>
      <c r="J43" s="23" t="s">
        <v>120</v>
      </c>
      <c r="K43" s="15" t="s">
        <v>121</v>
      </c>
      <c r="L43" s="23" t="s">
        <v>122</v>
      </c>
      <c r="M43" s="26" t="s">
        <v>123</v>
      </c>
      <c r="N43" s="15" t="s">
        <v>124</v>
      </c>
      <c r="O43" s="15" t="s">
        <v>125</v>
      </c>
      <c r="P43" s="26" t="s">
        <v>126</v>
      </c>
    </row>
    <row r="44" spans="1:16">
      <c r="A44" s="15">
        <f t="shared" si="1"/>
        <v>42</v>
      </c>
      <c r="B44" s="16">
        <v>45993</v>
      </c>
      <c r="C44" s="23" t="s">
        <v>143</v>
      </c>
      <c r="D44" s="15" t="s">
        <v>214</v>
      </c>
      <c r="F44" s="23" t="s">
        <v>215</v>
      </c>
      <c r="G44" s="17">
        <f>IFERROR(VLOOKUP(C44,$U$3:$W$30,2,),"")</f>
        <v>12500</v>
      </c>
      <c r="H44" s="18">
        <v>365</v>
      </c>
      <c r="I44" s="17">
        <f>IFERROR(VLOOKUP(C44,$U$3:$W$130,3,),"")</f>
        <v>300000</v>
      </c>
      <c r="J44" s="23" t="s">
        <v>216</v>
      </c>
      <c r="K44" s="15" t="s">
        <v>217</v>
      </c>
      <c r="L44" s="23" t="s">
        <v>218</v>
      </c>
      <c r="M44" s="23" t="s">
        <v>219</v>
      </c>
      <c r="N44" s="15" t="s">
        <v>220</v>
      </c>
      <c r="O44" s="15" t="s">
        <v>221</v>
      </c>
      <c r="P44" s="26" t="s">
        <v>222</v>
      </c>
    </row>
    <row r="45" spans="1:16">
      <c r="A45" s="15">
        <f t="shared" si="1"/>
        <v>43</v>
      </c>
      <c r="B45" s="16">
        <v>45993</v>
      </c>
      <c r="C45" s="15" t="s">
        <v>42</v>
      </c>
      <c r="D45" s="15" t="s">
        <v>223</v>
      </c>
      <c r="F45" s="23" t="s">
        <v>22</v>
      </c>
      <c r="G45" s="17">
        <f>IFERROR(VLOOKUP(C45,$U$3:$W$19,2,),"")</f>
        <v>16500</v>
      </c>
      <c r="H45" s="18" t="s">
        <v>23</v>
      </c>
      <c r="I45" s="17">
        <f>IFERROR(VLOOKUP(C45,$U$3:$W$19,3,),"")</f>
        <v>300000</v>
      </c>
      <c r="J45" s="23" t="s">
        <v>129</v>
      </c>
      <c r="K45" s="15" t="s">
        <v>130</v>
      </c>
      <c r="L45" s="23" t="s">
        <v>131</v>
      </c>
      <c r="M45" s="26" t="s">
        <v>132</v>
      </c>
      <c r="N45" s="15" t="s">
        <v>133</v>
      </c>
      <c r="O45" s="15" t="s">
        <v>134</v>
      </c>
      <c r="P45" s="26" t="s">
        <v>132</v>
      </c>
    </row>
    <row r="46" spans="1:16">
      <c r="A46" s="15">
        <f t="shared" si="1"/>
        <v>44</v>
      </c>
      <c r="B46" s="16">
        <v>46000</v>
      </c>
      <c r="C46" s="23" t="s">
        <v>224</v>
      </c>
      <c r="F46" s="23" t="s">
        <v>54</v>
      </c>
      <c r="G46" s="17">
        <v>10000</v>
      </c>
      <c r="H46" s="18" t="s">
        <v>23</v>
      </c>
      <c r="I46" s="17">
        <v>300000</v>
      </c>
      <c r="J46" s="23" t="s">
        <v>44</v>
      </c>
      <c r="K46" s="15" t="s">
        <v>45</v>
      </c>
      <c r="L46" s="23" t="s">
        <v>46</v>
      </c>
      <c r="M46" s="26" t="s">
        <v>47</v>
      </c>
      <c r="N46" s="15" t="s">
        <v>48</v>
      </c>
      <c r="O46" s="15" t="s">
        <v>49</v>
      </c>
      <c r="P46" s="26" t="s">
        <v>50</v>
      </c>
    </row>
    <row r="47" spans="1:16">
      <c r="A47" s="15" t="str">
        <f t="shared" si="1"/>
        <v/>
      </c>
      <c r="G47" s="17" t="str">
        <f t="shared" ref="G47:G110" si="2">IFERROR(VLOOKUP(C47,$U$3:$W$19,2,),"")</f>
        <v/>
      </c>
      <c r="I47" s="17" t="str">
        <f t="shared" ref="I47:I110" si="3">IFERROR(VLOOKUP(C47,$U$3:$W$19,3,),"")</f>
        <v/>
      </c>
    </row>
    <row r="48" spans="1:16">
      <c r="A48" s="15" t="str">
        <f t="shared" si="1"/>
        <v/>
      </c>
      <c r="G48" s="17" t="str">
        <f t="shared" si="2"/>
        <v/>
      </c>
      <c r="I48" s="17" t="str">
        <f t="shared" si="3"/>
        <v/>
      </c>
    </row>
    <row r="49" spans="1:9">
      <c r="A49" s="15" t="str">
        <f t="shared" si="1"/>
        <v/>
      </c>
      <c r="G49" s="17" t="str">
        <f t="shared" si="2"/>
        <v/>
      </c>
      <c r="I49" s="17" t="str">
        <f t="shared" si="3"/>
        <v/>
      </c>
    </row>
    <row r="50" spans="1:9">
      <c r="A50" s="15" t="str">
        <f t="shared" si="1"/>
        <v/>
      </c>
      <c r="G50" s="17" t="str">
        <f t="shared" si="2"/>
        <v/>
      </c>
      <c r="I50" s="17" t="str">
        <f t="shared" si="3"/>
        <v/>
      </c>
    </row>
    <row r="51" spans="1:9">
      <c r="A51" s="15" t="str">
        <f t="shared" si="1"/>
        <v/>
      </c>
      <c r="G51" s="17" t="str">
        <f t="shared" si="2"/>
        <v/>
      </c>
      <c r="I51" s="17" t="str">
        <f t="shared" si="3"/>
        <v/>
      </c>
    </row>
    <row r="52" spans="1:9">
      <c r="A52" s="15" t="str">
        <f t="shared" si="1"/>
        <v/>
      </c>
      <c r="G52" s="17" t="str">
        <f t="shared" si="2"/>
        <v/>
      </c>
      <c r="I52" s="17" t="str">
        <f t="shared" si="3"/>
        <v/>
      </c>
    </row>
    <row r="53" spans="1:9">
      <c r="A53" s="15" t="str">
        <f t="shared" si="1"/>
        <v/>
      </c>
      <c r="G53" s="17" t="str">
        <f t="shared" si="2"/>
        <v/>
      </c>
      <c r="I53" s="17" t="str">
        <f t="shared" si="3"/>
        <v/>
      </c>
    </row>
    <row r="54" spans="1:9">
      <c r="A54" s="15" t="str">
        <f t="shared" si="1"/>
        <v/>
      </c>
      <c r="G54" s="17" t="str">
        <f t="shared" si="2"/>
        <v/>
      </c>
      <c r="I54" s="17" t="str">
        <f t="shared" si="3"/>
        <v/>
      </c>
    </row>
    <row r="55" spans="1:9">
      <c r="A55" s="15" t="str">
        <f t="shared" si="1"/>
        <v/>
      </c>
      <c r="G55" s="17" t="str">
        <f t="shared" si="2"/>
        <v/>
      </c>
      <c r="I55" s="17" t="str">
        <f t="shared" si="3"/>
        <v/>
      </c>
    </row>
    <row r="56" spans="1:9">
      <c r="A56" s="15" t="str">
        <f t="shared" si="1"/>
        <v/>
      </c>
      <c r="G56" s="17" t="str">
        <f t="shared" si="2"/>
        <v/>
      </c>
      <c r="I56" s="17" t="str">
        <f t="shared" si="3"/>
        <v/>
      </c>
    </row>
    <row r="57" spans="1:9">
      <c r="A57" s="15" t="str">
        <f t="shared" si="1"/>
        <v/>
      </c>
      <c r="G57" s="17" t="str">
        <f t="shared" si="2"/>
        <v/>
      </c>
      <c r="I57" s="17" t="str">
        <f t="shared" si="3"/>
        <v/>
      </c>
    </row>
    <row r="58" spans="1:9">
      <c r="A58" s="15" t="str">
        <f t="shared" si="1"/>
        <v/>
      </c>
      <c r="G58" s="17" t="str">
        <f t="shared" si="2"/>
        <v/>
      </c>
      <c r="I58" s="17" t="str">
        <f t="shared" si="3"/>
        <v/>
      </c>
    </row>
    <row r="59" spans="1:9">
      <c r="A59" s="15" t="str">
        <f t="shared" si="1"/>
        <v/>
      </c>
      <c r="G59" s="17" t="str">
        <f t="shared" si="2"/>
        <v/>
      </c>
      <c r="I59" s="17" t="str">
        <f t="shared" si="3"/>
        <v/>
      </c>
    </row>
    <row r="60" spans="1:9">
      <c r="A60" s="15" t="str">
        <f t="shared" si="1"/>
        <v/>
      </c>
      <c r="G60" s="17" t="str">
        <f t="shared" si="2"/>
        <v/>
      </c>
      <c r="I60" s="17" t="str">
        <f t="shared" si="3"/>
        <v/>
      </c>
    </row>
    <row r="61" spans="1:9">
      <c r="A61" s="15" t="str">
        <f t="shared" si="1"/>
        <v/>
      </c>
      <c r="G61" s="17" t="str">
        <f t="shared" si="2"/>
        <v/>
      </c>
      <c r="I61" s="17" t="str">
        <f t="shared" si="3"/>
        <v/>
      </c>
    </row>
    <row r="62" spans="1:9">
      <c r="A62" s="15" t="str">
        <f t="shared" si="1"/>
        <v/>
      </c>
      <c r="G62" s="17" t="str">
        <f t="shared" si="2"/>
        <v/>
      </c>
      <c r="I62" s="17" t="str">
        <f t="shared" si="3"/>
        <v/>
      </c>
    </row>
    <row r="63" spans="1:9">
      <c r="A63" s="15" t="str">
        <f t="shared" si="1"/>
        <v/>
      </c>
      <c r="G63" s="17" t="str">
        <f t="shared" si="2"/>
        <v/>
      </c>
      <c r="I63" s="17" t="str">
        <f t="shared" si="3"/>
        <v/>
      </c>
    </row>
    <row r="64" spans="1:9">
      <c r="A64" s="15" t="str">
        <f t="shared" si="1"/>
        <v/>
      </c>
      <c r="G64" s="17" t="str">
        <f t="shared" si="2"/>
        <v/>
      </c>
      <c r="I64" s="17" t="str">
        <f t="shared" si="3"/>
        <v/>
      </c>
    </row>
    <row r="65" spans="1:9">
      <c r="A65" s="15" t="str">
        <f t="shared" si="1"/>
        <v/>
      </c>
      <c r="G65" s="17" t="str">
        <f t="shared" si="2"/>
        <v/>
      </c>
      <c r="I65" s="17" t="str">
        <f t="shared" si="3"/>
        <v/>
      </c>
    </row>
    <row r="66" spans="1:9">
      <c r="A66" s="15" t="str">
        <f t="shared" si="1"/>
        <v/>
      </c>
      <c r="G66" s="17" t="str">
        <f t="shared" si="2"/>
        <v/>
      </c>
      <c r="I66" s="17" t="str">
        <f t="shared" si="3"/>
        <v/>
      </c>
    </row>
    <row r="67" spans="1:9">
      <c r="A67" s="15" t="str">
        <f t="shared" si="1"/>
        <v/>
      </c>
      <c r="G67" s="17" t="str">
        <f t="shared" si="2"/>
        <v/>
      </c>
      <c r="I67" s="17" t="str">
        <f t="shared" si="3"/>
        <v/>
      </c>
    </row>
    <row r="68" spans="1:9">
      <c r="A68" s="15" t="str">
        <f t="shared" si="1"/>
        <v/>
      </c>
      <c r="G68" s="17" t="str">
        <f t="shared" si="2"/>
        <v/>
      </c>
      <c r="I68" s="17" t="str">
        <f t="shared" si="3"/>
        <v/>
      </c>
    </row>
    <row r="69" spans="1:9">
      <c r="A69" s="15" t="str">
        <f t="shared" si="1"/>
        <v/>
      </c>
      <c r="G69" s="17" t="str">
        <f t="shared" si="2"/>
        <v/>
      </c>
      <c r="I69" s="17" t="str">
        <f t="shared" si="3"/>
        <v/>
      </c>
    </row>
    <row r="70" spans="1:9">
      <c r="A70" s="15" t="str">
        <f t="shared" si="1"/>
        <v/>
      </c>
      <c r="G70" s="17" t="str">
        <f t="shared" si="2"/>
        <v/>
      </c>
      <c r="I70" s="17" t="str">
        <f t="shared" si="3"/>
        <v/>
      </c>
    </row>
    <row r="71" spans="1:9">
      <c r="A71" s="15" t="str">
        <f t="shared" si="1"/>
        <v/>
      </c>
      <c r="G71" s="17" t="str">
        <f t="shared" si="2"/>
        <v/>
      </c>
      <c r="I71" s="17" t="str">
        <f t="shared" si="3"/>
        <v/>
      </c>
    </row>
    <row r="72" spans="1:9">
      <c r="A72" s="15" t="str">
        <f t="shared" si="1"/>
        <v/>
      </c>
      <c r="G72" s="17" t="str">
        <f t="shared" si="2"/>
        <v/>
      </c>
      <c r="I72" s="17" t="str">
        <f t="shared" si="3"/>
        <v/>
      </c>
    </row>
    <row r="73" spans="1:9">
      <c r="A73" s="15" t="str">
        <f t="shared" si="1"/>
        <v/>
      </c>
      <c r="G73" s="17" t="str">
        <f t="shared" si="2"/>
        <v/>
      </c>
      <c r="I73" s="17" t="str">
        <f t="shared" si="3"/>
        <v/>
      </c>
    </row>
    <row r="74" spans="1:9">
      <c r="A74" s="15" t="str">
        <f t="shared" si="1"/>
        <v/>
      </c>
      <c r="G74" s="17" t="str">
        <f t="shared" si="2"/>
        <v/>
      </c>
      <c r="I74" s="17" t="str">
        <f t="shared" si="3"/>
        <v/>
      </c>
    </row>
    <row r="75" spans="1:9">
      <c r="A75" s="15" t="str">
        <f t="shared" si="1"/>
        <v/>
      </c>
      <c r="G75" s="17" t="str">
        <f t="shared" si="2"/>
        <v/>
      </c>
      <c r="I75" s="17" t="str">
        <f t="shared" si="3"/>
        <v/>
      </c>
    </row>
    <row r="76" spans="1:9">
      <c r="A76" s="15" t="str">
        <f t="shared" si="1"/>
        <v/>
      </c>
      <c r="G76" s="17" t="str">
        <f t="shared" si="2"/>
        <v/>
      </c>
      <c r="I76" s="17" t="str">
        <f t="shared" si="3"/>
        <v/>
      </c>
    </row>
    <row r="77" spans="1:9">
      <c r="A77" s="15" t="str">
        <f t="shared" si="1"/>
        <v/>
      </c>
      <c r="G77" s="17" t="str">
        <f t="shared" si="2"/>
        <v/>
      </c>
      <c r="I77" s="17" t="str">
        <f t="shared" si="3"/>
        <v/>
      </c>
    </row>
    <row r="78" spans="1:9">
      <c r="A78" s="15" t="str">
        <f t="shared" si="1"/>
        <v/>
      </c>
      <c r="G78" s="17" t="str">
        <f t="shared" si="2"/>
        <v/>
      </c>
      <c r="I78" s="17" t="str">
        <f t="shared" si="3"/>
        <v/>
      </c>
    </row>
    <row r="79" spans="1:9">
      <c r="A79" s="15" t="str">
        <f t="shared" si="1"/>
        <v/>
      </c>
      <c r="G79" s="17" t="str">
        <f t="shared" si="2"/>
        <v/>
      </c>
      <c r="I79" s="17" t="str">
        <f t="shared" si="3"/>
        <v/>
      </c>
    </row>
    <row r="80" spans="1:9">
      <c r="A80" s="15" t="str">
        <f t="shared" si="1"/>
        <v/>
      </c>
      <c r="G80" s="17" t="str">
        <f t="shared" si="2"/>
        <v/>
      </c>
      <c r="I80" s="17" t="str">
        <f t="shared" si="3"/>
        <v/>
      </c>
    </row>
    <row r="81" spans="1:9">
      <c r="A81" s="15" t="str">
        <f t="shared" si="1"/>
        <v/>
      </c>
      <c r="G81" s="17" t="str">
        <f t="shared" si="2"/>
        <v/>
      </c>
      <c r="I81" s="17" t="str">
        <f t="shared" si="3"/>
        <v/>
      </c>
    </row>
    <row r="82" spans="1:9">
      <c r="A82" s="15" t="str">
        <f t="shared" si="1"/>
        <v/>
      </c>
      <c r="G82" s="17" t="str">
        <f t="shared" si="2"/>
        <v/>
      </c>
      <c r="I82" s="17" t="str">
        <f t="shared" si="3"/>
        <v/>
      </c>
    </row>
    <row r="83" spans="1:9">
      <c r="A83" s="15" t="str">
        <f t="shared" si="1"/>
        <v/>
      </c>
      <c r="G83" s="17" t="str">
        <f t="shared" si="2"/>
        <v/>
      </c>
      <c r="I83" s="17" t="str">
        <f t="shared" si="3"/>
        <v/>
      </c>
    </row>
    <row r="84" spans="1:9">
      <c r="A84" s="15" t="str">
        <f t="shared" si="1"/>
        <v/>
      </c>
      <c r="G84" s="17" t="str">
        <f t="shared" si="2"/>
        <v/>
      </c>
      <c r="I84" s="17" t="str">
        <f t="shared" si="3"/>
        <v/>
      </c>
    </row>
    <row r="85" spans="1:9">
      <c r="A85" s="15" t="str">
        <f t="shared" si="1"/>
        <v/>
      </c>
      <c r="G85" s="17" t="str">
        <f t="shared" si="2"/>
        <v/>
      </c>
      <c r="I85" s="17" t="str">
        <f t="shared" si="3"/>
        <v/>
      </c>
    </row>
    <row r="86" spans="1:9">
      <c r="A86" s="15" t="str">
        <f t="shared" si="1"/>
        <v/>
      </c>
      <c r="G86" s="17" t="str">
        <f t="shared" si="2"/>
        <v/>
      </c>
      <c r="I86" s="17" t="str">
        <f t="shared" si="3"/>
        <v/>
      </c>
    </row>
    <row r="87" spans="1:9">
      <c r="A87" s="15" t="str">
        <f t="shared" si="1"/>
        <v/>
      </c>
      <c r="G87" s="17" t="str">
        <f t="shared" si="2"/>
        <v/>
      </c>
      <c r="I87" s="17" t="str">
        <f t="shared" si="3"/>
        <v/>
      </c>
    </row>
    <row r="88" spans="1:9">
      <c r="A88" s="15" t="str">
        <f t="shared" ref="A88:A151" si="4">IF(B88&lt;&gt;"",ROW()-2,"")</f>
        <v/>
      </c>
      <c r="G88" s="17" t="str">
        <f t="shared" si="2"/>
        <v/>
      </c>
      <c r="I88" s="17" t="str">
        <f t="shared" si="3"/>
        <v/>
      </c>
    </row>
    <row r="89" spans="1:9">
      <c r="A89" s="15" t="str">
        <f t="shared" si="4"/>
        <v/>
      </c>
      <c r="G89" s="17" t="str">
        <f t="shared" si="2"/>
        <v/>
      </c>
      <c r="I89" s="17" t="str">
        <f t="shared" si="3"/>
        <v/>
      </c>
    </row>
    <row r="90" spans="1:9">
      <c r="A90" s="15" t="str">
        <f t="shared" si="4"/>
        <v/>
      </c>
      <c r="G90" s="17" t="str">
        <f t="shared" si="2"/>
        <v/>
      </c>
      <c r="I90" s="17" t="str">
        <f t="shared" si="3"/>
        <v/>
      </c>
    </row>
    <row r="91" spans="1:9">
      <c r="A91" s="15" t="str">
        <f t="shared" si="4"/>
        <v/>
      </c>
      <c r="G91" s="17" t="str">
        <f t="shared" si="2"/>
        <v/>
      </c>
      <c r="I91" s="17" t="str">
        <f t="shared" si="3"/>
        <v/>
      </c>
    </row>
    <row r="92" spans="1:9">
      <c r="A92" s="15" t="str">
        <f t="shared" si="4"/>
        <v/>
      </c>
      <c r="G92" s="17" t="str">
        <f t="shared" si="2"/>
        <v/>
      </c>
      <c r="I92" s="17" t="str">
        <f t="shared" si="3"/>
        <v/>
      </c>
    </row>
    <row r="93" spans="1:9">
      <c r="A93" s="15" t="str">
        <f t="shared" si="4"/>
        <v/>
      </c>
      <c r="G93" s="17" t="str">
        <f t="shared" si="2"/>
        <v/>
      </c>
      <c r="I93" s="17" t="str">
        <f t="shared" si="3"/>
        <v/>
      </c>
    </row>
    <row r="94" spans="1:9">
      <c r="A94" s="15" t="str">
        <f t="shared" si="4"/>
        <v/>
      </c>
      <c r="G94" s="17" t="str">
        <f t="shared" si="2"/>
        <v/>
      </c>
      <c r="I94" s="17" t="str">
        <f t="shared" si="3"/>
        <v/>
      </c>
    </row>
    <row r="95" spans="1:9">
      <c r="A95" s="15" t="str">
        <f t="shared" si="4"/>
        <v/>
      </c>
      <c r="G95" s="17" t="str">
        <f t="shared" si="2"/>
        <v/>
      </c>
      <c r="I95" s="17" t="str">
        <f t="shared" si="3"/>
        <v/>
      </c>
    </row>
    <row r="96" spans="1:9">
      <c r="A96" s="15" t="str">
        <f t="shared" si="4"/>
        <v/>
      </c>
      <c r="G96" s="17" t="str">
        <f t="shared" si="2"/>
        <v/>
      </c>
      <c r="I96" s="17" t="str">
        <f t="shared" si="3"/>
        <v/>
      </c>
    </row>
    <row r="97" spans="1:9">
      <c r="A97" s="15" t="str">
        <f t="shared" si="4"/>
        <v/>
      </c>
      <c r="G97" s="17" t="str">
        <f t="shared" si="2"/>
        <v/>
      </c>
      <c r="I97" s="17" t="str">
        <f t="shared" si="3"/>
        <v/>
      </c>
    </row>
    <row r="98" spans="1:9">
      <c r="A98" s="15" t="str">
        <f t="shared" si="4"/>
        <v/>
      </c>
      <c r="G98" s="17" t="str">
        <f t="shared" si="2"/>
        <v/>
      </c>
      <c r="I98" s="17" t="str">
        <f t="shared" si="3"/>
        <v/>
      </c>
    </row>
    <row r="99" spans="1:9">
      <c r="A99" s="15" t="str">
        <f t="shared" si="4"/>
        <v/>
      </c>
      <c r="G99" s="17" t="str">
        <f t="shared" si="2"/>
        <v/>
      </c>
      <c r="I99" s="17" t="str">
        <f t="shared" si="3"/>
        <v/>
      </c>
    </row>
    <row r="100" spans="1:9">
      <c r="A100" s="15" t="str">
        <f t="shared" si="4"/>
        <v/>
      </c>
      <c r="G100" s="17" t="str">
        <f t="shared" si="2"/>
        <v/>
      </c>
      <c r="I100" s="17" t="str">
        <f t="shared" si="3"/>
        <v/>
      </c>
    </row>
    <row r="101" spans="1:9">
      <c r="A101" s="15" t="str">
        <f t="shared" si="4"/>
        <v/>
      </c>
      <c r="G101" s="17" t="str">
        <f t="shared" si="2"/>
        <v/>
      </c>
      <c r="I101" s="17" t="str">
        <f t="shared" si="3"/>
        <v/>
      </c>
    </row>
    <row r="102" spans="1:9">
      <c r="A102" s="15" t="str">
        <f t="shared" si="4"/>
        <v/>
      </c>
      <c r="G102" s="17" t="str">
        <f t="shared" si="2"/>
        <v/>
      </c>
      <c r="I102" s="17" t="str">
        <f t="shared" si="3"/>
        <v/>
      </c>
    </row>
    <row r="103" spans="1:9">
      <c r="A103" s="15" t="str">
        <f t="shared" si="4"/>
        <v/>
      </c>
      <c r="G103" s="17" t="str">
        <f t="shared" si="2"/>
        <v/>
      </c>
      <c r="I103" s="17" t="str">
        <f t="shared" si="3"/>
        <v/>
      </c>
    </row>
    <row r="104" spans="1:9">
      <c r="A104" s="15" t="str">
        <f t="shared" si="4"/>
        <v/>
      </c>
      <c r="G104" s="17" t="str">
        <f t="shared" si="2"/>
        <v/>
      </c>
      <c r="I104" s="17" t="str">
        <f t="shared" si="3"/>
        <v/>
      </c>
    </row>
    <row r="105" spans="1:9">
      <c r="A105" s="15" t="str">
        <f t="shared" si="4"/>
        <v/>
      </c>
      <c r="G105" s="17" t="str">
        <f t="shared" si="2"/>
        <v/>
      </c>
      <c r="I105" s="17" t="str">
        <f t="shared" si="3"/>
        <v/>
      </c>
    </row>
    <row r="106" spans="1:9">
      <c r="A106" s="15" t="str">
        <f t="shared" si="4"/>
        <v/>
      </c>
      <c r="G106" s="17" t="str">
        <f t="shared" si="2"/>
        <v/>
      </c>
      <c r="I106" s="17" t="str">
        <f t="shared" si="3"/>
        <v/>
      </c>
    </row>
    <row r="107" spans="1:9">
      <c r="A107" s="15" t="str">
        <f t="shared" si="4"/>
        <v/>
      </c>
      <c r="G107" s="17" t="str">
        <f t="shared" si="2"/>
        <v/>
      </c>
      <c r="I107" s="17" t="str">
        <f t="shared" si="3"/>
        <v/>
      </c>
    </row>
    <row r="108" spans="1:9">
      <c r="A108" s="15" t="str">
        <f t="shared" si="4"/>
        <v/>
      </c>
      <c r="G108" s="17" t="str">
        <f t="shared" si="2"/>
        <v/>
      </c>
      <c r="I108" s="17" t="str">
        <f t="shared" si="3"/>
        <v/>
      </c>
    </row>
    <row r="109" spans="1:9">
      <c r="A109" s="15" t="str">
        <f t="shared" si="4"/>
        <v/>
      </c>
      <c r="G109" s="17" t="str">
        <f t="shared" si="2"/>
        <v/>
      </c>
      <c r="I109" s="17" t="str">
        <f t="shared" si="3"/>
        <v/>
      </c>
    </row>
    <row r="110" spans="1:9">
      <c r="A110" s="15" t="str">
        <f t="shared" si="4"/>
        <v/>
      </c>
      <c r="G110" s="17" t="str">
        <f t="shared" si="2"/>
        <v/>
      </c>
      <c r="I110" s="17" t="str">
        <f t="shared" si="3"/>
        <v/>
      </c>
    </row>
    <row r="111" spans="1:9">
      <c r="A111" s="15" t="str">
        <f t="shared" si="4"/>
        <v/>
      </c>
      <c r="G111" s="17" t="str">
        <f t="shared" ref="G111:G174" si="5">IFERROR(VLOOKUP(C111,$U$3:$W$19,2,),"")</f>
        <v/>
      </c>
      <c r="I111" s="17" t="str">
        <f t="shared" ref="I111:I174" si="6">IFERROR(VLOOKUP(C111,$U$3:$W$19,3,),"")</f>
        <v/>
      </c>
    </row>
    <row r="112" spans="1:9">
      <c r="A112" s="15" t="str">
        <f t="shared" si="4"/>
        <v/>
      </c>
      <c r="G112" s="17" t="str">
        <f t="shared" si="5"/>
        <v/>
      </c>
      <c r="I112" s="17" t="str">
        <f t="shared" si="6"/>
        <v/>
      </c>
    </row>
    <row r="113" spans="1:9">
      <c r="A113" s="15" t="str">
        <f t="shared" si="4"/>
        <v/>
      </c>
      <c r="G113" s="17" t="str">
        <f t="shared" si="5"/>
        <v/>
      </c>
      <c r="I113" s="17" t="str">
        <f t="shared" si="6"/>
        <v/>
      </c>
    </row>
    <row r="114" spans="1:9">
      <c r="A114" s="15" t="str">
        <f t="shared" si="4"/>
        <v/>
      </c>
      <c r="G114" s="17" t="str">
        <f t="shared" si="5"/>
        <v/>
      </c>
      <c r="I114" s="17" t="str">
        <f t="shared" si="6"/>
        <v/>
      </c>
    </row>
    <row r="115" spans="1:9">
      <c r="A115" s="15" t="str">
        <f t="shared" si="4"/>
        <v/>
      </c>
      <c r="G115" s="17" t="str">
        <f t="shared" si="5"/>
        <v/>
      </c>
      <c r="I115" s="17" t="str">
        <f t="shared" si="6"/>
        <v/>
      </c>
    </row>
    <row r="116" spans="1:9">
      <c r="A116" s="15" t="str">
        <f t="shared" si="4"/>
        <v/>
      </c>
      <c r="G116" s="17" t="str">
        <f t="shared" si="5"/>
        <v/>
      </c>
      <c r="I116" s="17" t="str">
        <f t="shared" si="6"/>
        <v/>
      </c>
    </row>
    <row r="117" spans="1:9">
      <c r="A117" s="15" t="str">
        <f t="shared" si="4"/>
        <v/>
      </c>
      <c r="G117" s="17" t="str">
        <f t="shared" si="5"/>
        <v/>
      </c>
      <c r="I117" s="17" t="str">
        <f t="shared" si="6"/>
        <v/>
      </c>
    </row>
    <row r="118" spans="1:9">
      <c r="A118" s="15" t="str">
        <f t="shared" si="4"/>
        <v/>
      </c>
      <c r="G118" s="17" t="str">
        <f t="shared" si="5"/>
        <v/>
      </c>
      <c r="I118" s="17" t="str">
        <f t="shared" si="6"/>
        <v/>
      </c>
    </row>
    <row r="119" spans="1:9">
      <c r="A119" s="15" t="str">
        <f t="shared" si="4"/>
        <v/>
      </c>
      <c r="G119" s="17" t="str">
        <f t="shared" si="5"/>
        <v/>
      </c>
      <c r="I119" s="17" t="str">
        <f t="shared" si="6"/>
        <v/>
      </c>
    </row>
    <row r="120" spans="1:9">
      <c r="A120" s="15" t="str">
        <f t="shared" si="4"/>
        <v/>
      </c>
      <c r="G120" s="17" t="str">
        <f t="shared" si="5"/>
        <v/>
      </c>
      <c r="I120" s="17" t="str">
        <f t="shared" si="6"/>
        <v/>
      </c>
    </row>
    <row r="121" spans="1:9">
      <c r="A121" s="15" t="str">
        <f t="shared" si="4"/>
        <v/>
      </c>
      <c r="G121" s="17" t="str">
        <f t="shared" si="5"/>
        <v/>
      </c>
      <c r="I121" s="17" t="str">
        <f t="shared" si="6"/>
        <v/>
      </c>
    </row>
    <row r="122" spans="1:9">
      <c r="A122" s="15" t="str">
        <f t="shared" si="4"/>
        <v/>
      </c>
      <c r="G122" s="17" t="str">
        <f t="shared" si="5"/>
        <v/>
      </c>
      <c r="I122" s="17" t="str">
        <f t="shared" si="6"/>
        <v/>
      </c>
    </row>
    <row r="123" spans="1:9">
      <c r="A123" s="15" t="str">
        <f t="shared" si="4"/>
        <v/>
      </c>
      <c r="G123" s="17" t="str">
        <f t="shared" si="5"/>
        <v/>
      </c>
      <c r="I123" s="17" t="str">
        <f t="shared" si="6"/>
        <v/>
      </c>
    </row>
    <row r="124" spans="1:9">
      <c r="A124" s="15" t="str">
        <f t="shared" si="4"/>
        <v/>
      </c>
      <c r="G124" s="17" t="str">
        <f t="shared" si="5"/>
        <v/>
      </c>
      <c r="I124" s="17" t="str">
        <f t="shared" si="6"/>
        <v/>
      </c>
    </row>
    <row r="125" spans="1:9">
      <c r="A125" s="15" t="str">
        <f t="shared" si="4"/>
        <v/>
      </c>
      <c r="G125" s="17" t="str">
        <f t="shared" si="5"/>
        <v/>
      </c>
      <c r="I125" s="17" t="str">
        <f t="shared" si="6"/>
        <v/>
      </c>
    </row>
    <row r="126" spans="1:9">
      <c r="A126" s="15" t="str">
        <f t="shared" si="4"/>
        <v/>
      </c>
      <c r="G126" s="17" t="str">
        <f t="shared" si="5"/>
        <v/>
      </c>
      <c r="I126" s="17" t="str">
        <f t="shared" si="6"/>
        <v/>
      </c>
    </row>
    <row r="127" spans="1:9">
      <c r="A127" s="15" t="str">
        <f t="shared" si="4"/>
        <v/>
      </c>
      <c r="G127" s="17" t="str">
        <f t="shared" si="5"/>
        <v/>
      </c>
      <c r="I127" s="17" t="str">
        <f t="shared" si="6"/>
        <v/>
      </c>
    </row>
    <row r="128" spans="1:9">
      <c r="A128" s="15" t="str">
        <f t="shared" si="4"/>
        <v/>
      </c>
      <c r="G128" s="17" t="str">
        <f t="shared" si="5"/>
        <v/>
      </c>
      <c r="I128" s="17" t="str">
        <f t="shared" si="6"/>
        <v/>
      </c>
    </row>
    <row r="129" spans="1:9">
      <c r="A129" s="15" t="str">
        <f t="shared" si="4"/>
        <v/>
      </c>
      <c r="G129" s="17" t="str">
        <f t="shared" si="5"/>
        <v/>
      </c>
      <c r="I129" s="17" t="str">
        <f t="shared" si="6"/>
        <v/>
      </c>
    </row>
    <row r="130" spans="1:9">
      <c r="A130" s="15" t="str">
        <f t="shared" si="4"/>
        <v/>
      </c>
      <c r="G130" s="17" t="str">
        <f t="shared" si="5"/>
        <v/>
      </c>
      <c r="I130" s="17" t="str">
        <f t="shared" si="6"/>
        <v/>
      </c>
    </row>
    <row r="131" spans="1:9">
      <c r="A131" s="15" t="str">
        <f t="shared" si="4"/>
        <v/>
      </c>
      <c r="G131" s="17" t="str">
        <f t="shared" si="5"/>
        <v/>
      </c>
      <c r="I131" s="17" t="str">
        <f t="shared" si="6"/>
        <v/>
      </c>
    </row>
    <row r="132" spans="1:9">
      <c r="A132" s="15" t="str">
        <f t="shared" si="4"/>
        <v/>
      </c>
      <c r="G132" s="17" t="str">
        <f t="shared" si="5"/>
        <v/>
      </c>
      <c r="I132" s="17" t="str">
        <f t="shared" si="6"/>
        <v/>
      </c>
    </row>
    <row r="133" spans="1:9">
      <c r="A133" s="15" t="str">
        <f t="shared" si="4"/>
        <v/>
      </c>
      <c r="G133" s="17" t="str">
        <f t="shared" si="5"/>
        <v/>
      </c>
      <c r="I133" s="17" t="str">
        <f t="shared" si="6"/>
        <v/>
      </c>
    </row>
    <row r="134" spans="1:9">
      <c r="A134" s="15" t="str">
        <f t="shared" si="4"/>
        <v/>
      </c>
      <c r="G134" s="17" t="str">
        <f t="shared" si="5"/>
        <v/>
      </c>
      <c r="I134" s="17" t="str">
        <f t="shared" si="6"/>
        <v/>
      </c>
    </row>
    <row r="135" spans="1:9">
      <c r="A135" s="15" t="str">
        <f t="shared" si="4"/>
        <v/>
      </c>
      <c r="G135" s="17" t="str">
        <f t="shared" si="5"/>
        <v/>
      </c>
      <c r="I135" s="17" t="str">
        <f t="shared" si="6"/>
        <v/>
      </c>
    </row>
    <row r="136" spans="1:9">
      <c r="A136" s="15" t="str">
        <f t="shared" si="4"/>
        <v/>
      </c>
      <c r="G136" s="17" t="str">
        <f t="shared" si="5"/>
        <v/>
      </c>
      <c r="I136" s="17" t="str">
        <f t="shared" si="6"/>
        <v/>
      </c>
    </row>
    <row r="137" spans="1:9">
      <c r="A137" s="15" t="str">
        <f t="shared" si="4"/>
        <v/>
      </c>
      <c r="G137" s="17" t="str">
        <f t="shared" si="5"/>
        <v/>
      </c>
      <c r="I137" s="17" t="str">
        <f t="shared" si="6"/>
        <v/>
      </c>
    </row>
    <row r="138" spans="1:9">
      <c r="A138" s="15" t="str">
        <f t="shared" si="4"/>
        <v/>
      </c>
      <c r="G138" s="17" t="str">
        <f t="shared" si="5"/>
        <v/>
      </c>
      <c r="I138" s="17" t="str">
        <f t="shared" si="6"/>
        <v/>
      </c>
    </row>
    <row r="139" spans="1:9">
      <c r="A139" s="15" t="str">
        <f t="shared" si="4"/>
        <v/>
      </c>
      <c r="G139" s="17" t="str">
        <f t="shared" si="5"/>
        <v/>
      </c>
      <c r="I139" s="17" t="str">
        <f t="shared" si="6"/>
        <v/>
      </c>
    </row>
    <row r="140" spans="1:9">
      <c r="A140" s="15" t="str">
        <f t="shared" si="4"/>
        <v/>
      </c>
      <c r="G140" s="17" t="str">
        <f t="shared" si="5"/>
        <v/>
      </c>
      <c r="I140" s="17" t="str">
        <f t="shared" si="6"/>
        <v/>
      </c>
    </row>
    <row r="141" spans="1:9">
      <c r="A141" s="15" t="str">
        <f t="shared" si="4"/>
        <v/>
      </c>
      <c r="G141" s="17" t="str">
        <f t="shared" si="5"/>
        <v/>
      </c>
      <c r="I141" s="17" t="str">
        <f t="shared" si="6"/>
        <v/>
      </c>
    </row>
    <row r="142" spans="1:9">
      <c r="A142" s="15" t="str">
        <f t="shared" si="4"/>
        <v/>
      </c>
      <c r="G142" s="17" t="str">
        <f t="shared" si="5"/>
        <v/>
      </c>
      <c r="I142" s="17" t="str">
        <f t="shared" si="6"/>
        <v/>
      </c>
    </row>
    <row r="143" spans="1:9">
      <c r="A143" s="15" t="str">
        <f t="shared" si="4"/>
        <v/>
      </c>
      <c r="G143" s="17" t="str">
        <f t="shared" si="5"/>
        <v/>
      </c>
      <c r="I143" s="17" t="str">
        <f t="shared" si="6"/>
        <v/>
      </c>
    </row>
    <row r="144" spans="1:9">
      <c r="A144" s="15" t="str">
        <f t="shared" si="4"/>
        <v/>
      </c>
      <c r="G144" s="17" t="str">
        <f t="shared" si="5"/>
        <v/>
      </c>
      <c r="I144" s="17" t="str">
        <f t="shared" si="6"/>
        <v/>
      </c>
    </row>
    <row r="145" spans="1:9">
      <c r="A145" s="15" t="str">
        <f t="shared" si="4"/>
        <v/>
      </c>
      <c r="G145" s="17" t="str">
        <f t="shared" si="5"/>
        <v/>
      </c>
      <c r="I145" s="17" t="str">
        <f t="shared" si="6"/>
        <v/>
      </c>
    </row>
    <row r="146" spans="1:9">
      <c r="A146" s="15" t="str">
        <f t="shared" si="4"/>
        <v/>
      </c>
      <c r="G146" s="17" t="str">
        <f t="shared" si="5"/>
        <v/>
      </c>
      <c r="I146" s="17" t="str">
        <f t="shared" si="6"/>
        <v/>
      </c>
    </row>
    <row r="147" spans="1:9">
      <c r="A147" s="15" t="str">
        <f t="shared" si="4"/>
        <v/>
      </c>
      <c r="G147" s="17" t="str">
        <f t="shared" si="5"/>
        <v/>
      </c>
      <c r="I147" s="17" t="str">
        <f t="shared" si="6"/>
        <v/>
      </c>
    </row>
    <row r="148" spans="1:9">
      <c r="A148" s="15" t="str">
        <f t="shared" si="4"/>
        <v/>
      </c>
      <c r="G148" s="17" t="str">
        <f t="shared" si="5"/>
        <v/>
      </c>
      <c r="I148" s="17" t="str">
        <f t="shared" si="6"/>
        <v/>
      </c>
    </row>
    <row r="149" spans="1:9">
      <c r="A149" s="15" t="str">
        <f t="shared" si="4"/>
        <v/>
      </c>
      <c r="G149" s="17" t="str">
        <f t="shared" si="5"/>
        <v/>
      </c>
      <c r="I149" s="17" t="str">
        <f t="shared" si="6"/>
        <v/>
      </c>
    </row>
    <row r="150" spans="1:9">
      <c r="A150" s="15" t="str">
        <f t="shared" si="4"/>
        <v/>
      </c>
      <c r="G150" s="17" t="str">
        <f t="shared" si="5"/>
        <v/>
      </c>
      <c r="I150" s="17" t="str">
        <f t="shared" si="6"/>
        <v/>
      </c>
    </row>
    <row r="151" spans="1:9">
      <c r="A151" s="15" t="str">
        <f t="shared" si="4"/>
        <v/>
      </c>
      <c r="G151" s="17" t="str">
        <f t="shared" si="5"/>
        <v/>
      </c>
      <c r="I151" s="17" t="str">
        <f t="shared" si="6"/>
        <v/>
      </c>
    </row>
    <row r="152" spans="1:9">
      <c r="A152" s="15" t="str">
        <f t="shared" ref="A152:A215" si="7">IF(B152&lt;&gt;"",ROW()-2,"")</f>
        <v/>
      </c>
      <c r="G152" s="17" t="str">
        <f t="shared" si="5"/>
        <v/>
      </c>
      <c r="I152" s="17" t="str">
        <f t="shared" si="6"/>
        <v/>
      </c>
    </row>
    <row r="153" spans="1:9">
      <c r="A153" s="15" t="str">
        <f t="shared" si="7"/>
        <v/>
      </c>
      <c r="G153" s="17" t="str">
        <f t="shared" si="5"/>
        <v/>
      </c>
      <c r="I153" s="17" t="str">
        <f t="shared" si="6"/>
        <v/>
      </c>
    </row>
    <row r="154" spans="1:9">
      <c r="A154" s="15" t="str">
        <f t="shared" si="7"/>
        <v/>
      </c>
      <c r="G154" s="17" t="str">
        <f t="shared" si="5"/>
        <v/>
      </c>
      <c r="I154" s="17" t="str">
        <f t="shared" si="6"/>
        <v/>
      </c>
    </row>
    <row r="155" spans="1:9">
      <c r="A155" s="15" t="str">
        <f t="shared" si="7"/>
        <v/>
      </c>
      <c r="G155" s="17" t="str">
        <f t="shared" si="5"/>
        <v/>
      </c>
      <c r="I155" s="17" t="str">
        <f t="shared" si="6"/>
        <v/>
      </c>
    </row>
    <row r="156" spans="1:9">
      <c r="A156" s="15" t="str">
        <f t="shared" si="7"/>
        <v/>
      </c>
      <c r="G156" s="17" t="str">
        <f t="shared" si="5"/>
        <v/>
      </c>
      <c r="I156" s="17" t="str">
        <f t="shared" si="6"/>
        <v/>
      </c>
    </row>
    <row r="157" spans="1:9">
      <c r="A157" s="15" t="str">
        <f t="shared" si="7"/>
        <v/>
      </c>
      <c r="G157" s="17" t="str">
        <f t="shared" si="5"/>
        <v/>
      </c>
      <c r="I157" s="17" t="str">
        <f t="shared" si="6"/>
        <v/>
      </c>
    </row>
    <row r="158" spans="1:9">
      <c r="A158" s="15" t="str">
        <f t="shared" si="7"/>
        <v/>
      </c>
      <c r="G158" s="17" t="str">
        <f t="shared" si="5"/>
        <v/>
      </c>
      <c r="I158" s="17" t="str">
        <f t="shared" si="6"/>
        <v/>
      </c>
    </row>
    <row r="159" spans="1:9">
      <c r="A159" s="15" t="str">
        <f t="shared" si="7"/>
        <v/>
      </c>
      <c r="G159" s="17" t="str">
        <f t="shared" si="5"/>
        <v/>
      </c>
      <c r="I159" s="17" t="str">
        <f t="shared" si="6"/>
        <v/>
      </c>
    </row>
    <row r="160" spans="1:9">
      <c r="A160" s="15" t="str">
        <f t="shared" si="7"/>
        <v/>
      </c>
      <c r="G160" s="17" t="str">
        <f t="shared" si="5"/>
        <v/>
      </c>
      <c r="I160" s="17" t="str">
        <f t="shared" si="6"/>
        <v/>
      </c>
    </row>
    <row r="161" spans="1:9">
      <c r="A161" s="15" t="str">
        <f t="shared" si="7"/>
        <v/>
      </c>
      <c r="G161" s="17" t="str">
        <f t="shared" si="5"/>
        <v/>
      </c>
      <c r="I161" s="17" t="str">
        <f t="shared" si="6"/>
        <v/>
      </c>
    </row>
    <row r="162" spans="1:9">
      <c r="A162" s="15" t="str">
        <f t="shared" si="7"/>
        <v/>
      </c>
      <c r="G162" s="17" t="str">
        <f t="shared" si="5"/>
        <v/>
      </c>
      <c r="I162" s="17" t="str">
        <f t="shared" si="6"/>
        <v/>
      </c>
    </row>
    <row r="163" spans="1:9">
      <c r="A163" s="15" t="str">
        <f t="shared" si="7"/>
        <v/>
      </c>
      <c r="G163" s="17" t="str">
        <f t="shared" si="5"/>
        <v/>
      </c>
      <c r="I163" s="17" t="str">
        <f t="shared" si="6"/>
        <v/>
      </c>
    </row>
    <row r="164" spans="1:9">
      <c r="A164" s="15" t="str">
        <f t="shared" si="7"/>
        <v/>
      </c>
      <c r="G164" s="17" t="str">
        <f t="shared" si="5"/>
        <v/>
      </c>
      <c r="I164" s="17" t="str">
        <f t="shared" si="6"/>
        <v/>
      </c>
    </row>
    <row r="165" spans="1:9">
      <c r="A165" s="15" t="str">
        <f t="shared" si="7"/>
        <v/>
      </c>
      <c r="G165" s="17" t="str">
        <f t="shared" si="5"/>
        <v/>
      </c>
      <c r="I165" s="17" t="str">
        <f t="shared" si="6"/>
        <v/>
      </c>
    </row>
    <row r="166" spans="1:9">
      <c r="A166" s="15" t="str">
        <f t="shared" si="7"/>
        <v/>
      </c>
      <c r="G166" s="17" t="str">
        <f t="shared" si="5"/>
        <v/>
      </c>
      <c r="I166" s="17" t="str">
        <f t="shared" si="6"/>
        <v/>
      </c>
    </row>
    <row r="167" spans="1:9">
      <c r="A167" s="15" t="str">
        <f t="shared" si="7"/>
        <v/>
      </c>
      <c r="G167" s="17" t="str">
        <f t="shared" si="5"/>
        <v/>
      </c>
      <c r="I167" s="17" t="str">
        <f t="shared" si="6"/>
        <v/>
      </c>
    </row>
    <row r="168" spans="1:9">
      <c r="A168" s="15" t="str">
        <f t="shared" si="7"/>
        <v/>
      </c>
      <c r="G168" s="17" t="str">
        <f t="shared" si="5"/>
        <v/>
      </c>
      <c r="I168" s="17" t="str">
        <f t="shared" si="6"/>
        <v/>
      </c>
    </row>
    <row r="169" spans="1:9">
      <c r="A169" s="15" t="str">
        <f t="shared" si="7"/>
        <v/>
      </c>
      <c r="G169" s="17" t="str">
        <f t="shared" si="5"/>
        <v/>
      </c>
      <c r="I169" s="17" t="str">
        <f t="shared" si="6"/>
        <v/>
      </c>
    </row>
    <row r="170" spans="1:9">
      <c r="A170" s="15" t="str">
        <f t="shared" si="7"/>
        <v/>
      </c>
      <c r="G170" s="17" t="str">
        <f t="shared" si="5"/>
        <v/>
      </c>
      <c r="I170" s="17" t="str">
        <f t="shared" si="6"/>
        <v/>
      </c>
    </row>
    <row r="171" spans="1:9">
      <c r="A171" s="15" t="str">
        <f t="shared" si="7"/>
        <v/>
      </c>
      <c r="G171" s="17" t="str">
        <f t="shared" si="5"/>
        <v/>
      </c>
      <c r="I171" s="17" t="str">
        <f t="shared" si="6"/>
        <v/>
      </c>
    </row>
    <row r="172" spans="1:9">
      <c r="A172" s="15" t="str">
        <f t="shared" si="7"/>
        <v/>
      </c>
      <c r="G172" s="17" t="str">
        <f t="shared" si="5"/>
        <v/>
      </c>
      <c r="I172" s="17" t="str">
        <f t="shared" si="6"/>
        <v/>
      </c>
    </row>
    <row r="173" spans="1:9">
      <c r="A173" s="15" t="str">
        <f t="shared" si="7"/>
        <v/>
      </c>
      <c r="G173" s="17" t="str">
        <f t="shared" si="5"/>
        <v/>
      </c>
      <c r="I173" s="17" t="str">
        <f t="shared" si="6"/>
        <v/>
      </c>
    </row>
    <row r="174" spans="1:9">
      <c r="A174" s="15" t="str">
        <f t="shared" si="7"/>
        <v/>
      </c>
      <c r="G174" s="17" t="str">
        <f t="shared" si="5"/>
        <v/>
      </c>
      <c r="I174" s="17" t="str">
        <f t="shared" si="6"/>
        <v/>
      </c>
    </row>
    <row r="175" spans="1:9">
      <c r="A175" s="15" t="str">
        <f t="shared" si="7"/>
        <v/>
      </c>
      <c r="G175" s="17" t="str">
        <f t="shared" ref="G175:G238" si="8">IFERROR(VLOOKUP(C175,$U$3:$W$19,2,),"")</f>
        <v/>
      </c>
      <c r="I175" s="17" t="str">
        <f t="shared" ref="I175:I238" si="9">IFERROR(VLOOKUP(C175,$U$3:$W$19,3,),"")</f>
        <v/>
      </c>
    </row>
    <row r="176" spans="1:9">
      <c r="A176" s="15" t="str">
        <f t="shared" si="7"/>
        <v/>
      </c>
      <c r="G176" s="17" t="str">
        <f t="shared" si="8"/>
        <v/>
      </c>
      <c r="I176" s="17" t="str">
        <f t="shared" si="9"/>
        <v/>
      </c>
    </row>
    <row r="177" spans="1:9">
      <c r="A177" s="15" t="str">
        <f t="shared" si="7"/>
        <v/>
      </c>
      <c r="G177" s="17" t="str">
        <f t="shared" si="8"/>
        <v/>
      </c>
      <c r="I177" s="17" t="str">
        <f t="shared" si="9"/>
        <v/>
      </c>
    </row>
    <row r="178" spans="1:9">
      <c r="A178" s="15" t="str">
        <f t="shared" si="7"/>
        <v/>
      </c>
      <c r="G178" s="17" t="str">
        <f t="shared" si="8"/>
        <v/>
      </c>
      <c r="I178" s="17" t="str">
        <f t="shared" si="9"/>
        <v/>
      </c>
    </row>
    <row r="179" spans="1:9">
      <c r="A179" s="15" t="str">
        <f t="shared" si="7"/>
        <v/>
      </c>
      <c r="G179" s="17" t="str">
        <f t="shared" si="8"/>
        <v/>
      </c>
      <c r="I179" s="17" t="str">
        <f t="shared" si="9"/>
        <v/>
      </c>
    </row>
    <row r="180" spans="1:9">
      <c r="A180" s="15" t="str">
        <f t="shared" si="7"/>
        <v/>
      </c>
      <c r="G180" s="17" t="str">
        <f t="shared" si="8"/>
        <v/>
      </c>
      <c r="I180" s="17" t="str">
        <f t="shared" si="9"/>
        <v/>
      </c>
    </row>
    <row r="181" spans="1:9">
      <c r="A181" s="15" t="str">
        <f t="shared" si="7"/>
        <v/>
      </c>
      <c r="G181" s="17" t="str">
        <f t="shared" si="8"/>
        <v/>
      </c>
      <c r="I181" s="17" t="str">
        <f t="shared" si="9"/>
        <v/>
      </c>
    </row>
    <row r="182" spans="1:9">
      <c r="A182" s="15" t="str">
        <f t="shared" si="7"/>
        <v/>
      </c>
      <c r="G182" s="17" t="str">
        <f t="shared" si="8"/>
        <v/>
      </c>
      <c r="I182" s="17" t="str">
        <f t="shared" si="9"/>
        <v/>
      </c>
    </row>
    <row r="183" spans="1:9">
      <c r="A183" s="15" t="str">
        <f t="shared" si="7"/>
        <v/>
      </c>
      <c r="G183" s="17" t="str">
        <f t="shared" si="8"/>
        <v/>
      </c>
      <c r="I183" s="17" t="str">
        <f t="shared" si="9"/>
        <v/>
      </c>
    </row>
    <row r="184" spans="1:9">
      <c r="A184" s="15" t="str">
        <f t="shared" si="7"/>
        <v/>
      </c>
      <c r="G184" s="17" t="str">
        <f t="shared" si="8"/>
        <v/>
      </c>
      <c r="I184" s="17" t="str">
        <f t="shared" si="9"/>
        <v/>
      </c>
    </row>
    <row r="185" spans="1:9">
      <c r="A185" s="15" t="str">
        <f t="shared" si="7"/>
        <v/>
      </c>
      <c r="G185" s="17" t="str">
        <f t="shared" si="8"/>
        <v/>
      </c>
      <c r="I185" s="17" t="str">
        <f t="shared" si="9"/>
        <v/>
      </c>
    </row>
    <row r="186" spans="1:9">
      <c r="A186" s="15" t="str">
        <f t="shared" si="7"/>
        <v/>
      </c>
      <c r="G186" s="17" t="str">
        <f t="shared" si="8"/>
        <v/>
      </c>
      <c r="I186" s="17" t="str">
        <f t="shared" si="9"/>
        <v/>
      </c>
    </row>
    <row r="187" spans="1:9">
      <c r="A187" s="15" t="str">
        <f t="shared" si="7"/>
        <v/>
      </c>
      <c r="G187" s="17" t="str">
        <f t="shared" si="8"/>
        <v/>
      </c>
      <c r="I187" s="17" t="str">
        <f t="shared" si="9"/>
        <v/>
      </c>
    </row>
    <row r="188" spans="1:9">
      <c r="A188" s="15" t="str">
        <f t="shared" si="7"/>
        <v/>
      </c>
      <c r="G188" s="17" t="str">
        <f t="shared" si="8"/>
        <v/>
      </c>
      <c r="I188" s="17" t="str">
        <f t="shared" si="9"/>
        <v/>
      </c>
    </row>
    <row r="189" spans="1:9">
      <c r="A189" s="15" t="str">
        <f t="shared" si="7"/>
        <v/>
      </c>
      <c r="G189" s="17" t="str">
        <f t="shared" si="8"/>
        <v/>
      </c>
      <c r="I189" s="17" t="str">
        <f t="shared" si="9"/>
        <v/>
      </c>
    </row>
    <row r="190" spans="1:9">
      <c r="A190" s="15" t="str">
        <f t="shared" si="7"/>
        <v/>
      </c>
      <c r="G190" s="17" t="str">
        <f t="shared" si="8"/>
        <v/>
      </c>
      <c r="I190" s="17" t="str">
        <f t="shared" si="9"/>
        <v/>
      </c>
    </row>
    <row r="191" spans="1:9">
      <c r="A191" s="15" t="str">
        <f t="shared" si="7"/>
        <v/>
      </c>
      <c r="G191" s="17" t="str">
        <f t="shared" si="8"/>
        <v/>
      </c>
      <c r="I191" s="17" t="str">
        <f t="shared" si="9"/>
        <v/>
      </c>
    </row>
    <row r="192" spans="1:9">
      <c r="A192" s="15" t="str">
        <f t="shared" si="7"/>
        <v/>
      </c>
      <c r="G192" s="17" t="str">
        <f t="shared" si="8"/>
        <v/>
      </c>
      <c r="I192" s="17" t="str">
        <f t="shared" si="9"/>
        <v/>
      </c>
    </row>
    <row r="193" spans="1:9">
      <c r="A193" s="15" t="str">
        <f t="shared" si="7"/>
        <v/>
      </c>
      <c r="G193" s="17" t="str">
        <f t="shared" si="8"/>
        <v/>
      </c>
      <c r="I193" s="17" t="str">
        <f t="shared" si="9"/>
        <v/>
      </c>
    </row>
    <row r="194" spans="1:9">
      <c r="A194" s="15" t="str">
        <f t="shared" si="7"/>
        <v/>
      </c>
      <c r="G194" s="17" t="str">
        <f t="shared" si="8"/>
        <v/>
      </c>
      <c r="I194" s="17" t="str">
        <f t="shared" si="9"/>
        <v/>
      </c>
    </row>
    <row r="195" spans="1:9">
      <c r="A195" s="15" t="str">
        <f t="shared" si="7"/>
        <v/>
      </c>
      <c r="G195" s="17" t="str">
        <f t="shared" si="8"/>
        <v/>
      </c>
      <c r="I195" s="17" t="str">
        <f t="shared" si="9"/>
        <v/>
      </c>
    </row>
    <row r="196" spans="1:9">
      <c r="A196" s="15" t="str">
        <f t="shared" si="7"/>
        <v/>
      </c>
      <c r="G196" s="17" t="str">
        <f t="shared" si="8"/>
        <v/>
      </c>
      <c r="I196" s="17" t="str">
        <f t="shared" si="9"/>
        <v/>
      </c>
    </row>
    <row r="197" spans="1:9">
      <c r="A197" s="15" t="str">
        <f t="shared" si="7"/>
        <v/>
      </c>
      <c r="G197" s="17" t="str">
        <f t="shared" si="8"/>
        <v/>
      </c>
      <c r="I197" s="17" t="str">
        <f t="shared" si="9"/>
        <v/>
      </c>
    </row>
    <row r="198" spans="1:9">
      <c r="A198" s="15" t="str">
        <f t="shared" si="7"/>
        <v/>
      </c>
      <c r="G198" s="17" t="str">
        <f t="shared" si="8"/>
        <v/>
      </c>
      <c r="I198" s="17" t="str">
        <f t="shared" si="9"/>
        <v/>
      </c>
    </row>
    <row r="199" spans="1:9">
      <c r="A199" s="15" t="str">
        <f t="shared" si="7"/>
        <v/>
      </c>
      <c r="G199" s="17" t="str">
        <f t="shared" si="8"/>
        <v/>
      </c>
      <c r="I199" s="17" t="str">
        <f t="shared" si="9"/>
        <v/>
      </c>
    </row>
    <row r="200" spans="1:9">
      <c r="A200" s="15" t="str">
        <f t="shared" si="7"/>
        <v/>
      </c>
      <c r="G200" s="17" t="str">
        <f t="shared" si="8"/>
        <v/>
      </c>
      <c r="I200" s="17" t="str">
        <f t="shared" si="9"/>
        <v/>
      </c>
    </row>
    <row r="201" spans="1:9">
      <c r="A201" s="15" t="str">
        <f t="shared" si="7"/>
        <v/>
      </c>
      <c r="G201" s="17" t="str">
        <f t="shared" si="8"/>
        <v/>
      </c>
      <c r="I201" s="17" t="str">
        <f t="shared" si="9"/>
        <v/>
      </c>
    </row>
    <row r="202" spans="1:9">
      <c r="A202" s="15" t="str">
        <f t="shared" si="7"/>
        <v/>
      </c>
      <c r="G202" s="17" t="str">
        <f t="shared" si="8"/>
        <v/>
      </c>
      <c r="I202" s="17" t="str">
        <f t="shared" si="9"/>
        <v/>
      </c>
    </row>
    <row r="203" spans="1:9">
      <c r="A203" s="15" t="str">
        <f t="shared" si="7"/>
        <v/>
      </c>
      <c r="G203" s="17" t="str">
        <f t="shared" si="8"/>
        <v/>
      </c>
      <c r="I203" s="17" t="str">
        <f t="shared" si="9"/>
        <v/>
      </c>
    </row>
    <row r="204" spans="1:9">
      <c r="A204" s="15" t="str">
        <f t="shared" si="7"/>
        <v/>
      </c>
      <c r="G204" s="17" t="str">
        <f t="shared" si="8"/>
        <v/>
      </c>
      <c r="I204" s="17" t="str">
        <f t="shared" si="9"/>
        <v/>
      </c>
    </row>
    <row r="205" spans="1:9">
      <c r="A205" s="15" t="str">
        <f t="shared" si="7"/>
        <v/>
      </c>
      <c r="G205" s="17" t="str">
        <f t="shared" si="8"/>
        <v/>
      </c>
      <c r="I205" s="17" t="str">
        <f t="shared" si="9"/>
        <v/>
      </c>
    </row>
    <row r="206" spans="1:9">
      <c r="A206" s="15" t="str">
        <f t="shared" si="7"/>
        <v/>
      </c>
      <c r="G206" s="17" t="str">
        <f t="shared" si="8"/>
        <v/>
      </c>
      <c r="I206" s="17" t="str">
        <f t="shared" si="9"/>
        <v/>
      </c>
    </row>
    <row r="207" spans="1:9">
      <c r="A207" s="15" t="str">
        <f t="shared" si="7"/>
        <v/>
      </c>
      <c r="G207" s="17" t="str">
        <f t="shared" si="8"/>
        <v/>
      </c>
      <c r="I207" s="17" t="str">
        <f t="shared" si="9"/>
        <v/>
      </c>
    </row>
    <row r="208" spans="1:9">
      <c r="A208" s="15" t="str">
        <f t="shared" si="7"/>
        <v/>
      </c>
      <c r="G208" s="17" t="str">
        <f t="shared" si="8"/>
        <v/>
      </c>
      <c r="I208" s="17" t="str">
        <f t="shared" si="9"/>
        <v/>
      </c>
    </row>
    <row r="209" spans="1:9">
      <c r="A209" s="15" t="str">
        <f t="shared" si="7"/>
        <v/>
      </c>
      <c r="G209" s="17" t="str">
        <f t="shared" si="8"/>
        <v/>
      </c>
      <c r="I209" s="17" t="str">
        <f t="shared" si="9"/>
        <v/>
      </c>
    </row>
    <row r="210" spans="1:9">
      <c r="A210" s="15" t="str">
        <f t="shared" si="7"/>
        <v/>
      </c>
      <c r="G210" s="17" t="str">
        <f t="shared" si="8"/>
        <v/>
      </c>
      <c r="I210" s="17" t="str">
        <f t="shared" si="9"/>
        <v/>
      </c>
    </row>
    <row r="211" spans="1:9">
      <c r="A211" s="15" t="str">
        <f t="shared" si="7"/>
        <v/>
      </c>
      <c r="G211" s="17" t="str">
        <f t="shared" si="8"/>
        <v/>
      </c>
      <c r="I211" s="17" t="str">
        <f t="shared" si="9"/>
        <v/>
      </c>
    </row>
    <row r="212" spans="1:9">
      <c r="A212" s="15" t="str">
        <f t="shared" si="7"/>
        <v/>
      </c>
      <c r="G212" s="17" t="str">
        <f t="shared" si="8"/>
        <v/>
      </c>
      <c r="I212" s="17" t="str">
        <f t="shared" si="9"/>
        <v/>
      </c>
    </row>
    <row r="213" spans="1:9">
      <c r="A213" s="15" t="str">
        <f t="shared" si="7"/>
        <v/>
      </c>
      <c r="G213" s="17" t="str">
        <f t="shared" si="8"/>
        <v/>
      </c>
      <c r="I213" s="17" t="str">
        <f t="shared" si="9"/>
        <v/>
      </c>
    </row>
    <row r="214" spans="1:9">
      <c r="A214" s="15" t="str">
        <f t="shared" si="7"/>
        <v/>
      </c>
      <c r="G214" s="17" t="str">
        <f t="shared" si="8"/>
        <v/>
      </c>
      <c r="I214" s="17" t="str">
        <f t="shared" si="9"/>
        <v/>
      </c>
    </row>
    <row r="215" spans="1:9">
      <c r="A215" s="15" t="str">
        <f t="shared" si="7"/>
        <v/>
      </c>
      <c r="G215" s="17" t="str">
        <f t="shared" si="8"/>
        <v/>
      </c>
      <c r="I215" s="17" t="str">
        <f t="shared" si="9"/>
        <v/>
      </c>
    </row>
    <row r="216" spans="1:9">
      <c r="A216" s="15" t="str">
        <f t="shared" ref="A216:A279" si="10">IF(B216&lt;&gt;"",ROW()-2,"")</f>
        <v/>
      </c>
      <c r="G216" s="17" t="str">
        <f t="shared" si="8"/>
        <v/>
      </c>
      <c r="I216" s="17" t="str">
        <f t="shared" si="9"/>
        <v/>
      </c>
    </row>
    <row r="217" spans="1:9">
      <c r="A217" s="15" t="str">
        <f t="shared" si="10"/>
        <v/>
      </c>
      <c r="G217" s="17" t="str">
        <f t="shared" si="8"/>
        <v/>
      </c>
      <c r="I217" s="17" t="str">
        <f t="shared" si="9"/>
        <v/>
      </c>
    </row>
    <row r="218" spans="1:9">
      <c r="A218" s="15" t="str">
        <f t="shared" si="10"/>
        <v/>
      </c>
      <c r="G218" s="17" t="str">
        <f t="shared" si="8"/>
        <v/>
      </c>
      <c r="I218" s="17" t="str">
        <f t="shared" si="9"/>
        <v/>
      </c>
    </row>
    <row r="219" spans="1:9">
      <c r="A219" s="15" t="str">
        <f t="shared" si="10"/>
        <v/>
      </c>
      <c r="G219" s="17" t="str">
        <f t="shared" si="8"/>
        <v/>
      </c>
      <c r="I219" s="17" t="str">
        <f t="shared" si="9"/>
        <v/>
      </c>
    </row>
    <row r="220" spans="1:9">
      <c r="A220" s="15" t="str">
        <f t="shared" si="10"/>
        <v/>
      </c>
      <c r="G220" s="17" t="str">
        <f t="shared" si="8"/>
        <v/>
      </c>
      <c r="I220" s="17" t="str">
        <f t="shared" si="9"/>
        <v/>
      </c>
    </row>
    <row r="221" spans="1:9">
      <c r="A221" s="15" t="str">
        <f t="shared" si="10"/>
        <v/>
      </c>
      <c r="G221" s="17" t="str">
        <f t="shared" si="8"/>
        <v/>
      </c>
      <c r="I221" s="17" t="str">
        <f t="shared" si="9"/>
        <v/>
      </c>
    </row>
    <row r="222" spans="1:9">
      <c r="A222" s="15" t="str">
        <f t="shared" si="10"/>
        <v/>
      </c>
      <c r="G222" s="17" t="str">
        <f t="shared" si="8"/>
        <v/>
      </c>
      <c r="I222" s="17" t="str">
        <f t="shared" si="9"/>
        <v/>
      </c>
    </row>
    <row r="223" spans="1:9">
      <c r="A223" s="15" t="str">
        <f t="shared" si="10"/>
        <v/>
      </c>
      <c r="G223" s="17" t="str">
        <f t="shared" si="8"/>
        <v/>
      </c>
      <c r="I223" s="17" t="str">
        <f t="shared" si="9"/>
        <v/>
      </c>
    </row>
    <row r="224" spans="1:9">
      <c r="A224" s="15" t="str">
        <f t="shared" si="10"/>
        <v/>
      </c>
      <c r="G224" s="17" t="str">
        <f t="shared" si="8"/>
        <v/>
      </c>
      <c r="I224" s="17" t="str">
        <f t="shared" si="9"/>
        <v/>
      </c>
    </row>
    <row r="225" spans="1:9">
      <c r="A225" s="15" t="str">
        <f t="shared" si="10"/>
        <v/>
      </c>
      <c r="G225" s="17" t="str">
        <f t="shared" si="8"/>
        <v/>
      </c>
      <c r="I225" s="17" t="str">
        <f t="shared" si="9"/>
        <v/>
      </c>
    </row>
    <row r="226" spans="1:9">
      <c r="A226" s="15" t="str">
        <f t="shared" si="10"/>
        <v/>
      </c>
      <c r="G226" s="17" t="str">
        <f t="shared" si="8"/>
        <v/>
      </c>
      <c r="I226" s="17" t="str">
        <f t="shared" si="9"/>
        <v/>
      </c>
    </row>
    <row r="227" spans="1:9">
      <c r="A227" s="15" t="str">
        <f t="shared" si="10"/>
        <v/>
      </c>
      <c r="G227" s="17" t="str">
        <f t="shared" si="8"/>
        <v/>
      </c>
      <c r="I227" s="17" t="str">
        <f t="shared" si="9"/>
        <v/>
      </c>
    </row>
    <row r="228" spans="1:9">
      <c r="A228" s="15" t="str">
        <f t="shared" si="10"/>
        <v/>
      </c>
      <c r="G228" s="17" t="str">
        <f t="shared" si="8"/>
        <v/>
      </c>
      <c r="I228" s="17" t="str">
        <f t="shared" si="9"/>
        <v/>
      </c>
    </row>
    <row r="229" spans="1:9">
      <c r="A229" s="15" t="str">
        <f t="shared" si="10"/>
        <v/>
      </c>
      <c r="G229" s="17" t="str">
        <f t="shared" si="8"/>
        <v/>
      </c>
      <c r="I229" s="17" t="str">
        <f t="shared" si="9"/>
        <v/>
      </c>
    </row>
    <row r="230" spans="1:9">
      <c r="A230" s="15" t="str">
        <f t="shared" si="10"/>
        <v/>
      </c>
      <c r="G230" s="17" t="str">
        <f t="shared" si="8"/>
        <v/>
      </c>
      <c r="I230" s="17" t="str">
        <f t="shared" si="9"/>
        <v/>
      </c>
    </row>
    <row r="231" spans="1:9">
      <c r="A231" s="15" t="str">
        <f t="shared" si="10"/>
        <v/>
      </c>
      <c r="G231" s="17" t="str">
        <f t="shared" si="8"/>
        <v/>
      </c>
      <c r="I231" s="17" t="str">
        <f t="shared" si="9"/>
        <v/>
      </c>
    </row>
    <row r="232" spans="1:9">
      <c r="A232" s="15" t="str">
        <f t="shared" si="10"/>
        <v/>
      </c>
      <c r="G232" s="17" t="str">
        <f t="shared" si="8"/>
        <v/>
      </c>
      <c r="I232" s="17" t="str">
        <f t="shared" si="9"/>
        <v/>
      </c>
    </row>
    <row r="233" spans="1:9">
      <c r="A233" s="15" t="str">
        <f t="shared" si="10"/>
        <v/>
      </c>
      <c r="G233" s="17" t="str">
        <f t="shared" si="8"/>
        <v/>
      </c>
      <c r="I233" s="17" t="str">
        <f t="shared" si="9"/>
        <v/>
      </c>
    </row>
    <row r="234" spans="1:9">
      <c r="A234" s="15" t="str">
        <f t="shared" si="10"/>
        <v/>
      </c>
      <c r="G234" s="17" t="str">
        <f t="shared" si="8"/>
        <v/>
      </c>
      <c r="I234" s="17" t="str">
        <f t="shared" si="9"/>
        <v/>
      </c>
    </row>
    <row r="235" spans="1:9">
      <c r="A235" s="15" t="str">
        <f t="shared" si="10"/>
        <v/>
      </c>
      <c r="G235" s="17" t="str">
        <f t="shared" si="8"/>
        <v/>
      </c>
      <c r="I235" s="17" t="str">
        <f t="shared" si="9"/>
        <v/>
      </c>
    </row>
    <row r="236" spans="1:9">
      <c r="A236" s="15" t="str">
        <f t="shared" si="10"/>
        <v/>
      </c>
      <c r="G236" s="17" t="str">
        <f t="shared" si="8"/>
        <v/>
      </c>
      <c r="I236" s="17" t="str">
        <f t="shared" si="9"/>
        <v/>
      </c>
    </row>
    <row r="237" spans="1:9">
      <c r="A237" s="15" t="str">
        <f t="shared" si="10"/>
        <v/>
      </c>
      <c r="G237" s="17" t="str">
        <f t="shared" si="8"/>
        <v/>
      </c>
      <c r="I237" s="17" t="str">
        <f t="shared" si="9"/>
        <v/>
      </c>
    </row>
    <row r="238" spans="1:9">
      <c r="A238" s="15" t="str">
        <f t="shared" si="10"/>
        <v/>
      </c>
      <c r="G238" s="17" t="str">
        <f t="shared" si="8"/>
        <v/>
      </c>
      <c r="I238" s="17" t="str">
        <f t="shared" si="9"/>
        <v/>
      </c>
    </row>
    <row r="239" spans="1:9">
      <c r="A239" s="15" t="str">
        <f t="shared" si="10"/>
        <v/>
      </c>
      <c r="G239" s="17" t="str">
        <f t="shared" ref="G239:G302" si="11">IFERROR(VLOOKUP(C239,$U$3:$W$19,2,),"")</f>
        <v/>
      </c>
      <c r="I239" s="17" t="str">
        <f t="shared" ref="I239:I302" si="12">IFERROR(VLOOKUP(C239,$U$3:$W$19,3,),"")</f>
        <v/>
      </c>
    </row>
    <row r="240" spans="1:9">
      <c r="A240" s="15" t="str">
        <f t="shared" si="10"/>
        <v/>
      </c>
      <c r="G240" s="17" t="str">
        <f t="shared" si="11"/>
        <v/>
      </c>
      <c r="I240" s="17" t="str">
        <f t="shared" si="12"/>
        <v/>
      </c>
    </row>
    <row r="241" spans="1:9">
      <c r="A241" s="15" t="str">
        <f t="shared" si="10"/>
        <v/>
      </c>
      <c r="G241" s="17" t="str">
        <f t="shared" si="11"/>
        <v/>
      </c>
      <c r="I241" s="17" t="str">
        <f t="shared" si="12"/>
        <v/>
      </c>
    </row>
    <row r="242" spans="1:9">
      <c r="A242" s="15" t="str">
        <f t="shared" si="10"/>
        <v/>
      </c>
      <c r="G242" s="17" t="str">
        <f t="shared" si="11"/>
        <v/>
      </c>
      <c r="I242" s="17" t="str">
        <f t="shared" si="12"/>
        <v/>
      </c>
    </row>
    <row r="243" spans="1:9">
      <c r="A243" s="15" t="str">
        <f t="shared" si="10"/>
        <v/>
      </c>
      <c r="G243" s="17" t="str">
        <f t="shared" si="11"/>
        <v/>
      </c>
      <c r="I243" s="17" t="str">
        <f t="shared" si="12"/>
        <v/>
      </c>
    </row>
    <row r="244" spans="1:9">
      <c r="A244" s="15" t="str">
        <f t="shared" si="10"/>
        <v/>
      </c>
      <c r="G244" s="17" t="str">
        <f t="shared" si="11"/>
        <v/>
      </c>
      <c r="I244" s="17" t="str">
        <f t="shared" si="12"/>
        <v/>
      </c>
    </row>
    <row r="245" spans="1:9">
      <c r="A245" s="15" t="str">
        <f t="shared" si="10"/>
        <v/>
      </c>
      <c r="G245" s="17" t="str">
        <f t="shared" si="11"/>
        <v/>
      </c>
      <c r="I245" s="17" t="str">
        <f t="shared" si="12"/>
        <v/>
      </c>
    </row>
    <row r="246" spans="1:9">
      <c r="A246" s="15" t="str">
        <f t="shared" si="10"/>
        <v/>
      </c>
      <c r="G246" s="17" t="str">
        <f t="shared" si="11"/>
        <v/>
      </c>
      <c r="I246" s="17" t="str">
        <f t="shared" si="12"/>
        <v/>
      </c>
    </row>
    <row r="247" spans="1:9">
      <c r="A247" s="15" t="str">
        <f t="shared" si="10"/>
        <v/>
      </c>
      <c r="G247" s="17" t="str">
        <f t="shared" si="11"/>
        <v/>
      </c>
      <c r="I247" s="17" t="str">
        <f t="shared" si="12"/>
        <v/>
      </c>
    </row>
    <row r="248" spans="1:9">
      <c r="A248" s="15" t="str">
        <f t="shared" si="10"/>
        <v/>
      </c>
      <c r="G248" s="17" t="str">
        <f t="shared" si="11"/>
        <v/>
      </c>
      <c r="I248" s="17" t="str">
        <f t="shared" si="12"/>
        <v/>
      </c>
    </row>
    <row r="249" spans="1:9">
      <c r="A249" s="15" t="str">
        <f t="shared" si="10"/>
        <v/>
      </c>
      <c r="G249" s="17" t="str">
        <f t="shared" si="11"/>
        <v/>
      </c>
      <c r="I249" s="17" t="str">
        <f t="shared" si="12"/>
        <v/>
      </c>
    </row>
    <row r="250" spans="1:9">
      <c r="A250" s="15" t="str">
        <f t="shared" si="10"/>
        <v/>
      </c>
      <c r="G250" s="17" t="str">
        <f t="shared" si="11"/>
        <v/>
      </c>
      <c r="I250" s="17" t="str">
        <f t="shared" si="12"/>
        <v/>
      </c>
    </row>
    <row r="251" spans="1:9">
      <c r="A251" s="15" t="str">
        <f t="shared" si="10"/>
        <v/>
      </c>
      <c r="G251" s="17" t="str">
        <f t="shared" si="11"/>
        <v/>
      </c>
      <c r="I251" s="17" t="str">
        <f t="shared" si="12"/>
        <v/>
      </c>
    </row>
    <row r="252" spans="1:9">
      <c r="A252" s="15" t="str">
        <f t="shared" si="10"/>
        <v/>
      </c>
      <c r="G252" s="17" t="str">
        <f t="shared" si="11"/>
        <v/>
      </c>
      <c r="I252" s="17" t="str">
        <f t="shared" si="12"/>
        <v/>
      </c>
    </row>
    <row r="253" spans="1:9">
      <c r="A253" s="15" t="str">
        <f t="shared" si="10"/>
        <v/>
      </c>
      <c r="G253" s="17" t="str">
        <f t="shared" si="11"/>
        <v/>
      </c>
      <c r="I253" s="17" t="str">
        <f t="shared" si="12"/>
        <v/>
      </c>
    </row>
    <row r="254" spans="1:9">
      <c r="A254" s="15" t="str">
        <f t="shared" si="10"/>
        <v/>
      </c>
      <c r="G254" s="17" t="str">
        <f t="shared" si="11"/>
        <v/>
      </c>
      <c r="I254" s="17" t="str">
        <f t="shared" si="12"/>
        <v/>
      </c>
    </row>
    <row r="255" spans="1:9">
      <c r="A255" s="15" t="str">
        <f t="shared" si="10"/>
        <v/>
      </c>
      <c r="G255" s="17" t="str">
        <f t="shared" si="11"/>
        <v/>
      </c>
      <c r="I255" s="17" t="str">
        <f t="shared" si="12"/>
        <v/>
      </c>
    </row>
    <row r="256" spans="1:9">
      <c r="A256" s="15" t="str">
        <f t="shared" si="10"/>
        <v/>
      </c>
      <c r="G256" s="17" t="str">
        <f t="shared" si="11"/>
        <v/>
      </c>
      <c r="I256" s="17" t="str">
        <f t="shared" si="12"/>
        <v/>
      </c>
    </row>
    <row r="257" spans="1:9">
      <c r="A257" s="15" t="str">
        <f t="shared" si="10"/>
        <v/>
      </c>
      <c r="G257" s="17" t="str">
        <f t="shared" si="11"/>
        <v/>
      </c>
      <c r="I257" s="17" t="str">
        <f t="shared" si="12"/>
        <v/>
      </c>
    </row>
    <row r="258" spans="1:9">
      <c r="A258" s="15" t="str">
        <f t="shared" si="10"/>
        <v/>
      </c>
      <c r="G258" s="17" t="str">
        <f t="shared" si="11"/>
        <v/>
      </c>
      <c r="I258" s="17" t="str">
        <f t="shared" si="12"/>
        <v/>
      </c>
    </row>
    <row r="259" spans="1:9">
      <c r="A259" s="15" t="str">
        <f t="shared" si="10"/>
        <v/>
      </c>
      <c r="G259" s="17" t="str">
        <f t="shared" si="11"/>
        <v/>
      </c>
      <c r="I259" s="17" t="str">
        <f t="shared" si="12"/>
        <v/>
      </c>
    </row>
    <row r="260" spans="1:9">
      <c r="A260" s="15" t="str">
        <f t="shared" si="10"/>
        <v/>
      </c>
      <c r="G260" s="17" t="str">
        <f t="shared" si="11"/>
        <v/>
      </c>
      <c r="I260" s="17" t="str">
        <f t="shared" si="12"/>
        <v/>
      </c>
    </row>
    <row r="261" spans="1:9">
      <c r="A261" s="15" t="str">
        <f t="shared" si="10"/>
        <v/>
      </c>
      <c r="G261" s="17" t="str">
        <f t="shared" si="11"/>
        <v/>
      </c>
      <c r="I261" s="17" t="str">
        <f t="shared" si="12"/>
        <v/>
      </c>
    </row>
    <row r="262" spans="1:9">
      <c r="A262" s="15" t="str">
        <f t="shared" si="10"/>
        <v/>
      </c>
      <c r="G262" s="17" t="str">
        <f t="shared" si="11"/>
        <v/>
      </c>
      <c r="I262" s="17" t="str">
        <f t="shared" si="12"/>
        <v/>
      </c>
    </row>
    <row r="263" spans="1:9">
      <c r="A263" s="15" t="str">
        <f t="shared" si="10"/>
        <v/>
      </c>
      <c r="G263" s="17" t="str">
        <f t="shared" si="11"/>
        <v/>
      </c>
      <c r="I263" s="17" t="str">
        <f t="shared" si="12"/>
        <v/>
      </c>
    </row>
    <row r="264" spans="1:9">
      <c r="A264" s="15" t="str">
        <f t="shared" si="10"/>
        <v/>
      </c>
      <c r="G264" s="17" t="str">
        <f t="shared" si="11"/>
        <v/>
      </c>
      <c r="I264" s="17" t="str">
        <f t="shared" si="12"/>
        <v/>
      </c>
    </row>
    <row r="265" spans="1:9">
      <c r="A265" s="15" t="str">
        <f t="shared" si="10"/>
        <v/>
      </c>
      <c r="G265" s="17" t="str">
        <f t="shared" si="11"/>
        <v/>
      </c>
      <c r="I265" s="17" t="str">
        <f t="shared" si="12"/>
        <v/>
      </c>
    </row>
    <row r="266" spans="1:9">
      <c r="A266" s="15" t="str">
        <f t="shared" si="10"/>
        <v/>
      </c>
      <c r="G266" s="17" t="str">
        <f t="shared" si="11"/>
        <v/>
      </c>
      <c r="I266" s="17" t="str">
        <f t="shared" si="12"/>
        <v/>
      </c>
    </row>
    <row r="267" spans="1:9">
      <c r="A267" s="15" t="str">
        <f t="shared" si="10"/>
        <v/>
      </c>
      <c r="G267" s="17" t="str">
        <f t="shared" si="11"/>
        <v/>
      </c>
      <c r="I267" s="17" t="str">
        <f t="shared" si="12"/>
        <v/>
      </c>
    </row>
    <row r="268" spans="1:9">
      <c r="A268" s="15" t="str">
        <f t="shared" si="10"/>
        <v/>
      </c>
      <c r="G268" s="17" t="str">
        <f t="shared" si="11"/>
        <v/>
      </c>
      <c r="I268" s="17" t="str">
        <f t="shared" si="12"/>
        <v/>
      </c>
    </row>
    <row r="269" spans="1:9">
      <c r="A269" s="15" t="str">
        <f t="shared" si="10"/>
        <v/>
      </c>
      <c r="G269" s="17" t="str">
        <f t="shared" si="11"/>
        <v/>
      </c>
      <c r="I269" s="17" t="str">
        <f t="shared" si="12"/>
        <v/>
      </c>
    </row>
    <row r="270" spans="1:9">
      <c r="A270" s="15" t="str">
        <f t="shared" si="10"/>
        <v/>
      </c>
      <c r="G270" s="17" t="str">
        <f t="shared" si="11"/>
        <v/>
      </c>
      <c r="I270" s="17" t="str">
        <f t="shared" si="12"/>
        <v/>
      </c>
    </row>
    <row r="271" spans="1:9">
      <c r="A271" s="15" t="str">
        <f t="shared" si="10"/>
        <v/>
      </c>
      <c r="G271" s="17" t="str">
        <f t="shared" si="11"/>
        <v/>
      </c>
      <c r="I271" s="17" t="str">
        <f t="shared" si="12"/>
        <v/>
      </c>
    </row>
    <row r="272" spans="1:9">
      <c r="A272" s="15" t="str">
        <f t="shared" si="10"/>
        <v/>
      </c>
      <c r="G272" s="17" t="str">
        <f t="shared" si="11"/>
        <v/>
      </c>
      <c r="I272" s="17" t="str">
        <f t="shared" si="12"/>
        <v/>
      </c>
    </row>
    <row r="273" spans="1:9">
      <c r="A273" s="15" t="str">
        <f t="shared" si="10"/>
        <v/>
      </c>
      <c r="G273" s="17" t="str">
        <f t="shared" si="11"/>
        <v/>
      </c>
      <c r="I273" s="17" t="str">
        <f t="shared" si="12"/>
        <v/>
      </c>
    </row>
    <row r="274" spans="1:9">
      <c r="A274" s="15" t="str">
        <f t="shared" si="10"/>
        <v/>
      </c>
      <c r="G274" s="17" t="str">
        <f t="shared" si="11"/>
        <v/>
      </c>
      <c r="I274" s="17" t="str">
        <f t="shared" si="12"/>
        <v/>
      </c>
    </row>
    <row r="275" spans="1:9">
      <c r="A275" s="15" t="str">
        <f t="shared" si="10"/>
        <v/>
      </c>
      <c r="G275" s="17" t="str">
        <f t="shared" si="11"/>
        <v/>
      </c>
      <c r="I275" s="17" t="str">
        <f t="shared" si="12"/>
        <v/>
      </c>
    </row>
    <row r="276" spans="1:9">
      <c r="A276" s="15" t="str">
        <f t="shared" si="10"/>
        <v/>
      </c>
      <c r="G276" s="17" t="str">
        <f t="shared" si="11"/>
        <v/>
      </c>
      <c r="I276" s="17" t="str">
        <f t="shared" si="12"/>
        <v/>
      </c>
    </row>
    <row r="277" spans="1:9">
      <c r="A277" s="15" t="str">
        <f t="shared" si="10"/>
        <v/>
      </c>
      <c r="G277" s="17" t="str">
        <f t="shared" si="11"/>
        <v/>
      </c>
      <c r="I277" s="17" t="str">
        <f t="shared" si="12"/>
        <v/>
      </c>
    </row>
    <row r="278" spans="1:9">
      <c r="A278" s="15" t="str">
        <f t="shared" si="10"/>
        <v/>
      </c>
      <c r="G278" s="17" t="str">
        <f t="shared" si="11"/>
        <v/>
      </c>
      <c r="I278" s="17" t="str">
        <f t="shared" si="12"/>
        <v/>
      </c>
    </row>
    <row r="279" spans="1:9">
      <c r="A279" s="15" t="str">
        <f t="shared" si="10"/>
        <v/>
      </c>
      <c r="G279" s="17" t="str">
        <f t="shared" si="11"/>
        <v/>
      </c>
      <c r="I279" s="17" t="str">
        <f t="shared" si="12"/>
        <v/>
      </c>
    </row>
    <row r="280" spans="1:9">
      <c r="A280" s="15" t="str">
        <f t="shared" ref="A280:A343" si="13">IF(B280&lt;&gt;"",ROW()-2,"")</f>
        <v/>
      </c>
      <c r="G280" s="17" t="str">
        <f t="shared" si="11"/>
        <v/>
      </c>
      <c r="I280" s="17" t="str">
        <f t="shared" si="12"/>
        <v/>
      </c>
    </row>
    <row r="281" spans="1:9">
      <c r="A281" s="15" t="str">
        <f t="shared" si="13"/>
        <v/>
      </c>
      <c r="G281" s="17" t="str">
        <f t="shared" si="11"/>
        <v/>
      </c>
      <c r="I281" s="17" t="str">
        <f t="shared" si="12"/>
        <v/>
      </c>
    </row>
    <row r="282" spans="1:9">
      <c r="A282" s="15" t="str">
        <f t="shared" si="13"/>
        <v/>
      </c>
      <c r="G282" s="17" t="str">
        <f t="shared" si="11"/>
        <v/>
      </c>
      <c r="I282" s="17" t="str">
        <f t="shared" si="12"/>
        <v/>
      </c>
    </row>
    <row r="283" spans="1:9">
      <c r="A283" s="15" t="str">
        <f t="shared" si="13"/>
        <v/>
      </c>
      <c r="G283" s="17" t="str">
        <f t="shared" si="11"/>
        <v/>
      </c>
      <c r="I283" s="17" t="str">
        <f t="shared" si="12"/>
        <v/>
      </c>
    </row>
    <row r="284" spans="1:9">
      <c r="A284" s="15" t="str">
        <f t="shared" si="13"/>
        <v/>
      </c>
      <c r="G284" s="17" t="str">
        <f t="shared" si="11"/>
        <v/>
      </c>
      <c r="I284" s="17" t="str">
        <f t="shared" si="12"/>
        <v/>
      </c>
    </row>
    <row r="285" spans="1:9">
      <c r="A285" s="15" t="str">
        <f t="shared" si="13"/>
        <v/>
      </c>
      <c r="G285" s="17" t="str">
        <f t="shared" si="11"/>
        <v/>
      </c>
      <c r="I285" s="17" t="str">
        <f t="shared" si="12"/>
        <v/>
      </c>
    </row>
    <row r="286" spans="1:9">
      <c r="A286" s="15" t="str">
        <f t="shared" si="13"/>
        <v/>
      </c>
      <c r="G286" s="17" t="str">
        <f t="shared" si="11"/>
        <v/>
      </c>
      <c r="I286" s="17" t="str">
        <f t="shared" si="12"/>
        <v/>
      </c>
    </row>
    <row r="287" spans="1:9">
      <c r="A287" s="15" t="str">
        <f t="shared" si="13"/>
        <v/>
      </c>
      <c r="G287" s="17" t="str">
        <f t="shared" si="11"/>
        <v/>
      </c>
      <c r="I287" s="17" t="str">
        <f t="shared" si="12"/>
        <v/>
      </c>
    </row>
    <row r="288" spans="1:9">
      <c r="A288" s="15" t="str">
        <f t="shared" si="13"/>
        <v/>
      </c>
      <c r="G288" s="17" t="str">
        <f t="shared" si="11"/>
        <v/>
      </c>
      <c r="I288" s="17" t="str">
        <f t="shared" si="12"/>
        <v/>
      </c>
    </row>
    <row r="289" spans="1:9">
      <c r="A289" s="15" t="str">
        <f t="shared" si="13"/>
        <v/>
      </c>
      <c r="G289" s="17" t="str">
        <f t="shared" si="11"/>
        <v/>
      </c>
      <c r="I289" s="17" t="str">
        <f t="shared" si="12"/>
        <v/>
      </c>
    </row>
    <row r="290" spans="1:9">
      <c r="A290" s="15" t="str">
        <f t="shared" si="13"/>
        <v/>
      </c>
      <c r="G290" s="17" t="str">
        <f t="shared" si="11"/>
        <v/>
      </c>
      <c r="I290" s="17" t="str">
        <f t="shared" si="12"/>
        <v/>
      </c>
    </row>
    <row r="291" spans="1:9">
      <c r="A291" s="15" t="str">
        <f t="shared" si="13"/>
        <v/>
      </c>
      <c r="G291" s="17" t="str">
        <f t="shared" si="11"/>
        <v/>
      </c>
      <c r="I291" s="17" t="str">
        <f t="shared" si="12"/>
        <v/>
      </c>
    </row>
    <row r="292" spans="1:9">
      <c r="A292" s="15" t="str">
        <f t="shared" si="13"/>
        <v/>
      </c>
      <c r="G292" s="17" t="str">
        <f t="shared" si="11"/>
        <v/>
      </c>
      <c r="I292" s="17" t="str">
        <f t="shared" si="12"/>
        <v/>
      </c>
    </row>
    <row r="293" spans="1:9">
      <c r="A293" s="15" t="str">
        <f t="shared" si="13"/>
        <v/>
      </c>
      <c r="G293" s="17" t="str">
        <f t="shared" si="11"/>
        <v/>
      </c>
      <c r="I293" s="17" t="str">
        <f t="shared" si="12"/>
        <v/>
      </c>
    </row>
    <row r="294" spans="1:9">
      <c r="A294" s="15" t="str">
        <f t="shared" si="13"/>
        <v/>
      </c>
      <c r="G294" s="17" t="str">
        <f t="shared" si="11"/>
        <v/>
      </c>
      <c r="I294" s="17" t="str">
        <f t="shared" si="12"/>
        <v/>
      </c>
    </row>
    <row r="295" spans="1:9">
      <c r="A295" s="15" t="str">
        <f t="shared" si="13"/>
        <v/>
      </c>
      <c r="G295" s="17" t="str">
        <f t="shared" si="11"/>
        <v/>
      </c>
      <c r="I295" s="17" t="str">
        <f t="shared" si="12"/>
        <v/>
      </c>
    </row>
    <row r="296" spans="1:9">
      <c r="A296" s="15" t="str">
        <f t="shared" si="13"/>
        <v/>
      </c>
      <c r="G296" s="17" t="str">
        <f t="shared" si="11"/>
        <v/>
      </c>
      <c r="I296" s="17" t="str">
        <f t="shared" si="12"/>
        <v/>
      </c>
    </row>
    <row r="297" spans="1:9">
      <c r="A297" s="15" t="str">
        <f t="shared" si="13"/>
        <v/>
      </c>
      <c r="G297" s="17" t="str">
        <f t="shared" si="11"/>
        <v/>
      </c>
      <c r="I297" s="17" t="str">
        <f t="shared" si="12"/>
        <v/>
      </c>
    </row>
    <row r="298" spans="1:9">
      <c r="A298" s="15" t="str">
        <f t="shared" si="13"/>
        <v/>
      </c>
      <c r="G298" s="17" t="str">
        <f t="shared" si="11"/>
        <v/>
      </c>
      <c r="I298" s="17" t="str">
        <f t="shared" si="12"/>
        <v/>
      </c>
    </row>
    <row r="299" spans="1:9">
      <c r="A299" s="15" t="str">
        <f t="shared" si="13"/>
        <v/>
      </c>
      <c r="G299" s="17" t="str">
        <f t="shared" si="11"/>
        <v/>
      </c>
      <c r="I299" s="17" t="str">
        <f t="shared" si="12"/>
        <v/>
      </c>
    </row>
    <row r="300" spans="1:9">
      <c r="A300" s="15" t="str">
        <f t="shared" si="13"/>
        <v/>
      </c>
      <c r="G300" s="17" t="str">
        <f t="shared" si="11"/>
        <v/>
      </c>
      <c r="I300" s="17" t="str">
        <f t="shared" si="12"/>
        <v/>
      </c>
    </row>
    <row r="301" spans="1:9">
      <c r="A301" s="15" t="str">
        <f t="shared" si="13"/>
        <v/>
      </c>
      <c r="G301" s="17" t="str">
        <f t="shared" si="11"/>
        <v/>
      </c>
      <c r="I301" s="17" t="str">
        <f t="shared" si="12"/>
        <v/>
      </c>
    </row>
    <row r="302" spans="1:9">
      <c r="A302" s="15" t="str">
        <f t="shared" si="13"/>
        <v/>
      </c>
      <c r="G302" s="17" t="str">
        <f t="shared" si="11"/>
        <v/>
      </c>
      <c r="I302" s="17" t="str">
        <f t="shared" si="12"/>
        <v/>
      </c>
    </row>
    <row r="303" spans="1:9">
      <c r="A303" s="15" t="str">
        <f t="shared" si="13"/>
        <v/>
      </c>
      <c r="G303" s="17" t="str">
        <f t="shared" ref="G303:G366" si="14">IFERROR(VLOOKUP(C303,$U$3:$W$19,2,),"")</f>
        <v/>
      </c>
      <c r="I303" s="17" t="str">
        <f t="shared" ref="I303:I366" si="15">IFERROR(VLOOKUP(C303,$U$3:$W$19,3,),"")</f>
        <v/>
      </c>
    </row>
    <row r="304" spans="1:9">
      <c r="A304" s="15" t="str">
        <f t="shared" si="13"/>
        <v/>
      </c>
      <c r="G304" s="17" t="str">
        <f t="shared" si="14"/>
        <v/>
      </c>
      <c r="I304" s="17" t="str">
        <f t="shared" si="15"/>
        <v/>
      </c>
    </row>
    <row r="305" spans="1:9">
      <c r="A305" s="15" t="str">
        <f t="shared" si="13"/>
        <v/>
      </c>
      <c r="G305" s="17" t="str">
        <f t="shared" si="14"/>
        <v/>
      </c>
      <c r="I305" s="17" t="str">
        <f t="shared" si="15"/>
        <v/>
      </c>
    </row>
    <row r="306" spans="1:9">
      <c r="A306" s="15" t="str">
        <f t="shared" si="13"/>
        <v/>
      </c>
      <c r="G306" s="17" t="str">
        <f t="shared" si="14"/>
        <v/>
      </c>
      <c r="I306" s="17" t="str">
        <f t="shared" si="15"/>
        <v/>
      </c>
    </row>
    <row r="307" spans="1:9">
      <c r="A307" s="15" t="str">
        <f t="shared" si="13"/>
        <v/>
      </c>
      <c r="G307" s="17" t="str">
        <f t="shared" si="14"/>
        <v/>
      </c>
      <c r="I307" s="17" t="str">
        <f t="shared" si="15"/>
        <v/>
      </c>
    </row>
    <row r="308" spans="1:9">
      <c r="A308" s="15" t="str">
        <f t="shared" si="13"/>
        <v/>
      </c>
      <c r="G308" s="17" t="str">
        <f t="shared" si="14"/>
        <v/>
      </c>
      <c r="I308" s="17" t="str">
        <f t="shared" si="15"/>
        <v/>
      </c>
    </row>
    <row r="309" spans="1:9">
      <c r="A309" s="15" t="str">
        <f t="shared" si="13"/>
        <v/>
      </c>
      <c r="G309" s="17" t="str">
        <f t="shared" si="14"/>
        <v/>
      </c>
      <c r="I309" s="17" t="str">
        <f t="shared" si="15"/>
        <v/>
      </c>
    </row>
    <row r="310" spans="1:9">
      <c r="A310" s="15" t="str">
        <f t="shared" si="13"/>
        <v/>
      </c>
      <c r="G310" s="17" t="str">
        <f t="shared" si="14"/>
        <v/>
      </c>
      <c r="I310" s="17" t="str">
        <f t="shared" si="15"/>
        <v/>
      </c>
    </row>
    <row r="311" spans="1:9">
      <c r="A311" s="15" t="str">
        <f t="shared" si="13"/>
        <v/>
      </c>
      <c r="G311" s="17" t="str">
        <f t="shared" si="14"/>
        <v/>
      </c>
      <c r="I311" s="17" t="str">
        <f t="shared" si="15"/>
        <v/>
      </c>
    </row>
    <row r="312" spans="1:9">
      <c r="A312" s="15" t="str">
        <f t="shared" si="13"/>
        <v/>
      </c>
      <c r="G312" s="17" t="str">
        <f t="shared" si="14"/>
        <v/>
      </c>
      <c r="I312" s="17" t="str">
        <f t="shared" si="15"/>
        <v/>
      </c>
    </row>
    <row r="313" spans="1:9">
      <c r="A313" s="15" t="str">
        <f t="shared" si="13"/>
        <v/>
      </c>
      <c r="G313" s="17" t="str">
        <f t="shared" si="14"/>
        <v/>
      </c>
      <c r="I313" s="17" t="str">
        <f t="shared" si="15"/>
        <v/>
      </c>
    </row>
    <row r="314" spans="1:9">
      <c r="A314" s="15" t="str">
        <f t="shared" si="13"/>
        <v/>
      </c>
      <c r="G314" s="17" t="str">
        <f t="shared" si="14"/>
        <v/>
      </c>
      <c r="I314" s="17" t="str">
        <f t="shared" si="15"/>
        <v/>
      </c>
    </row>
    <row r="315" spans="1:9">
      <c r="A315" s="15" t="str">
        <f t="shared" si="13"/>
        <v/>
      </c>
      <c r="G315" s="17" t="str">
        <f t="shared" si="14"/>
        <v/>
      </c>
      <c r="I315" s="17" t="str">
        <f t="shared" si="15"/>
        <v/>
      </c>
    </row>
    <row r="316" spans="1:9">
      <c r="A316" s="15" t="str">
        <f t="shared" si="13"/>
        <v/>
      </c>
      <c r="G316" s="17" t="str">
        <f t="shared" si="14"/>
        <v/>
      </c>
      <c r="I316" s="17" t="str">
        <f t="shared" si="15"/>
        <v/>
      </c>
    </row>
    <row r="317" spans="1:9">
      <c r="A317" s="15" t="str">
        <f t="shared" si="13"/>
        <v/>
      </c>
      <c r="G317" s="17" t="str">
        <f t="shared" si="14"/>
        <v/>
      </c>
      <c r="I317" s="17" t="str">
        <f t="shared" si="15"/>
        <v/>
      </c>
    </row>
    <row r="318" spans="1:9">
      <c r="A318" s="15" t="str">
        <f t="shared" si="13"/>
        <v/>
      </c>
      <c r="G318" s="17" t="str">
        <f t="shared" si="14"/>
        <v/>
      </c>
      <c r="I318" s="17" t="str">
        <f t="shared" si="15"/>
        <v/>
      </c>
    </row>
    <row r="319" spans="1:9">
      <c r="A319" s="15" t="str">
        <f t="shared" si="13"/>
        <v/>
      </c>
      <c r="G319" s="17" t="str">
        <f t="shared" si="14"/>
        <v/>
      </c>
      <c r="I319" s="17" t="str">
        <f t="shared" si="15"/>
        <v/>
      </c>
    </row>
    <row r="320" spans="1:9">
      <c r="A320" s="15" t="str">
        <f t="shared" si="13"/>
        <v/>
      </c>
      <c r="G320" s="17" t="str">
        <f t="shared" si="14"/>
        <v/>
      </c>
      <c r="I320" s="17" t="str">
        <f t="shared" si="15"/>
        <v/>
      </c>
    </row>
    <row r="321" spans="1:9">
      <c r="A321" s="15" t="str">
        <f t="shared" si="13"/>
        <v/>
      </c>
      <c r="G321" s="17" t="str">
        <f t="shared" si="14"/>
        <v/>
      </c>
      <c r="I321" s="17" t="str">
        <f t="shared" si="15"/>
        <v/>
      </c>
    </row>
    <row r="322" spans="1:9">
      <c r="A322" s="15" t="str">
        <f t="shared" si="13"/>
        <v/>
      </c>
      <c r="G322" s="17" t="str">
        <f t="shared" si="14"/>
        <v/>
      </c>
      <c r="I322" s="17" t="str">
        <f t="shared" si="15"/>
        <v/>
      </c>
    </row>
    <row r="323" spans="1:9">
      <c r="A323" s="15" t="str">
        <f t="shared" si="13"/>
        <v/>
      </c>
      <c r="G323" s="17" t="str">
        <f t="shared" si="14"/>
        <v/>
      </c>
      <c r="I323" s="17" t="str">
        <f t="shared" si="15"/>
        <v/>
      </c>
    </row>
    <row r="324" spans="1:9">
      <c r="A324" s="15" t="str">
        <f t="shared" si="13"/>
        <v/>
      </c>
      <c r="G324" s="17" t="str">
        <f t="shared" si="14"/>
        <v/>
      </c>
      <c r="I324" s="17" t="str">
        <f t="shared" si="15"/>
        <v/>
      </c>
    </row>
    <row r="325" spans="1:9">
      <c r="A325" s="15" t="str">
        <f t="shared" si="13"/>
        <v/>
      </c>
      <c r="G325" s="17" t="str">
        <f t="shared" si="14"/>
        <v/>
      </c>
      <c r="I325" s="17" t="str">
        <f t="shared" si="15"/>
        <v/>
      </c>
    </row>
    <row r="326" spans="1:9">
      <c r="A326" s="15" t="str">
        <f t="shared" si="13"/>
        <v/>
      </c>
      <c r="G326" s="17" t="str">
        <f t="shared" si="14"/>
        <v/>
      </c>
      <c r="I326" s="17" t="str">
        <f t="shared" si="15"/>
        <v/>
      </c>
    </row>
    <row r="327" spans="1:9">
      <c r="A327" s="15" t="str">
        <f t="shared" si="13"/>
        <v/>
      </c>
      <c r="G327" s="17" t="str">
        <f t="shared" si="14"/>
        <v/>
      </c>
      <c r="I327" s="17" t="str">
        <f t="shared" si="15"/>
        <v/>
      </c>
    </row>
    <row r="328" spans="1:9">
      <c r="A328" s="15" t="str">
        <f t="shared" si="13"/>
        <v/>
      </c>
      <c r="G328" s="17" t="str">
        <f t="shared" si="14"/>
        <v/>
      </c>
      <c r="I328" s="17" t="str">
        <f t="shared" si="15"/>
        <v/>
      </c>
    </row>
    <row r="329" spans="1:9">
      <c r="A329" s="15" t="str">
        <f t="shared" si="13"/>
        <v/>
      </c>
      <c r="G329" s="17" t="str">
        <f t="shared" si="14"/>
        <v/>
      </c>
      <c r="I329" s="17" t="str">
        <f t="shared" si="15"/>
        <v/>
      </c>
    </row>
    <row r="330" spans="1:9">
      <c r="A330" s="15" t="str">
        <f t="shared" si="13"/>
        <v/>
      </c>
      <c r="G330" s="17" t="str">
        <f t="shared" si="14"/>
        <v/>
      </c>
      <c r="I330" s="17" t="str">
        <f t="shared" si="15"/>
        <v/>
      </c>
    </row>
    <row r="331" spans="1:9">
      <c r="A331" s="15" t="str">
        <f t="shared" si="13"/>
        <v/>
      </c>
      <c r="G331" s="17" t="str">
        <f t="shared" si="14"/>
        <v/>
      </c>
      <c r="I331" s="17" t="str">
        <f t="shared" si="15"/>
        <v/>
      </c>
    </row>
    <row r="332" spans="1:9">
      <c r="A332" s="15" t="str">
        <f t="shared" si="13"/>
        <v/>
      </c>
      <c r="G332" s="17" t="str">
        <f t="shared" si="14"/>
        <v/>
      </c>
      <c r="I332" s="17" t="str">
        <f t="shared" si="15"/>
        <v/>
      </c>
    </row>
    <row r="333" spans="1:9">
      <c r="A333" s="15" t="str">
        <f t="shared" si="13"/>
        <v/>
      </c>
      <c r="G333" s="17" t="str">
        <f t="shared" si="14"/>
        <v/>
      </c>
      <c r="I333" s="17" t="str">
        <f t="shared" si="15"/>
        <v/>
      </c>
    </row>
    <row r="334" spans="1:9">
      <c r="A334" s="15" t="str">
        <f t="shared" si="13"/>
        <v/>
      </c>
      <c r="G334" s="17" t="str">
        <f t="shared" si="14"/>
        <v/>
      </c>
      <c r="I334" s="17" t="str">
        <f t="shared" si="15"/>
        <v/>
      </c>
    </row>
    <row r="335" spans="1:9">
      <c r="A335" s="15" t="str">
        <f t="shared" si="13"/>
        <v/>
      </c>
      <c r="G335" s="17" t="str">
        <f t="shared" si="14"/>
        <v/>
      </c>
      <c r="I335" s="17" t="str">
        <f t="shared" si="15"/>
        <v/>
      </c>
    </row>
    <row r="336" spans="1:9">
      <c r="A336" s="15" t="str">
        <f t="shared" si="13"/>
        <v/>
      </c>
      <c r="G336" s="17" t="str">
        <f t="shared" si="14"/>
        <v/>
      </c>
      <c r="I336" s="17" t="str">
        <f t="shared" si="15"/>
        <v/>
      </c>
    </row>
    <row r="337" spans="1:9">
      <c r="A337" s="15" t="str">
        <f t="shared" si="13"/>
        <v/>
      </c>
      <c r="G337" s="17" t="str">
        <f t="shared" si="14"/>
        <v/>
      </c>
      <c r="I337" s="17" t="str">
        <f t="shared" si="15"/>
        <v/>
      </c>
    </row>
    <row r="338" spans="1:9">
      <c r="A338" s="15" t="str">
        <f t="shared" si="13"/>
        <v/>
      </c>
      <c r="G338" s="17" t="str">
        <f t="shared" si="14"/>
        <v/>
      </c>
      <c r="I338" s="17" t="str">
        <f t="shared" si="15"/>
        <v/>
      </c>
    </row>
    <row r="339" spans="1:9">
      <c r="A339" s="15" t="str">
        <f t="shared" si="13"/>
        <v/>
      </c>
      <c r="G339" s="17" t="str">
        <f t="shared" si="14"/>
        <v/>
      </c>
      <c r="I339" s="17" t="str">
        <f t="shared" si="15"/>
        <v/>
      </c>
    </row>
    <row r="340" spans="1:9">
      <c r="A340" s="15" t="str">
        <f t="shared" si="13"/>
        <v/>
      </c>
      <c r="G340" s="17" t="str">
        <f t="shared" si="14"/>
        <v/>
      </c>
      <c r="I340" s="17" t="str">
        <f t="shared" si="15"/>
        <v/>
      </c>
    </row>
    <row r="341" spans="1:9">
      <c r="A341" s="15" t="str">
        <f t="shared" si="13"/>
        <v/>
      </c>
      <c r="G341" s="17" t="str">
        <f t="shared" si="14"/>
        <v/>
      </c>
      <c r="I341" s="17" t="str">
        <f t="shared" si="15"/>
        <v/>
      </c>
    </row>
    <row r="342" spans="1:9">
      <c r="A342" s="15" t="str">
        <f t="shared" si="13"/>
        <v/>
      </c>
      <c r="G342" s="17" t="str">
        <f t="shared" si="14"/>
        <v/>
      </c>
      <c r="I342" s="17" t="str">
        <f t="shared" si="15"/>
        <v/>
      </c>
    </row>
    <row r="343" spans="1:9">
      <c r="A343" s="15" t="str">
        <f t="shared" si="13"/>
        <v/>
      </c>
      <c r="G343" s="17" t="str">
        <f t="shared" si="14"/>
        <v/>
      </c>
      <c r="I343" s="17" t="str">
        <f t="shared" si="15"/>
        <v/>
      </c>
    </row>
    <row r="344" spans="1:9">
      <c r="A344" s="15" t="str">
        <f t="shared" ref="A344:A407" si="16">IF(B344&lt;&gt;"",ROW()-2,"")</f>
        <v/>
      </c>
      <c r="G344" s="17" t="str">
        <f t="shared" si="14"/>
        <v/>
      </c>
      <c r="I344" s="17" t="str">
        <f t="shared" si="15"/>
        <v/>
      </c>
    </row>
    <row r="345" spans="1:9">
      <c r="A345" s="15" t="str">
        <f t="shared" si="16"/>
        <v/>
      </c>
      <c r="G345" s="17" t="str">
        <f t="shared" si="14"/>
        <v/>
      </c>
      <c r="I345" s="17" t="str">
        <f t="shared" si="15"/>
        <v/>
      </c>
    </row>
    <row r="346" spans="1:9">
      <c r="A346" s="15" t="str">
        <f t="shared" si="16"/>
        <v/>
      </c>
      <c r="G346" s="17" t="str">
        <f t="shared" si="14"/>
        <v/>
      </c>
      <c r="I346" s="17" t="str">
        <f t="shared" si="15"/>
        <v/>
      </c>
    </row>
    <row r="347" spans="1:9">
      <c r="A347" s="15" t="str">
        <f t="shared" si="16"/>
        <v/>
      </c>
      <c r="G347" s="17" t="str">
        <f t="shared" si="14"/>
        <v/>
      </c>
      <c r="I347" s="17" t="str">
        <f t="shared" si="15"/>
        <v/>
      </c>
    </row>
    <row r="348" spans="1:9">
      <c r="A348" s="15" t="str">
        <f t="shared" si="16"/>
        <v/>
      </c>
      <c r="G348" s="17" t="str">
        <f t="shared" si="14"/>
        <v/>
      </c>
      <c r="I348" s="17" t="str">
        <f t="shared" si="15"/>
        <v/>
      </c>
    </row>
    <row r="349" spans="1:9">
      <c r="A349" s="15" t="str">
        <f t="shared" si="16"/>
        <v/>
      </c>
      <c r="G349" s="17" t="str">
        <f t="shared" si="14"/>
        <v/>
      </c>
      <c r="I349" s="17" t="str">
        <f t="shared" si="15"/>
        <v/>
      </c>
    </row>
    <row r="350" spans="1:9">
      <c r="A350" s="15" t="str">
        <f t="shared" si="16"/>
        <v/>
      </c>
      <c r="G350" s="17" t="str">
        <f t="shared" si="14"/>
        <v/>
      </c>
      <c r="I350" s="17" t="str">
        <f t="shared" si="15"/>
        <v/>
      </c>
    </row>
    <row r="351" spans="1:9">
      <c r="A351" s="15" t="str">
        <f t="shared" si="16"/>
        <v/>
      </c>
      <c r="G351" s="17" t="str">
        <f t="shared" si="14"/>
        <v/>
      </c>
      <c r="I351" s="17" t="str">
        <f t="shared" si="15"/>
        <v/>
      </c>
    </row>
    <row r="352" spans="1:9">
      <c r="A352" s="15" t="str">
        <f t="shared" si="16"/>
        <v/>
      </c>
      <c r="G352" s="17" t="str">
        <f t="shared" si="14"/>
        <v/>
      </c>
      <c r="I352" s="17" t="str">
        <f t="shared" si="15"/>
        <v/>
      </c>
    </row>
    <row r="353" spans="1:9">
      <c r="A353" s="15" t="str">
        <f t="shared" si="16"/>
        <v/>
      </c>
      <c r="G353" s="17" t="str">
        <f t="shared" si="14"/>
        <v/>
      </c>
      <c r="I353" s="17" t="str">
        <f t="shared" si="15"/>
        <v/>
      </c>
    </row>
    <row r="354" spans="1:9">
      <c r="A354" s="15" t="str">
        <f t="shared" si="16"/>
        <v/>
      </c>
      <c r="G354" s="17" t="str">
        <f t="shared" si="14"/>
        <v/>
      </c>
      <c r="I354" s="17" t="str">
        <f t="shared" si="15"/>
        <v/>
      </c>
    </row>
    <row r="355" spans="1:9">
      <c r="A355" s="15" t="str">
        <f t="shared" si="16"/>
        <v/>
      </c>
      <c r="G355" s="17" t="str">
        <f t="shared" si="14"/>
        <v/>
      </c>
      <c r="I355" s="17" t="str">
        <f t="shared" si="15"/>
        <v/>
      </c>
    </row>
    <row r="356" spans="1:9">
      <c r="A356" s="15" t="str">
        <f t="shared" si="16"/>
        <v/>
      </c>
      <c r="G356" s="17" t="str">
        <f t="shared" si="14"/>
        <v/>
      </c>
      <c r="I356" s="17" t="str">
        <f t="shared" si="15"/>
        <v/>
      </c>
    </row>
    <row r="357" spans="1:9">
      <c r="A357" s="15" t="str">
        <f t="shared" si="16"/>
        <v/>
      </c>
      <c r="G357" s="17" t="str">
        <f t="shared" si="14"/>
        <v/>
      </c>
      <c r="I357" s="17" t="str">
        <f t="shared" si="15"/>
        <v/>
      </c>
    </row>
    <row r="358" spans="1:9">
      <c r="A358" s="15" t="str">
        <f t="shared" si="16"/>
        <v/>
      </c>
      <c r="G358" s="17" t="str">
        <f t="shared" si="14"/>
        <v/>
      </c>
      <c r="I358" s="17" t="str">
        <f t="shared" si="15"/>
        <v/>
      </c>
    </row>
    <row r="359" spans="1:9">
      <c r="A359" s="15" t="str">
        <f t="shared" si="16"/>
        <v/>
      </c>
      <c r="G359" s="17" t="str">
        <f t="shared" si="14"/>
        <v/>
      </c>
      <c r="I359" s="17" t="str">
        <f t="shared" si="15"/>
        <v/>
      </c>
    </row>
    <row r="360" spans="1:9">
      <c r="A360" s="15" t="str">
        <f t="shared" si="16"/>
        <v/>
      </c>
      <c r="G360" s="17" t="str">
        <f t="shared" si="14"/>
        <v/>
      </c>
      <c r="I360" s="17" t="str">
        <f t="shared" si="15"/>
        <v/>
      </c>
    </row>
    <row r="361" spans="1:9">
      <c r="A361" s="15" t="str">
        <f t="shared" si="16"/>
        <v/>
      </c>
      <c r="G361" s="17" t="str">
        <f t="shared" si="14"/>
        <v/>
      </c>
      <c r="I361" s="17" t="str">
        <f t="shared" si="15"/>
        <v/>
      </c>
    </row>
    <row r="362" spans="1:9">
      <c r="A362" s="15" t="str">
        <f t="shared" si="16"/>
        <v/>
      </c>
      <c r="G362" s="17" t="str">
        <f t="shared" si="14"/>
        <v/>
      </c>
      <c r="I362" s="17" t="str">
        <f t="shared" si="15"/>
        <v/>
      </c>
    </row>
    <row r="363" spans="1:9">
      <c r="A363" s="15" t="str">
        <f t="shared" si="16"/>
        <v/>
      </c>
      <c r="G363" s="17" t="str">
        <f t="shared" si="14"/>
        <v/>
      </c>
      <c r="I363" s="17" t="str">
        <f t="shared" si="15"/>
        <v/>
      </c>
    </row>
    <row r="364" spans="1:9">
      <c r="A364" s="15" t="str">
        <f t="shared" si="16"/>
        <v/>
      </c>
      <c r="G364" s="17" t="str">
        <f t="shared" si="14"/>
        <v/>
      </c>
      <c r="I364" s="17" t="str">
        <f t="shared" si="15"/>
        <v/>
      </c>
    </row>
    <row r="365" spans="1:9">
      <c r="A365" s="15" t="str">
        <f t="shared" si="16"/>
        <v/>
      </c>
      <c r="G365" s="17" t="str">
        <f t="shared" si="14"/>
        <v/>
      </c>
      <c r="I365" s="17" t="str">
        <f t="shared" si="15"/>
        <v/>
      </c>
    </row>
    <row r="366" spans="1:9">
      <c r="A366" s="15" t="str">
        <f t="shared" si="16"/>
        <v/>
      </c>
      <c r="G366" s="17" t="str">
        <f t="shared" si="14"/>
        <v/>
      </c>
      <c r="I366" s="17" t="str">
        <f t="shared" si="15"/>
        <v/>
      </c>
    </row>
    <row r="367" spans="1:9">
      <c r="A367" s="15" t="str">
        <f t="shared" si="16"/>
        <v/>
      </c>
      <c r="G367" s="17" t="str">
        <f t="shared" ref="G367:G430" si="17">IFERROR(VLOOKUP(C367,$U$3:$W$19,2,),"")</f>
        <v/>
      </c>
      <c r="I367" s="17" t="str">
        <f t="shared" ref="I367:I430" si="18">IFERROR(VLOOKUP(C367,$U$3:$W$19,3,),"")</f>
        <v/>
      </c>
    </row>
    <row r="368" spans="1:9">
      <c r="A368" s="15" t="str">
        <f t="shared" si="16"/>
        <v/>
      </c>
      <c r="G368" s="17" t="str">
        <f t="shared" si="17"/>
        <v/>
      </c>
      <c r="I368" s="17" t="str">
        <f t="shared" si="18"/>
        <v/>
      </c>
    </row>
    <row r="369" spans="1:9">
      <c r="A369" s="15" t="str">
        <f t="shared" si="16"/>
        <v/>
      </c>
      <c r="G369" s="17" t="str">
        <f t="shared" si="17"/>
        <v/>
      </c>
      <c r="I369" s="17" t="str">
        <f t="shared" si="18"/>
        <v/>
      </c>
    </row>
    <row r="370" spans="1:9">
      <c r="A370" s="15" t="str">
        <f t="shared" si="16"/>
        <v/>
      </c>
      <c r="G370" s="17" t="str">
        <f t="shared" si="17"/>
        <v/>
      </c>
      <c r="I370" s="17" t="str">
        <f t="shared" si="18"/>
        <v/>
      </c>
    </row>
    <row r="371" spans="1:9">
      <c r="A371" s="15" t="str">
        <f t="shared" si="16"/>
        <v/>
      </c>
      <c r="G371" s="17" t="str">
        <f t="shared" si="17"/>
        <v/>
      </c>
      <c r="I371" s="17" t="str">
        <f t="shared" si="18"/>
        <v/>
      </c>
    </row>
    <row r="372" spans="1:9">
      <c r="A372" s="15" t="str">
        <f t="shared" si="16"/>
        <v/>
      </c>
      <c r="G372" s="17" t="str">
        <f t="shared" si="17"/>
        <v/>
      </c>
      <c r="I372" s="17" t="str">
        <f t="shared" si="18"/>
        <v/>
      </c>
    </row>
    <row r="373" spans="1:9">
      <c r="A373" s="15" t="str">
        <f t="shared" si="16"/>
        <v/>
      </c>
      <c r="G373" s="17" t="str">
        <f t="shared" si="17"/>
        <v/>
      </c>
      <c r="I373" s="17" t="str">
        <f t="shared" si="18"/>
        <v/>
      </c>
    </row>
    <row r="374" spans="1:9">
      <c r="A374" s="15" t="str">
        <f t="shared" si="16"/>
        <v/>
      </c>
      <c r="G374" s="17" t="str">
        <f t="shared" si="17"/>
        <v/>
      </c>
      <c r="I374" s="17" t="str">
        <f t="shared" si="18"/>
        <v/>
      </c>
    </row>
    <row r="375" spans="1:9">
      <c r="A375" s="15" t="str">
        <f t="shared" si="16"/>
        <v/>
      </c>
      <c r="G375" s="17" t="str">
        <f t="shared" si="17"/>
        <v/>
      </c>
      <c r="I375" s="17" t="str">
        <f t="shared" si="18"/>
        <v/>
      </c>
    </row>
    <row r="376" spans="1:9">
      <c r="A376" s="15" t="str">
        <f t="shared" si="16"/>
        <v/>
      </c>
      <c r="G376" s="17" t="str">
        <f t="shared" si="17"/>
        <v/>
      </c>
      <c r="I376" s="17" t="str">
        <f t="shared" si="18"/>
        <v/>
      </c>
    </row>
    <row r="377" spans="1:9">
      <c r="A377" s="15" t="str">
        <f t="shared" si="16"/>
        <v/>
      </c>
      <c r="G377" s="17" t="str">
        <f t="shared" si="17"/>
        <v/>
      </c>
      <c r="I377" s="17" t="str">
        <f t="shared" si="18"/>
        <v/>
      </c>
    </row>
    <row r="378" spans="1:9">
      <c r="A378" s="15" t="str">
        <f t="shared" si="16"/>
        <v/>
      </c>
      <c r="G378" s="17" t="str">
        <f t="shared" si="17"/>
        <v/>
      </c>
      <c r="I378" s="17" t="str">
        <f t="shared" si="18"/>
        <v/>
      </c>
    </row>
    <row r="379" spans="1:9">
      <c r="A379" s="15" t="str">
        <f t="shared" si="16"/>
        <v/>
      </c>
      <c r="G379" s="17" t="str">
        <f t="shared" si="17"/>
        <v/>
      </c>
      <c r="I379" s="17" t="str">
        <f t="shared" si="18"/>
        <v/>
      </c>
    </row>
    <row r="380" spans="1:9">
      <c r="A380" s="15" t="str">
        <f t="shared" si="16"/>
        <v/>
      </c>
      <c r="G380" s="17" t="str">
        <f t="shared" si="17"/>
        <v/>
      </c>
      <c r="I380" s="17" t="str">
        <f t="shared" si="18"/>
        <v/>
      </c>
    </row>
    <row r="381" spans="1:9">
      <c r="A381" s="15" t="str">
        <f t="shared" si="16"/>
        <v/>
      </c>
      <c r="G381" s="17" t="str">
        <f t="shared" si="17"/>
        <v/>
      </c>
      <c r="I381" s="17" t="str">
        <f t="shared" si="18"/>
        <v/>
      </c>
    </row>
    <row r="382" spans="1:9">
      <c r="A382" s="15" t="str">
        <f t="shared" si="16"/>
        <v/>
      </c>
      <c r="G382" s="17" t="str">
        <f t="shared" si="17"/>
        <v/>
      </c>
      <c r="I382" s="17" t="str">
        <f t="shared" si="18"/>
        <v/>
      </c>
    </row>
    <row r="383" spans="1:9">
      <c r="A383" s="15" t="str">
        <f t="shared" si="16"/>
        <v/>
      </c>
      <c r="G383" s="17" t="str">
        <f t="shared" si="17"/>
        <v/>
      </c>
      <c r="I383" s="17" t="str">
        <f t="shared" si="18"/>
        <v/>
      </c>
    </row>
    <row r="384" spans="1:9">
      <c r="A384" s="15" t="str">
        <f t="shared" si="16"/>
        <v/>
      </c>
      <c r="G384" s="17" t="str">
        <f t="shared" si="17"/>
        <v/>
      </c>
      <c r="I384" s="17" t="str">
        <f t="shared" si="18"/>
        <v/>
      </c>
    </row>
    <row r="385" spans="1:9">
      <c r="A385" s="15" t="str">
        <f t="shared" si="16"/>
        <v/>
      </c>
      <c r="G385" s="17" t="str">
        <f t="shared" si="17"/>
        <v/>
      </c>
      <c r="I385" s="17" t="str">
        <f t="shared" si="18"/>
        <v/>
      </c>
    </row>
    <row r="386" spans="1:9">
      <c r="A386" s="15" t="str">
        <f t="shared" si="16"/>
        <v/>
      </c>
      <c r="G386" s="17" t="str">
        <f t="shared" si="17"/>
        <v/>
      </c>
      <c r="I386" s="17" t="str">
        <f t="shared" si="18"/>
        <v/>
      </c>
    </row>
    <row r="387" spans="1:9">
      <c r="A387" s="15" t="str">
        <f t="shared" si="16"/>
        <v/>
      </c>
      <c r="G387" s="17" t="str">
        <f t="shared" si="17"/>
        <v/>
      </c>
      <c r="I387" s="17" t="str">
        <f t="shared" si="18"/>
        <v/>
      </c>
    </row>
    <row r="388" spans="1:9">
      <c r="A388" s="15" t="str">
        <f t="shared" si="16"/>
        <v/>
      </c>
      <c r="G388" s="17" t="str">
        <f t="shared" si="17"/>
        <v/>
      </c>
      <c r="I388" s="17" t="str">
        <f t="shared" si="18"/>
        <v/>
      </c>
    </row>
    <row r="389" spans="1:9">
      <c r="A389" s="15" t="str">
        <f t="shared" si="16"/>
        <v/>
      </c>
      <c r="G389" s="17" t="str">
        <f t="shared" si="17"/>
        <v/>
      </c>
      <c r="I389" s="17" t="str">
        <f t="shared" si="18"/>
        <v/>
      </c>
    </row>
    <row r="390" spans="1:9">
      <c r="A390" s="15" t="str">
        <f t="shared" si="16"/>
        <v/>
      </c>
      <c r="G390" s="17" t="str">
        <f t="shared" si="17"/>
        <v/>
      </c>
      <c r="I390" s="17" t="str">
        <f t="shared" si="18"/>
        <v/>
      </c>
    </row>
    <row r="391" spans="1:9">
      <c r="A391" s="15" t="str">
        <f t="shared" si="16"/>
        <v/>
      </c>
      <c r="G391" s="17" t="str">
        <f t="shared" si="17"/>
        <v/>
      </c>
      <c r="I391" s="17" t="str">
        <f t="shared" si="18"/>
        <v/>
      </c>
    </row>
    <row r="392" spans="1:9">
      <c r="A392" s="15" t="str">
        <f t="shared" si="16"/>
        <v/>
      </c>
      <c r="G392" s="17" t="str">
        <f t="shared" si="17"/>
        <v/>
      </c>
      <c r="I392" s="17" t="str">
        <f t="shared" si="18"/>
        <v/>
      </c>
    </row>
    <row r="393" spans="1:9">
      <c r="A393" s="15" t="str">
        <f t="shared" si="16"/>
        <v/>
      </c>
      <c r="G393" s="17" t="str">
        <f t="shared" si="17"/>
        <v/>
      </c>
      <c r="I393" s="17" t="str">
        <f t="shared" si="18"/>
        <v/>
      </c>
    </row>
    <row r="394" spans="1:9">
      <c r="A394" s="15" t="str">
        <f t="shared" si="16"/>
        <v/>
      </c>
      <c r="G394" s="17" t="str">
        <f t="shared" si="17"/>
        <v/>
      </c>
      <c r="I394" s="17" t="str">
        <f t="shared" si="18"/>
        <v/>
      </c>
    </row>
    <row r="395" spans="1:9">
      <c r="A395" s="15" t="str">
        <f t="shared" si="16"/>
        <v/>
      </c>
      <c r="G395" s="17" t="str">
        <f t="shared" si="17"/>
        <v/>
      </c>
      <c r="I395" s="17" t="str">
        <f t="shared" si="18"/>
        <v/>
      </c>
    </row>
    <row r="396" spans="1:9">
      <c r="A396" s="15" t="str">
        <f t="shared" si="16"/>
        <v/>
      </c>
      <c r="G396" s="17" t="str">
        <f t="shared" si="17"/>
        <v/>
      </c>
      <c r="I396" s="17" t="str">
        <f t="shared" si="18"/>
        <v/>
      </c>
    </row>
    <row r="397" spans="1:9">
      <c r="A397" s="15" t="str">
        <f t="shared" si="16"/>
        <v/>
      </c>
      <c r="G397" s="17" t="str">
        <f t="shared" si="17"/>
        <v/>
      </c>
      <c r="I397" s="17" t="str">
        <f t="shared" si="18"/>
        <v/>
      </c>
    </row>
    <row r="398" spans="1:9">
      <c r="A398" s="15" t="str">
        <f t="shared" si="16"/>
        <v/>
      </c>
      <c r="G398" s="17" t="str">
        <f t="shared" si="17"/>
        <v/>
      </c>
      <c r="I398" s="17" t="str">
        <f t="shared" si="18"/>
        <v/>
      </c>
    </row>
    <row r="399" spans="1:9">
      <c r="A399" s="15" t="str">
        <f t="shared" si="16"/>
        <v/>
      </c>
      <c r="G399" s="17" t="str">
        <f t="shared" si="17"/>
        <v/>
      </c>
      <c r="I399" s="17" t="str">
        <f t="shared" si="18"/>
        <v/>
      </c>
    </row>
    <row r="400" spans="1:9">
      <c r="A400" s="15" t="str">
        <f t="shared" si="16"/>
        <v/>
      </c>
      <c r="G400" s="17" t="str">
        <f t="shared" si="17"/>
        <v/>
      </c>
      <c r="I400" s="17" t="str">
        <f t="shared" si="18"/>
        <v/>
      </c>
    </row>
    <row r="401" spans="1:9">
      <c r="A401" s="15" t="str">
        <f t="shared" si="16"/>
        <v/>
      </c>
      <c r="G401" s="17" t="str">
        <f t="shared" si="17"/>
        <v/>
      </c>
      <c r="I401" s="17" t="str">
        <f t="shared" si="18"/>
        <v/>
      </c>
    </row>
    <row r="402" spans="1:9">
      <c r="A402" s="15" t="str">
        <f t="shared" si="16"/>
        <v/>
      </c>
      <c r="G402" s="17" t="str">
        <f t="shared" si="17"/>
        <v/>
      </c>
      <c r="I402" s="17" t="str">
        <f t="shared" si="18"/>
        <v/>
      </c>
    </row>
    <row r="403" spans="1:9">
      <c r="A403" s="15" t="str">
        <f t="shared" si="16"/>
        <v/>
      </c>
      <c r="G403" s="17" t="str">
        <f t="shared" si="17"/>
        <v/>
      </c>
      <c r="I403" s="17" t="str">
        <f t="shared" si="18"/>
        <v/>
      </c>
    </row>
    <row r="404" spans="1:9">
      <c r="A404" s="15" t="str">
        <f t="shared" si="16"/>
        <v/>
      </c>
      <c r="G404" s="17" t="str">
        <f t="shared" si="17"/>
        <v/>
      </c>
      <c r="I404" s="17" t="str">
        <f t="shared" si="18"/>
        <v/>
      </c>
    </row>
    <row r="405" spans="1:9">
      <c r="A405" s="15" t="str">
        <f t="shared" si="16"/>
        <v/>
      </c>
      <c r="G405" s="17" t="str">
        <f t="shared" si="17"/>
        <v/>
      </c>
      <c r="I405" s="17" t="str">
        <f t="shared" si="18"/>
        <v/>
      </c>
    </row>
    <row r="406" spans="1:9">
      <c r="A406" s="15" t="str">
        <f t="shared" si="16"/>
        <v/>
      </c>
      <c r="G406" s="17" t="str">
        <f t="shared" si="17"/>
        <v/>
      </c>
      <c r="I406" s="17" t="str">
        <f t="shared" si="18"/>
        <v/>
      </c>
    </row>
    <row r="407" spans="1:9">
      <c r="A407" s="15" t="str">
        <f t="shared" si="16"/>
        <v/>
      </c>
      <c r="G407" s="17" t="str">
        <f t="shared" si="17"/>
        <v/>
      </c>
      <c r="I407" s="17" t="str">
        <f t="shared" si="18"/>
        <v/>
      </c>
    </row>
    <row r="408" spans="1:9">
      <c r="A408" s="15" t="str">
        <f t="shared" ref="A408:A471" si="19">IF(B408&lt;&gt;"",ROW()-2,"")</f>
        <v/>
      </c>
      <c r="G408" s="17" t="str">
        <f t="shared" si="17"/>
        <v/>
      </c>
      <c r="I408" s="17" t="str">
        <f t="shared" si="18"/>
        <v/>
      </c>
    </row>
    <row r="409" spans="1:9">
      <c r="A409" s="15" t="str">
        <f t="shared" si="19"/>
        <v/>
      </c>
      <c r="G409" s="17" t="str">
        <f t="shared" si="17"/>
        <v/>
      </c>
      <c r="I409" s="17" t="str">
        <f t="shared" si="18"/>
        <v/>
      </c>
    </row>
    <row r="410" spans="1:9">
      <c r="A410" s="15" t="str">
        <f t="shared" si="19"/>
        <v/>
      </c>
      <c r="G410" s="17" t="str">
        <f t="shared" si="17"/>
        <v/>
      </c>
      <c r="I410" s="17" t="str">
        <f t="shared" si="18"/>
        <v/>
      </c>
    </row>
    <row r="411" spans="1:9">
      <c r="A411" s="15" t="str">
        <f t="shared" si="19"/>
        <v/>
      </c>
      <c r="G411" s="17" t="str">
        <f t="shared" si="17"/>
        <v/>
      </c>
      <c r="I411" s="17" t="str">
        <f t="shared" si="18"/>
        <v/>
      </c>
    </row>
    <row r="412" spans="1:9">
      <c r="A412" s="15" t="str">
        <f t="shared" si="19"/>
        <v/>
      </c>
      <c r="G412" s="17" t="str">
        <f t="shared" si="17"/>
        <v/>
      </c>
      <c r="I412" s="17" t="str">
        <f t="shared" si="18"/>
        <v/>
      </c>
    </row>
    <row r="413" spans="1:9">
      <c r="A413" s="15" t="str">
        <f t="shared" si="19"/>
        <v/>
      </c>
      <c r="G413" s="17" t="str">
        <f t="shared" si="17"/>
        <v/>
      </c>
      <c r="I413" s="17" t="str">
        <f t="shared" si="18"/>
        <v/>
      </c>
    </row>
    <row r="414" spans="1:9">
      <c r="A414" s="15" t="str">
        <f t="shared" si="19"/>
        <v/>
      </c>
      <c r="G414" s="17" t="str">
        <f t="shared" si="17"/>
        <v/>
      </c>
      <c r="I414" s="17" t="str">
        <f t="shared" si="18"/>
        <v/>
      </c>
    </row>
    <row r="415" spans="1:9">
      <c r="A415" s="15" t="str">
        <f t="shared" si="19"/>
        <v/>
      </c>
      <c r="G415" s="17" t="str">
        <f t="shared" si="17"/>
        <v/>
      </c>
      <c r="I415" s="17" t="str">
        <f t="shared" si="18"/>
        <v/>
      </c>
    </row>
    <row r="416" spans="1:9">
      <c r="A416" s="15" t="str">
        <f t="shared" si="19"/>
        <v/>
      </c>
      <c r="G416" s="17" t="str">
        <f t="shared" si="17"/>
        <v/>
      </c>
      <c r="I416" s="17" t="str">
        <f t="shared" si="18"/>
        <v/>
      </c>
    </row>
    <row r="417" spans="1:9">
      <c r="A417" s="15" t="str">
        <f t="shared" si="19"/>
        <v/>
      </c>
      <c r="G417" s="17" t="str">
        <f t="shared" si="17"/>
        <v/>
      </c>
      <c r="I417" s="17" t="str">
        <f t="shared" si="18"/>
        <v/>
      </c>
    </row>
    <row r="418" spans="1:9">
      <c r="A418" s="15" t="str">
        <f t="shared" si="19"/>
        <v/>
      </c>
      <c r="G418" s="17" t="str">
        <f t="shared" si="17"/>
        <v/>
      </c>
      <c r="I418" s="17" t="str">
        <f t="shared" si="18"/>
        <v/>
      </c>
    </row>
    <row r="419" spans="1:9">
      <c r="A419" s="15" t="str">
        <f t="shared" si="19"/>
        <v/>
      </c>
      <c r="G419" s="17" t="str">
        <f t="shared" si="17"/>
        <v/>
      </c>
      <c r="I419" s="17" t="str">
        <f t="shared" si="18"/>
        <v/>
      </c>
    </row>
    <row r="420" spans="1:9">
      <c r="A420" s="15" t="str">
        <f t="shared" si="19"/>
        <v/>
      </c>
      <c r="G420" s="17" t="str">
        <f t="shared" si="17"/>
        <v/>
      </c>
      <c r="I420" s="17" t="str">
        <f t="shared" si="18"/>
        <v/>
      </c>
    </row>
    <row r="421" spans="1:9">
      <c r="A421" s="15" t="str">
        <f t="shared" si="19"/>
        <v/>
      </c>
      <c r="G421" s="17" t="str">
        <f t="shared" si="17"/>
        <v/>
      </c>
      <c r="I421" s="17" t="str">
        <f t="shared" si="18"/>
        <v/>
      </c>
    </row>
    <row r="422" spans="1:9">
      <c r="A422" s="15" t="str">
        <f t="shared" si="19"/>
        <v/>
      </c>
      <c r="G422" s="17" t="str">
        <f t="shared" si="17"/>
        <v/>
      </c>
      <c r="I422" s="17" t="str">
        <f t="shared" si="18"/>
        <v/>
      </c>
    </row>
    <row r="423" spans="1:9">
      <c r="A423" s="15" t="str">
        <f t="shared" si="19"/>
        <v/>
      </c>
      <c r="G423" s="17" t="str">
        <f t="shared" si="17"/>
        <v/>
      </c>
      <c r="I423" s="17" t="str">
        <f t="shared" si="18"/>
        <v/>
      </c>
    </row>
    <row r="424" spans="1:9">
      <c r="A424" s="15" t="str">
        <f t="shared" si="19"/>
        <v/>
      </c>
      <c r="G424" s="17" t="str">
        <f t="shared" si="17"/>
        <v/>
      </c>
      <c r="I424" s="17" t="str">
        <f t="shared" si="18"/>
        <v/>
      </c>
    </row>
    <row r="425" spans="1:9">
      <c r="A425" s="15" t="str">
        <f t="shared" si="19"/>
        <v/>
      </c>
      <c r="G425" s="17" t="str">
        <f t="shared" si="17"/>
        <v/>
      </c>
      <c r="I425" s="17" t="str">
        <f t="shared" si="18"/>
        <v/>
      </c>
    </row>
    <row r="426" spans="1:9">
      <c r="A426" s="15" t="str">
        <f t="shared" si="19"/>
        <v/>
      </c>
      <c r="G426" s="17" t="str">
        <f t="shared" si="17"/>
        <v/>
      </c>
      <c r="I426" s="17" t="str">
        <f t="shared" si="18"/>
        <v/>
      </c>
    </row>
    <row r="427" spans="1:9">
      <c r="A427" s="15" t="str">
        <f t="shared" si="19"/>
        <v/>
      </c>
      <c r="G427" s="17" t="str">
        <f t="shared" si="17"/>
        <v/>
      </c>
      <c r="I427" s="17" t="str">
        <f t="shared" si="18"/>
        <v/>
      </c>
    </row>
    <row r="428" spans="1:9">
      <c r="A428" s="15" t="str">
        <f t="shared" si="19"/>
        <v/>
      </c>
      <c r="G428" s="17" t="str">
        <f t="shared" si="17"/>
        <v/>
      </c>
      <c r="I428" s="17" t="str">
        <f t="shared" si="18"/>
        <v/>
      </c>
    </row>
    <row r="429" spans="1:9">
      <c r="A429" s="15" t="str">
        <f t="shared" si="19"/>
        <v/>
      </c>
      <c r="G429" s="17" t="str">
        <f t="shared" si="17"/>
        <v/>
      </c>
      <c r="I429" s="17" t="str">
        <f t="shared" si="18"/>
        <v/>
      </c>
    </row>
    <row r="430" spans="1:9">
      <c r="A430" s="15" t="str">
        <f t="shared" si="19"/>
        <v/>
      </c>
      <c r="G430" s="17" t="str">
        <f t="shared" si="17"/>
        <v/>
      </c>
      <c r="I430" s="17" t="str">
        <f t="shared" si="18"/>
        <v/>
      </c>
    </row>
    <row r="431" spans="1:9">
      <c r="A431" s="15" t="str">
        <f t="shared" si="19"/>
        <v/>
      </c>
      <c r="G431" s="17" t="str">
        <f t="shared" ref="G431:G494" si="20">IFERROR(VLOOKUP(C431,$U$3:$W$19,2,),"")</f>
        <v/>
      </c>
      <c r="I431" s="17" t="str">
        <f t="shared" ref="I431:I494" si="21">IFERROR(VLOOKUP(C431,$U$3:$W$19,3,),"")</f>
        <v/>
      </c>
    </row>
    <row r="432" spans="1:9">
      <c r="A432" s="15" t="str">
        <f t="shared" si="19"/>
        <v/>
      </c>
      <c r="G432" s="17" t="str">
        <f t="shared" si="20"/>
        <v/>
      </c>
      <c r="I432" s="17" t="str">
        <f t="shared" si="21"/>
        <v/>
      </c>
    </row>
    <row r="433" spans="1:9">
      <c r="A433" s="15" t="str">
        <f t="shared" si="19"/>
        <v/>
      </c>
      <c r="G433" s="17" t="str">
        <f t="shared" si="20"/>
        <v/>
      </c>
      <c r="I433" s="17" t="str">
        <f t="shared" si="21"/>
        <v/>
      </c>
    </row>
    <row r="434" spans="1:9">
      <c r="A434" s="15" t="str">
        <f t="shared" si="19"/>
        <v/>
      </c>
      <c r="G434" s="17" t="str">
        <f t="shared" si="20"/>
        <v/>
      </c>
      <c r="I434" s="17" t="str">
        <f t="shared" si="21"/>
        <v/>
      </c>
    </row>
    <row r="435" spans="1:9">
      <c r="A435" s="15" t="str">
        <f t="shared" si="19"/>
        <v/>
      </c>
      <c r="G435" s="17" t="str">
        <f t="shared" si="20"/>
        <v/>
      </c>
      <c r="I435" s="17" t="str">
        <f t="shared" si="21"/>
        <v/>
      </c>
    </row>
    <row r="436" spans="1:9">
      <c r="A436" s="15" t="str">
        <f t="shared" si="19"/>
        <v/>
      </c>
      <c r="G436" s="17" t="str">
        <f t="shared" si="20"/>
        <v/>
      </c>
      <c r="I436" s="17" t="str">
        <f t="shared" si="21"/>
        <v/>
      </c>
    </row>
    <row r="437" spans="1:9">
      <c r="A437" s="15" t="str">
        <f t="shared" si="19"/>
        <v/>
      </c>
      <c r="G437" s="17" t="str">
        <f t="shared" si="20"/>
        <v/>
      </c>
      <c r="I437" s="17" t="str">
        <f t="shared" si="21"/>
        <v/>
      </c>
    </row>
    <row r="438" spans="1:9">
      <c r="A438" s="15" t="str">
        <f t="shared" si="19"/>
        <v/>
      </c>
      <c r="G438" s="17" t="str">
        <f t="shared" si="20"/>
        <v/>
      </c>
      <c r="I438" s="17" t="str">
        <f t="shared" si="21"/>
        <v/>
      </c>
    </row>
    <row r="439" spans="1:9">
      <c r="A439" s="15" t="str">
        <f t="shared" si="19"/>
        <v/>
      </c>
      <c r="G439" s="17" t="str">
        <f t="shared" si="20"/>
        <v/>
      </c>
      <c r="I439" s="17" t="str">
        <f t="shared" si="21"/>
        <v/>
      </c>
    </row>
    <row r="440" spans="1:9">
      <c r="A440" s="15" t="str">
        <f t="shared" si="19"/>
        <v/>
      </c>
      <c r="G440" s="17" t="str">
        <f t="shared" si="20"/>
        <v/>
      </c>
      <c r="I440" s="17" t="str">
        <f t="shared" si="21"/>
        <v/>
      </c>
    </row>
    <row r="441" spans="1:9">
      <c r="A441" s="15" t="str">
        <f t="shared" si="19"/>
        <v/>
      </c>
      <c r="G441" s="17" t="str">
        <f t="shared" si="20"/>
        <v/>
      </c>
      <c r="I441" s="17" t="str">
        <f t="shared" si="21"/>
        <v/>
      </c>
    </row>
    <row r="442" spans="1:9">
      <c r="A442" s="15" t="str">
        <f t="shared" si="19"/>
        <v/>
      </c>
      <c r="G442" s="17" t="str">
        <f t="shared" si="20"/>
        <v/>
      </c>
      <c r="I442" s="17" t="str">
        <f t="shared" si="21"/>
        <v/>
      </c>
    </row>
    <row r="443" spans="1:9">
      <c r="A443" s="15" t="str">
        <f t="shared" si="19"/>
        <v/>
      </c>
      <c r="G443" s="17" t="str">
        <f t="shared" si="20"/>
        <v/>
      </c>
      <c r="I443" s="17" t="str">
        <f t="shared" si="21"/>
        <v/>
      </c>
    </row>
    <row r="444" spans="1:9">
      <c r="A444" s="15" t="str">
        <f t="shared" si="19"/>
        <v/>
      </c>
      <c r="G444" s="17" t="str">
        <f t="shared" si="20"/>
        <v/>
      </c>
      <c r="I444" s="17" t="str">
        <f t="shared" si="21"/>
        <v/>
      </c>
    </row>
    <row r="445" spans="1:9">
      <c r="A445" s="15" t="str">
        <f t="shared" si="19"/>
        <v/>
      </c>
      <c r="G445" s="17" t="str">
        <f t="shared" si="20"/>
        <v/>
      </c>
      <c r="I445" s="17" t="str">
        <f t="shared" si="21"/>
        <v/>
      </c>
    </row>
    <row r="446" spans="1:9">
      <c r="A446" s="15" t="str">
        <f t="shared" si="19"/>
        <v/>
      </c>
      <c r="G446" s="17" t="str">
        <f t="shared" si="20"/>
        <v/>
      </c>
      <c r="I446" s="17" t="str">
        <f t="shared" si="21"/>
        <v/>
      </c>
    </row>
    <row r="447" spans="1:9">
      <c r="A447" s="15" t="str">
        <f t="shared" si="19"/>
        <v/>
      </c>
      <c r="G447" s="17" t="str">
        <f t="shared" si="20"/>
        <v/>
      </c>
      <c r="I447" s="17" t="str">
        <f t="shared" si="21"/>
        <v/>
      </c>
    </row>
    <row r="448" spans="1:9">
      <c r="A448" s="15" t="str">
        <f t="shared" si="19"/>
        <v/>
      </c>
      <c r="G448" s="17" t="str">
        <f t="shared" si="20"/>
        <v/>
      </c>
      <c r="I448" s="17" t="str">
        <f t="shared" si="21"/>
        <v/>
      </c>
    </row>
    <row r="449" spans="1:9">
      <c r="A449" s="15" t="str">
        <f t="shared" si="19"/>
        <v/>
      </c>
      <c r="G449" s="17" t="str">
        <f t="shared" si="20"/>
        <v/>
      </c>
      <c r="I449" s="17" t="str">
        <f t="shared" si="21"/>
        <v/>
      </c>
    </row>
    <row r="450" spans="1:9">
      <c r="A450" s="15" t="str">
        <f t="shared" si="19"/>
        <v/>
      </c>
      <c r="G450" s="17" t="str">
        <f t="shared" si="20"/>
        <v/>
      </c>
      <c r="I450" s="17" t="str">
        <f t="shared" si="21"/>
        <v/>
      </c>
    </row>
    <row r="451" spans="1:9">
      <c r="A451" s="15" t="str">
        <f t="shared" si="19"/>
        <v/>
      </c>
      <c r="G451" s="17" t="str">
        <f t="shared" si="20"/>
        <v/>
      </c>
      <c r="I451" s="17" t="str">
        <f t="shared" si="21"/>
        <v/>
      </c>
    </row>
    <row r="452" spans="1:9">
      <c r="A452" s="15" t="str">
        <f t="shared" si="19"/>
        <v/>
      </c>
      <c r="G452" s="17" t="str">
        <f t="shared" si="20"/>
        <v/>
      </c>
      <c r="I452" s="17" t="str">
        <f t="shared" si="21"/>
        <v/>
      </c>
    </row>
    <row r="453" spans="1:9">
      <c r="A453" s="15" t="str">
        <f t="shared" si="19"/>
        <v/>
      </c>
      <c r="G453" s="17" t="str">
        <f t="shared" si="20"/>
        <v/>
      </c>
      <c r="I453" s="17" t="str">
        <f t="shared" si="21"/>
        <v/>
      </c>
    </row>
    <row r="454" spans="1:9">
      <c r="A454" s="15" t="str">
        <f t="shared" si="19"/>
        <v/>
      </c>
      <c r="G454" s="17" t="str">
        <f t="shared" si="20"/>
        <v/>
      </c>
      <c r="I454" s="17" t="str">
        <f t="shared" si="21"/>
        <v/>
      </c>
    </row>
    <row r="455" spans="1:9">
      <c r="A455" s="15" t="str">
        <f t="shared" si="19"/>
        <v/>
      </c>
      <c r="G455" s="17" t="str">
        <f t="shared" si="20"/>
        <v/>
      </c>
      <c r="I455" s="17" t="str">
        <f t="shared" si="21"/>
        <v/>
      </c>
    </row>
    <row r="456" spans="1:9">
      <c r="A456" s="15" t="str">
        <f t="shared" si="19"/>
        <v/>
      </c>
      <c r="G456" s="17" t="str">
        <f t="shared" si="20"/>
        <v/>
      </c>
      <c r="I456" s="17" t="str">
        <f t="shared" si="21"/>
        <v/>
      </c>
    </row>
    <row r="457" spans="1:9">
      <c r="A457" s="15" t="str">
        <f t="shared" si="19"/>
        <v/>
      </c>
      <c r="G457" s="17" t="str">
        <f t="shared" si="20"/>
        <v/>
      </c>
      <c r="I457" s="17" t="str">
        <f t="shared" si="21"/>
        <v/>
      </c>
    </row>
    <row r="458" spans="1:9">
      <c r="A458" s="15" t="str">
        <f t="shared" si="19"/>
        <v/>
      </c>
      <c r="G458" s="17" t="str">
        <f t="shared" si="20"/>
        <v/>
      </c>
      <c r="I458" s="17" t="str">
        <f t="shared" si="21"/>
        <v/>
      </c>
    </row>
    <row r="459" spans="1:9">
      <c r="A459" s="15" t="str">
        <f t="shared" si="19"/>
        <v/>
      </c>
      <c r="G459" s="17" t="str">
        <f t="shared" si="20"/>
        <v/>
      </c>
      <c r="I459" s="17" t="str">
        <f t="shared" si="21"/>
        <v/>
      </c>
    </row>
    <row r="460" spans="1:9">
      <c r="A460" s="15" t="str">
        <f t="shared" si="19"/>
        <v/>
      </c>
      <c r="G460" s="17" t="str">
        <f t="shared" si="20"/>
        <v/>
      </c>
      <c r="I460" s="17" t="str">
        <f t="shared" si="21"/>
        <v/>
      </c>
    </row>
    <row r="461" spans="1:9">
      <c r="A461" s="15" t="str">
        <f t="shared" si="19"/>
        <v/>
      </c>
      <c r="G461" s="17" t="str">
        <f t="shared" si="20"/>
        <v/>
      </c>
      <c r="I461" s="17" t="str">
        <f t="shared" si="21"/>
        <v/>
      </c>
    </row>
    <row r="462" spans="1:9">
      <c r="A462" s="15" t="str">
        <f t="shared" si="19"/>
        <v/>
      </c>
      <c r="G462" s="17" t="str">
        <f t="shared" si="20"/>
        <v/>
      </c>
      <c r="I462" s="17" t="str">
        <f t="shared" si="21"/>
        <v/>
      </c>
    </row>
    <row r="463" spans="1:9">
      <c r="A463" s="15" t="str">
        <f t="shared" si="19"/>
        <v/>
      </c>
      <c r="G463" s="17" t="str">
        <f t="shared" si="20"/>
        <v/>
      </c>
      <c r="I463" s="17" t="str">
        <f t="shared" si="21"/>
        <v/>
      </c>
    </row>
    <row r="464" spans="1:9">
      <c r="A464" s="15" t="str">
        <f t="shared" si="19"/>
        <v/>
      </c>
      <c r="G464" s="17" t="str">
        <f t="shared" si="20"/>
        <v/>
      </c>
      <c r="I464" s="17" t="str">
        <f t="shared" si="21"/>
        <v/>
      </c>
    </row>
    <row r="465" spans="1:9">
      <c r="A465" s="15" t="str">
        <f t="shared" si="19"/>
        <v/>
      </c>
      <c r="G465" s="17" t="str">
        <f t="shared" si="20"/>
        <v/>
      </c>
      <c r="I465" s="17" t="str">
        <f t="shared" si="21"/>
        <v/>
      </c>
    </row>
    <row r="466" spans="1:9">
      <c r="A466" s="15" t="str">
        <f t="shared" si="19"/>
        <v/>
      </c>
      <c r="G466" s="17" t="str">
        <f t="shared" si="20"/>
        <v/>
      </c>
      <c r="I466" s="17" t="str">
        <f t="shared" si="21"/>
        <v/>
      </c>
    </row>
    <row r="467" spans="1:9">
      <c r="A467" s="15" t="str">
        <f t="shared" si="19"/>
        <v/>
      </c>
      <c r="G467" s="17" t="str">
        <f t="shared" si="20"/>
        <v/>
      </c>
      <c r="I467" s="17" t="str">
        <f t="shared" si="21"/>
        <v/>
      </c>
    </row>
    <row r="468" spans="1:9">
      <c r="A468" s="15" t="str">
        <f t="shared" si="19"/>
        <v/>
      </c>
      <c r="G468" s="17" t="str">
        <f t="shared" si="20"/>
        <v/>
      </c>
      <c r="I468" s="17" t="str">
        <f t="shared" si="21"/>
        <v/>
      </c>
    </row>
    <row r="469" spans="1:9">
      <c r="A469" s="15" t="str">
        <f t="shared" si="19"/>
        <v/>
      </c>
      <c r="G469" s="17" t="str">
        <f t="shared" si="20"/>
        <v/>
      </c>
      <c r="I469" s="17" t="str">
        <f t="shared" si="21"/>
        <v/>
      </c>
    </row>
    <row r="470" spans="1:9">
      <c r="A470" s="15" t="str">
        <f t="shared" si="19"/>
        <v/>
      </c>
      <c r="G470" s="17" t="str">
        <f t="shared" si="20"/>
        <v/>
      </c>
      <c r="I470" s="17" t="str">
        <f t="shared" si="21"/>
        <v/>
      </c>
    </row>
    <row r="471" spans="1:9">
      <c r="A471" s="15" t="str">
        <f t="shared" si="19"/>
        <v/>
      </c>
      <c r="G471" s="17" t="str">
        <f t="shared" si="20"/>
        <v/>
      </c>
      <c r="I471" s="17" t="str">
        <f t="shared" si="21"/>
        <v/>
      </c>
    </row>
    <row r="472" spans="1:9">
      <c r="A472" s="15" t="str">
        <f t="shared" ref="A472:A535" si="22">IF(B472&lt;&gt;"",ROW()-2,"")</f>
        <v/>
      </c>
      <c r="G472" s="17" t="str">
        <f t="shared" si="20"/>
        <v/>
      </c>
      <c r="I472" s="17" t="str">
        <f t="shared" si="21"/>
        <v/>
      </c>
    </row>
    <row r="473" spans="1:9">
      <c r="A473" s="15" t="str">
        <f t="shared" si="22"/>
        <v/>
      </c>
      <c r="G473" s="17" t="str">
        <f t="shared" si="20"/>
        <v/>
      </c>
      <c r="I473" s="17" t="str">
        <f t="shared" si="21"/>
        <v/>
      </c>
    </row>
    <row r="474" spans="1:9">
      <c r="A474" s="15" t="str">
        <f t="shared" si="22"/>
        <v/>
      </c>
      <c r="G474" s="17" t="str">
        <f t="shared" si="20"/>
        <v/>
      </c>
      <c r="I474" s="17" t="str">
        <f t="shared" si="21"/>
        <v/>
      </c>
    </row>
    <row r="475" spans="1:9">
      <c r="A475" s="15" t="str">
        <f t="shared" si="22"/>
        <v/>
      </c>
      <c r="G475" s="17" t="str">
        <f t="shared" si="20"/>
        <v/>
      </c>
      <c r="I475" s="17" t="str">
        <f t="shared" si="21"/>
        <v/>
      </c>
    </row>
    <row r="476" spans="1:9">
      <c r="A476" s="15" t="str">
        <f t="shared" si="22"/>
        <v/>
      </c>
      <c r="G476" s="17" t="str">
        <f t="shared" si="20"/>
        <v/>
      </c>
      <c r="I476" s="17" t="str">
        <f t="shared" si="21"/>
        <v/>
      </c>
    </row>
    <row r="477" spans="1:9">
      <c r="A477" s="15" t="str">
        <f t="shared" si="22"/>
        <v/>
      </c>
      <c r="G477" s="17" t="str">
        <f t="shared" si="20"/>
        <v/>
      </c>
      <c r="I477" s="17" t="str">
        <f t="shared" si="21"/>
        <v/>
      </c>
    </row>
    <row r="478" spans="1:9">
      <c r="A478" s="15" t="str">
        <f t="shared" si="22"/>
        <v/>
      </c>
      <c r="G478" s="17" t="str">
        <f t="shared" si="20"/>
        <v/>
      </c>
      <c r="I478" s="17" t="str">
        <f t="shared" si="21"/>
        <v/>
      </c>
    </row>
    <row r="479" spans="1:9">
      <c r="A479" s="15" t="str">
        <f t="shared" si="22"/>
        <v/>
      </c>
      <c r="G479" s="17" t="str">
        <f t="shared" si="20"/>
        <v/>
      </c>
      <c r="I479" s="17" t="str">
        <f t="shared" si="21"/>
        <v/>
      </c>
    </row>
    <row r="480" spans="1:9">
      <c r="A480" s="15" t="str">
        <f t="shared" si="22"/>
        <v/>
      </c>
      <c r="G480" s="17" t="str">
        <f t="shared" si="20"/>
        <v/>
      </c>
      <c r="I480" s="17" t="str">
        <f t="shared" si="21"/>
        <v/>
      </c>
    </row>
    <row r="481" spans="1:9">
      <c r="A481" s="15" t="str">
        <f t="shared" si="22"/>
        <v/>
      </c>
      <c r="G481" s="17" t="str">
        <f t="shared" si="20"/>
        <v/>
      </c>
      <c r="I481" s="17" t="str">
        <f t="shared" si="21"/>
        <v/>
      </c>
    </row>
    <row r="482" spans="1:9">
      <c r="A482" s="15" t="str">
        <f t="shared" si="22"/>
        <v/>
      </c>
      <c r="G482" s="17" t="str">
        <f t="shared" si="20"/>
        <v/>
      </c>
      <c r="I482" s="17" t="str">
        <f t="shared" si="21"/>
        <v/>
      </c>
    </row>
    <row r="483" spans="1:9">
      <c r="A483" s="15" t="str">
        <f t="shared" si="22"/>
        <v/>
      </c>
      <c r="G483" s="17" t="str">
        <f t="shared" si="20"/>
        <v/>
      </c>
      <c r="I483" s="17" t="str">
        <f t="shared" si="21"/>
        <v/>
      </c>
    </row>
    <row r="484" spans="1:9">
      <c r="A484" s="15" t="str">
        <f t="shared" si="22"/>
        <v/>
      </c>
      <c r="G484" s="17" t="str">
        <f t="shared" si="20"/>
        <v/>
      </c>
      <c r="I484" s="17" t="str">
        <f t="shared" si="21"/>
        <v/>
      </c>
    </row>
    <row r="485" spans="1:9">
      <c r="A485" s="15" t="str">
        <f t="shared" si="22"/>
        <v/>
      </c>
      <c r="G485" s="17" t="str">
        <f t="shared" si="20"/>
        <v/>
      </c>
      <c r="I485" s="17" t="str">
        <f t="shared" si="21"/>
        <v/>
      </c>
    </row>
    <row r="486" spans="1:9">
      <c r="A486" s="15" t="str">
        <f t="shared" si="22"/>
        <v/>
      </c>
      <c r="G486" s="17" t="str">
        <f t="shared" si="20"/>
        <v/>
      </c>
      <c r="I486" s="17" t="str">
        <f t="shared" si="21"/>
        <v/>
      </c>
    </row>
    <row r="487" spans="1:9">
      <c r="A487" s="15" t="str">
        <f t="shared" si="22"/>
        <v/>
      </c>
      <c r="G487" s="17" t="str">
        <f t="shared" si="20"/>
        <v/>
      </c>
      <c r="I487" s="17" t="str">
        <f t="shared" si="21"/>
        <v/>
      </c>
    </row>
    <row r="488" spans="1:9">
      <c r="A488" s="15" t="str">
        <f t="shared" si="22"/>
        <v/>
      </c>
      <c r="G488" s="17" t="str">
        <f t="shared" si="20"/>
        <v/>
      </c>
      <c r="I488" s="17" t="str">
        <f t="shared" si="21"/>
        <v/>
      </c>
    </row>
    <row r="489" spans="1:9">
      <c r="A489" s="15" t="str">
        <f t="shared" si="22"/>
        <v/>
      </c>
      <c r="G489" s="17" t="str">
        <f t="shared" si="20"/>
        <v/>
      </c>
      <c r="I489" s="17" t="str">
        <f t="shared" si="21"/>
        <v/>
      </c>
    </row>
    <row r="490" spans="1:9">
      <c r="A490" s="15" t="str">
        <f t="shared" si="22"/>
        <v/>
      </c>
      <c r="G490" s="17" t="str">
        <f t="shared" si="20"/>
        <v/>
      </c>
      <c r="I490" s="17" t="str">
        <f t="shared" si="21"/>
        <v/>
      </c>
    </row>
    <row r="491" spans="1:9">
      <c r="A491" s="15" t="str">
        <f t="shared" si="22"/>
        <v/>
      </c>
      <c r="G491" s="17" t="str">
        <f t="shared" si="20"/>
        <v/>
      </c>
      <c r="I491" s="17" t="str">
        <f t="shared" si="21"/>
        <v/>
      </c>
    </row>
    <row r="492" spans="1:9">
      <c r="A492" s="15" t="str">
        <f t="shared" si="22"/>
        <v/>
      </c>
      <c r="G492" s="17" t="str">
        <f t="shared" si="20"/>
        <v/>
      </c>
      <c r="I492" s="17" t="str">
        <f t="shared" si="21"/>
        <v/>
      </c>
    </row>
    <row r="493" spans="1:9">
      <c r="A493" s="15" t="str">
        <f t="shared" si="22"/>
        <v/>
      </c>
      <c r="G493" s="17" t="str">
        <f t="shared" si="20"/>
        <v/>
      </c>
      <c r="I493" s="17" t="str">
        <f t="shared" si="21"/>
        <v/>
      </c>
    </row>
    <row r="494" spans="1:9">
      <c r="A494" s="15" t="str">
        <f t="shared" si="22"/>
        <v/>
      </c>
      <c r="G494" s="17" t="str">
        <f t="shared" si="20"/>
        <v/>
      </c>
      <c r="I494" s="17" t="str">
        <f t="shared" si="21"/>
        <v/>
      </c>
    </row>
    <row r="495" spans="1:9">
      <c r="A495" s="15" t="str">
        <f t="shared" si="22"/>
        <v/>
      </c>
      <c r="G495" s="17" t="str">
        <f t="shared" ref="G495:G558" si="23">IFERROR(VLOOKUP(C495,$U$3:$W$19,2,),"")</f>
        <v/>
      </c>
      <c r="I495" s="17" t="str">
        <f t="shared" ref="I495:I558" si="24">IFERROR(VLOOKUP(C495,$U$3:$W$19,3,),"")</f>
        <v/>
      </c>
    </row>
    <row r="496" spans="1:9">
      <c r="A496" s="15" t="str">
        <f t="shared" si="22"/>
        <v/>
      </c>
      <c r="G496" s="17" t="str">
        <f t="shared" si="23"/>
        <v/>
      </c>
      <c r="I496" s="17" t="str">
        <f t="shared" si="24"/>
        <v/>
      </c>
    </row>
    <row r="497" spans="1:9">
      <c r="A497" s="15" t="str">
        <f t="shared" si="22"/>
        <v/>
      </c>
      <c r="G497" s="17" t="str">
        <f t="shared" si="23"/>
        <v/>
      </c>
      <c r="I497" s="17" t="str">
        <f t="shared" si="24"/>
        <v/>
      </c>
    </row>
    <row r="498" spans="1:9">
      <c r="A498" s="15" t="str">
        <f t="shared" si="22"/>
        <v/>
      </c>
      <c r="G498" s="17" t="str">
        <f t="shared" si="23"/>
        <v/>
      </c>
      <c r="I498" s="17" t="str">
        <f t="shared" si="24"/>
        <v/>
      </c>
    </row>
    <row r="499" spans="1:9">
      <c r="A499" s="15" t="str">
        <f t="shared" si="22"/>
        <v/>
      </c>
      <c r="G499" s="17" t="str">
        <f t="shared" si="23"/>
        <v/>
      </c>
      <c r="I499" s="17" t="str">
        <f t="shared" si="24"/>
        <v/>
      </c>
    </row>
    <row r="500" spans="1:9">
      <c r="A500" s="15" t="str">
        <f t="shared" si="22"/>
        <v/>
      </c>
      <c r="G500" s="17" t="str">
        <f t="shared" si="23"/>
        <v/>
      </c>
      <c r="I500" s="17" t="str">
        <f t="shared" si="24"/>
        <v/>
      </c>
    </row>
    <row r="501" spans="1:9">
      <c r="A501" s="15" t="str">
        <f t="shared" si="22"/>
        <v/>
      </c>
      <c r="G501" s="17" t="str">
        <f t="shared" si="23"/>
        <v/>
      </c>
      <c r="I501" s="17" t="str">
        <f t="shared" si="24"/>
        <v/>
      </c>
    </row>
    <row r="502" spans="1:9">
      <c r="A502" s="15" t="str">
        <f t="shared" si="22"/>
        <v/>
      </c>
      <c r="G502" s="17" t="str">
        <f t="shared" si="23"/>
        <v/>
      </c>
      <c r="I502" s="17" t="str">
        <f t="shared" si="24"/>
        <v/>
      </c>
    </row>
    <row r="503" spans="1:9">
      <c r="A503" s="15" t="str">
        <f t="shared" si="22"/>
        <v/>
      </c>
      <c r="G503" s="17" t="str">
        <f t="shared" si="23"/>
        <v/>
      </c>
      <c r="I503" s="17" t="str">
        <f t="shared" si="24"/>
        <v/>
      </c>
    </row>
    <row r="504" spans="1:9">
      <c r="A504" s="15" t="str">
        <f t="shared" si="22"/>
        <v/>
      </c>
      <c r="G504" s="17" t="str">
        <f t="shared" si="23"/>
        <v/>
      </c>
      <c r="I504" s="17" t="str">
        <f t="shared" si="24"/>
        <v/>
      </c>
    </row>
    <row r="505" spans="1:9">
      <c r="A505" s="15" t="str">
        <f t="shared" si="22"/>
        <v/>
      </c>
      <c r="G505" s="17" t="str">
        <f t="shared" si="23"/>
        <v/>
      </c>
      <c r="I505" s="17" t="str">
        <f t="shared" si="24"/>
        <v/>
      </c>
    </row>
    <row r="506" spans="1:9">
      <c r="A506" s="15" t="str">
        <f t="shared" si="22"/>
        <v/>
      </c>
      <c r="G506" s="17" t="str">
        <f t="shared" si="23"/>
        <v/>
      </c>
      <c r="I506" s="17" t="str">
        <f t="shared" si="24"/>
        <v/>
      </c>
    </row>
    <row r="507" spans="1:9">
      <c r="A507" s="15" t="str">
        <f t="shared" si="22"/>
        <v/>
      </c>
      <c r="G507" s="17" t="str">
        <f t="shared" si="23"/>
        <v/>
      </c>
      <c r="I507" s="17" t="str">
        <f t="shared" si="24"/>
        <v/>
      </c>
    </row>
    <row r="508" spans="1:9">
      <c r="A508" s="15" t="str">
        <f t="shared" si="22"/>
        <v/>
      </c>
      <c r="G508" s="17" t="str">
        <f t="shared" si="23"/>
        <v/>
      </c>
      <c r="I508" s="17" t="str">
        <f t="shared" si="24"/>
        <v/>
      </c>
    </row>
    <row r="509" spans="1:9">
      <c r="A509" s="15" t="str">
        <f t="shared" si="22"/>
        <v/>
      </c>
      <c r="G509" s="17" t="str">
        <f t="shared" si="23"/>
        <v/>
      </c>
      <c r="I509" s="17" t="str">
        <f t="shared" si="24"/>
        <v/>
      </c>
    </row>
    <row r="510" spans="1:9">
      <c r="A510" s="15" t="str">
        <f t="shared" si="22"/>
        <v/>
      </c>
      <c r="G510" s="17" t="str">
        <f t="shared" si="23"/>
        <v/>
      </c>
      <c r="I510" s="17" t="str">
        <f t="shared" si="24"/>
        <v/>
      </c>
    </row>
    <row r="511" spans="1:9">
      <c r="A511" s="15" t="str">
        <f t="shared" si="22"/>
        <v/>
      </c>
      <c r="G511" s="17" t="str">
        <f t="shared" si="23"/>
        <v/>
      </c>
      <c r="I511" s="17" t="str">
        <f t="shared" si="24"/>
        <v/>
      </c>
    </row>
    <row r="512" spans="1:9">
      <c r="A512" s="15" t="str">
        <f t="shared" si="22"/>
        <v/>
      </c>
      <c r="G512" s="17" t="str">
        <f t="shared" si="23"/>
        <v/>
      </c>
      <c r="I512" s="17" t="str">
        <f t="shared" si="24"/>
        <v/>
      </c>
    </row>
    <row r="513" spans="1:9">
      <c r="A513" s="15" t="str">
        <f t="shared" si="22"/>
        <v/>
      </c>
      <c r="G513" s="17" t="str">
        <f t="shared" si="23"/>
        <v/>
      </c>
      <c r="I513" s="17" t="str">
        <f t="shared" si="24"/>
        <v/>
      </c>
    </row>
    <row r="514" spans="1:9">
      <c r="A514" s="15" t="str">
        <f t="shared" si="22"/>
        <v/>
      </c>
      <c r="G514" s="17" t="str">
        <f t="shared" si="23"/>
        <v/>
      </c>
      <c r="I514" s="17" t="str">
        <f t="shared" si="24"/>
        <v/>
      </c>
    </row>
    <row r="515" spans="1:9">
      <c r="A515" s="15" t="str">
        <f t="shared" si="22"/>
        <v/>
      </c>
      <c r="G515" s="17" t="str">
        <f t="shared" si="23"/>
        <v/>
      </c>
      <c r="I515" s="17" t="str">
        <f t="shared" si="24"/>
        <v/>
      </c>
    </row>
    <row r="516" spans="1:9">
      <c r="A516" s="15" t="str">
        <f t="shared" si="22"/>
        <v/>
      </c>
      <c r="G516" s="17" t="str">
        <f t="shared" si="23"/>
        <v/>
      </c>
      <c r="I516" s="17" t="str">
        <f t="shared" si="24"/>
        <v/>
      </c>
    </row>
    <row r="517" spans="1:9">
      <c r="A517" s="15" t="str">
        <f t="shared" si="22"/>
        <v/>
      </c>
      <c r="G517" s="17" t="str">
        <f t="shared" si="23"/>
        <v/>
      </c>
      <c r="I517" s="17" t="str">
        <f t="shared" si="24"/>
        <v/>
      </c>
    </row>
    <row r="518" spans="1:9">
      <c r="A518" s="15" t="str">
        <f t="shared" si="22"/>
        <v/>
      </c>
      <c r="G518" s="17" t="str">
        <f t="shared" si="23"/>
        <v/>
      </c>
      <c r="I518" s="17" t="str">
        <f t="shared" si="24"/>
        <v/>
      </c>
    </row>
    <row r="519" spans="1:9">
      <c r="A519" s="15" t="str">
        <f t="shared" si="22"/>
        <v/>
      </c>
      <c r="G519" s="17" t="str">
        <f t="shared" si="23"/>
        <v/>
      </c>
      <c r="I519" s="17" t="str">
        <f t="shared" si="24"/>
        <v/>
      </c>
    </row>
    <row r="520" spans="1:9">
      <c r="A520" s="15" t="str">
        <f t="shared" si="22"/>
        <v/>
      </c>
      <c r="G520" s="17" t="str">
        <f t="shared" si="23"/>
        <v/>
      </c>
      <c r="I520" s="17" t="str">
        <f t="shared" si="24"/>
        <v/>
      </c>
    </row>
    <row r="521" spans="1:9">
      <c r="A521" s="15" t="str">
        <f t="shared" si="22"/>
        <v/>
      </c>
      <c r="G521" s="17" t="str">
        <f t="shared" si="23"/>
        <v/>
      </c>
      <c r="I521" s="17" t="str">
        <f t="shared" si="24"/>
        <v/>
      </c>
    </row>
    <row r="522" spans="1:9">
      <c r="A522" s="15" t="str">
        <f t="shared" si="22"/>
        <v/>
      </c>
      <c r="G522" s="17" t="str">
        <f t="shared" si="23"/>
        <v/>
      </c>
      <c r="I522" s="17" t="str">
        <f t="shared" si="24"/>
        <v/>
      </c>
    </row>
    <row r="523" spans="1:9">
      <c r="A523" s="15" t="str">
        <f t="shared" si="22"/>
        <v/>
      </c>
      <c r="G523" s="17" t="str">
        <f t="shared" si="23"/>
        <v/>
      </c>
      <c r="I523" s="17" t="str">
        <f t="shared" si="24"/>
        <v/>
      </c>
    </row>
    <row r="524" spans="1:9">
      <c r="A524" s="15" t="str">
        <f t="shared" si="22"/>
        <v/>
      </c>
      <c r="G524" s="17" t="str">
        <f t="shared" si="23"/>
        <v/>
      </c>
      <c r="I524" s="17" t="str">
        <f t="shared" si="24"/>
        <v/>
      </c>
    </row>
    <row r="525" spans="1:9">
      <c r="A525" s="15" t="str">
        <f t="shared" si="22"/>
        <v/>
      </c>
      <c r="G525" s="17" t="str">
        <f t="shared" si="23"/>
        <v/>
      </c>
      <c r="I525" s="17" t="str">
        <f t="shared" si="24"/>
        <v/>
      </c>
    </row>
    <row r="526" spans="1:9">
      <c r="A526" s="15" t="str">
        <f t="shared" si="22"/>
        <v/>
      </c>
      <c r="G526" s="17" t="str">
        <f t="shared" si="23"/>
        <v/>
      </c>
      <c r="I526" s="17" t="str">
        <f t="shared" si="24"/>
        <v/>
      </c>
    </row>
    <row r="527" spans="1:9">
      <c r="A527" s="15" t="str">
        <f t="shared" si="22"/>
        <v/>
      </c>
      <c r="G527" s="17" t="str">
        <f t="shared" si="23"/>
        <v/>
      </c>
      <c r="I527" s="17" t="str">
        <f t="shared" si="24"/>
        <v/>
      </c>
    </row>
    <row r="528" spans="1:9">
      <c r="A528" s="15" t="str">
        <f t="shared" si="22"/>
        <v/>
      </c>
      <c r="G528" s="17" t="str">
        <f t="shared" si="23"/>
        <v/>
      </c>
      <c r="I528" s="17" t="str">
        <f t="shared" si="24"/>
        <v/>
      </c>
    </row>
    <row r="529" spans="1:9">
      <c r="A529" s="15" t="str">
        <f t="shared" si="22"/>
        <v/>
      </c>
      <c r="G529" s="17" t="str">
        <f t="shared" si="23"/>
        <v/>
      </c>
      <c r="I529" s="17" t="str">
        <f t="shared" si="24"/>
        <v/>
      </c>
    </row>
    <row r="530" spans="1:9">
      <c r="A530" s="15" t="str">
        <f t="shared" si="22"/>
        <v/>
      </c>
      <c r="G530" s="17" t="str">
        <f t="shared" si="23"/>
        <v/>
      </c>
      <c r="I530" s="17" t="str">
        <f t="shared" si="24"/>
        <v/>
      </c>
    </row>
    <row r="531" spans="1:9">
      <c r="A531" s="15" t="str">
        <f t="shared" si="22"/>
        <v/>
      </c>
      <c r="G531" s="17" t="str">
        <f t="shared" si="23"/>
        <v/>
      </c>
      <c r="I531" s="17" t="str">
        <f t="shared" si="24"/>
        <v/>
      </c>
    </row>
    <row r="532" spans="1:9">
      <c r="A532" s="15" t="str">
        <f t="shared" si="22"/>
        <v/>
      </c>
      <c r="G532" s="17" t="str">
        <f t="shared" si="23"/>
        <v/>
      </c>
      <c r="I532" s="17" t="str">
        <f t="shared" si="24"/>
        <v/>
      </c>
    </row>
    <row r="533" spans="1:9">
      <c r="A533" s="15" t="str">
        <f t="shared" si="22"/>
        <v/>
      </c>
      <c r="G533" s="17" t="str">
        <f t="shared" si="23"/>
        <v/>
      </c>
      <c r="I533" s="17" t="str">
        <f t="shared" si="24"/>
        <v/>
      </c>
    </row>
    <row r="534" spans="1:9">
      <c r="A534" s="15" t="str">
        <f t="shared" si="22"/>
        <v/>
      </c>
      <c r="G534" s="17" t="str">
        <f t="shared" si="23"/>
        <v/>
      </c>
      <c r="I534" s="17" t="str">
        <f t="shared" si="24"/>
        <v/>
      </c>
    </row>
    <row r="535" spans="1:9">
      <c r="A535" s="15" t="str">
        <f t="shared" si="22"/>
        <v/>
      </c>
      <c r="G535" s="17" t="str">
        <f t="shared" si="23"/>
        <v/>
      </c>
      <c r="I535" s="17" t="str">
        <f t="shared" si="24"/>
        <v/>
      </c>
    </row>
    <row r="536" spans="1:9">
      <c r="A536" s="15" t="str">
        <f t="shared" ref="A536:A599" si="25">IF(B536&lt;&gt;"",ROW()-2,"")</f>
        <v/>
      </c>
      <c r="G536" s="17" t="str">
        <f t="shared" si="23"/>
        <v/>
      </c>
      <c r="I536" s="17" t="str">
        <f t="shared" si="24"/>
        <v/>
      </c>
    </row>
    <row r="537" spans="1:9">
      <c r="A537" s="15" t="str">
        <f t="shared" si="25"/>
        <v/>
      </c>
      <c r="G537" s="17" t="str">
        <f t="shared" si="23"/>
        <v/>
      </c>
      <c r="I537" s="17" t="str">
        <f t="shared" si="24"/>
        <v/>
      </c>
    </row>
    <row r="538" spans="1:9">
      <c r="A538" s="15" t="str">
        <f t="shared" si="25"/>
        <v/>
      </c>
      <c r="G538" s="17" t="str">
        <f t="shared" si="23"/>
        <v/>
      </c>
      <c r="I538" s="17" t="str">
        <f t="shared" si="24"/>
        <v/>
      </c>
    </row>
    <row r="539" spans="1:9">
      <c r="A539" s="15" t="str">
        <f t="shared" si="25"/>
        <v/>
      </c>
      <c r="G539" s="17" t="str">
        <f t="shared" si="23"/>
        <v/>
      </c>
      <c r="I539" s="17" t="str">
        <f t="shared" si="24"/>
        <v/>
      </c>
    </row>
    <row r="540" spans="1:9">
      <c r="A540" s="15" t="str">
        <f t="shared" si="25"/>
        <v/>
      </c>
      <c r="G540" s="17" t="str">
        <f t="shared" si="23"/>
        <v/>
      </c>
      <c r="I540" s="17" t="str">
        <f t="shared" si="24"/>
        <v/>
      </c>
    </row>
    <row r="541" spans="1:9">
      <c r="A541" s="15" t="str">
        <f t="shared" si="25"/>
        <v/>
      </c>
      <c r="G541" s="17" t="str">
        <f t="shared" si="23"/>
        <v/>
      </c>
      <c r="I541" s="17" t="str">
        <f t="shared" si="24"/>
        <v/>
      </c>
    </row>
    <row r="542" spans="1:9">
      <c r="A542" s="15" t="str">
        <f t="shared" si="25"/>
        <v/>
      </c>
      <c r="G542" s="17" t="str">
        <f t="shared" si="23"/>
        <v/>
      </c>
      <c r="I542" s="17" t="str">
        <f t="shared" si="24"/>
        <v/>
      </c>
    </row>
    <row r="543" spans="1:9">
      <c r="A543" s="15" t="str">
        <f t="shared" si="25"/>
        <v/>
      </c>
      <c r="G543" s="17" t="str">
        <f t="shared" si="23"/>
        <v/>
      </c>
      <c r="I543" s="17" t="str">
        <f t="shared" si="24"/>
        <v/>
      </c>
    </row>
    <row r="544" spans="1:9">
      <c r="A544" s="15" t="str">
        <f t="shared" si="25"/>
        <v/>
      </c>
      <c r="G544" s="17" t="str">
        <f t="shared" si="23"/>
        <v/>
      </c>
      <c r="I544" s="17" t="str">
        <f t="shared" si="24"/>
        <v/>
      </c>
    </row>
    <row r="545" spans="1:9">
      <c r="A545" s="15" t="str">
        <f t="shared" si="25"/>
        <v/>
      </c>
      <c r="G545" s="17" t="str">
        <f t="shared" si="23"/>
        <v/>
      </c>
      <c r="I545" s="17" t="str">
        <f t="shared" si="24"/>
        <v/>
      </c>
    </row>
    <row r="546" spans="1:9">
      <c r="A546" s="15" t="str">
        <f t="shared" si="25"/>
        <v/>
      </c>
      <c r="G546" s="17" t="str">
        <f t="shared" si="23"/>
        <v/>
      </c>
      <c r="I546" s="17" t="str">
        <f t="shared" si="24"/>
        <v/>
      </c>
    </row>
    <row r="547" spans="1:9">
      <c r="A547" s="15" t="str">
        <f t="shared" si="25"/>
        <v/>
      </c>
      <c r="G547" s="17" t="str">
        <f t="shared" si="23"/>
        <v/>
      </c>
      <c r="I547" s="17" t="str">
        <f t="shared" si="24"/>
        <v/>
      </c>
    </row>
    <row r="548" spans="1:9">
      <c r="A548" s="15" t="str">
        <f t="shared" si="25"/>
        <v/>
      </c>
      <c r="G548" s="17" t="str">
        <f t="shared" si="23"/>
        <v/>
      </c>
      <c r="I548" s="17" t="str">
        <f t="shared" si="24"/>
        <v/>
      </c>
    </row>
    <row r="549" spans="1:9">
      <c r="A549" s="15" t="str">
        <f t="shared" si="25"/>
        <v/>
      </c>
      <c r="G549" s="17" t="str">
        <f t="shared" si="23"/>
        <v/>
      </c>
      <c r="I549" s="17" t="str">
        <f t="shared" si="24"/>
        <v/>
      </c>
    </row>
    <row r="550" spans="1:9">
      <c r="A550" s="15" t="str">
        <f t="shared" si="25"/>
        <v/>
      </c>
      <c r="G550" s="17" t="str">
        <f t="shared" si="23"/>
        <v/>
      </c>
      <c r="I550" s="17" t="str">
        <f t="shared" si="24"/>
        <v/>
      </c>
    </row>
    <row r="551" spans="1:9">
      <c r="A551" s="15" t="str">
        <f t="shared" si="25"/>
        <v/>
      </c>
      <c r="G551" s="17" t="str">
        <f t="shared" si="23"/>
        <v/>
      </c>
      <c r="I551" s="17" t="str">
        <f t="shared" si="24"/>
        <v/>
      </c>
    </row>
    <row r="552" spans="1:9">
      <c r="A552" s="15" t="str">
        <f t="shared" si="25"/>
        <v/>
      </c>
      <c r="G552" s="17" t="str">
        <f t="shared" si="23"/>
        <v/>
      </c>
      <c r="I552" s="17" t="str">
        <f t="shared" si="24"/>
        <v/>
      </c>
    </row>
    <row r="553" spans="1:9">
      <c r="A553" s="15" t="str">
        <f t="shared" si="25"/>
        <v/>
      </c>
      <c r="G553" s="17" t="str">
        <f t="shared" si="23"/>
        <v/>
      </c>
      <c r="I553" s="17" t="str">
        <f t="shared" si="24"/>
        <v/>
      </c>
    </row>
    <row r="554" spans="1:9">
      <c r="A554" s="15" t="str">
        <f t="shared" si="25"/>
        <v/>
      </c>
      <c r="G554" s="17" t="str">
        <f t="shared" si="23"/>
        <v/>
      </c>
      <c r="I554" s="17" t="str">
        <f t="shared" si="24"/>
        <v/>
      </c>
    </row>
    <row r="555" spans="1:9">
      <c r="A555" s="15" t="str">
        <f t="shared" si="25"/>
        <v/>
      </c>
      <c r="G555" s="17" t="str">
        <f t="shared" si="23"/>
        <v/>
      </c>
      <c r="I555" s="17" t="str">
        <f t="shared" si="24"/>
        <v/>
      </c>
    </row>
    <row r="556" spans="1:9">
      <c r="A556" s="15" t="str">
        <f t="shared" si="25"/>
        <v/>
      </c>
      <c r="G556" s="17" t="str">
        <f t="shared" si="23"/>
        <v/>
      </c>
      <c r="I556" s="17" t="str">
        <f t="shared" si="24"/>
        <v/>
      </c>
    </row>
    <row r="557" spans="1:9">
      <c r="A557" s="15" t="str">
        <f t="shared" si="25"/>
        <v/>
      </c>
      <c r="G557" s="17" t="str">
        <f t="shared" si="23"/>
        <v/>
      </c>
      <c r="I557" s="17" t="str">
        <f t="shared" si="24"/>
        <v/>
      </c>
    </row>
    <row r="558" spans="1:9">
      <c r="A558" s="15" t="str">
        <f t="shared" si="25"/>
        <v/>
      </c>
      <c r="G558" s="17" t="str">
        <f t="shared" si="23"/>
        <v/>
      </c>
      <c r="I558" s="17" t="str">
        <f t="shared" si="24"/>
        <v/>
      </c>
    </row>
    <row r="559" spans="1:9">
      <c r="A559" s="15" t="str">
        <f t="shared" si="25"/>
        <v/>
      </c>
      <c r="G559" s="17" t="str">
        <f t="shared" ref="G559:G622" si="26">IFERROR(VLOOKUP(C559,$U$3:$W$19,2,),"")</f>
        <v/>
      </c>
      <c r="I559" s="17" t="str">
        <f t="shared" ref="I559:I622" si="27">IFERROR(VLOOKUP(C559,$U$3:$W$19,3,),"")</f>
        <v/>
      </c>
    </row>
    <row r="560" spans="1:9">
      <c r="A560" s="15" t="str">
        <f t="shared" si="25"/>
        <v/>
      </c>
      <c r="G560" s="17" t="str">
        <f t="shared" si="26"/>
        <v/>
      </c>
      <c r="I560" s="17" t="str">
        <f t="shared" si="27"/>
        <v/>
      </c>
    </row>
    <row r="561" spans="1:9">
      <c r="A561" s="15" t="str">
        <f t="shared" si="25"/>
        <v/>
      </c>
      <c r="G561" s="17" t="str">
        <f t="shared" si="26"/>
        <v/>
      </c>
      <c r="I561" s="17" t="str">
        <f t="shared" si="27"/>
        <v/>
      </c>
    </row>
    <row r="562" spans="1:9">
      <c r="A562" s="15" t="str">
        <f t="shared" si="25"/>
        <v/>
      </c>
      <c r="G562" s="17" t="str">
        <f t="shared" si="26"/>
        <v/>
      </c>
      <c r="I562" s="17" t="str">
        <f t="shared" si="27"/>
        <v/>
      </c>
    </row>
    <row r="563" spans="1:9">
      <c r="A563" s="15" t="str">
        <f t="shared" si="25"/>
        <v/>
      </c>
      <c r="G563" s="17" t="str">
        <f t="shared" si="26"/>
        <v/>
      </c>
      <c r="I563" s="17" t="str">
        <f t="shared" si="27"/>
        <v/>
      </c>
    </row>
    <row r="564" spans="1:9">
      <c r="A564" s="15" t="str">
        <f t="shared" si="25"/>
        <v/>
      </c>
      <c r="G564" s="17" t="str">
        <f t="shared" si="26"/>
        <v/>
      </c>
      <c r="I564" s="17" t="str">
        <f t="shared" si="27"/>
        <v/>
      </c>
    </row>
    <row r="565" spans="1:9">
      <c r="A565" s="15" t="str">
        <f t="shared" si="25"/>
        <v/>
      </c>
      <c r="G565" s="17" t="str">
        <f t="shared" si="26"/>
        <v/>
      </c>
      <c r="I565" s="17" t="str">
        <f t="shared" si="27"/>
        <v/>
      </c>
    </row>
    <row r="566" spans="1:9">
      <c r="A566" s="15" t="str">
        <f t="shared" si="25"/>
        <v/>
      </c>
      <c r="G566" s="17" t="str">
        <f t="shared" si="26"/>
        <v/>
      </c>
      <c r="I566" s="17" t="str">
        <f t="shared" si="27"/>
        <v/>
      </c>
    </row>
    <row r="567" spans="1:9">
      <c r="A567" s="15" t="str">
        <f t="shared" si="25"/>
        <v/>
      </c>
      <c r="G567" s="17" t="str">
        <f t="shared" si="26"/>
        <v/>
      </c>
      <c r="I567" s="17" t="str">
        <f t="shared" si="27"/>
        <v/>
      </c>
    </row>
    <row r="568" spans="1:9">
      <c r="A568" s="15" t="str">
        <f t="shared" si="25"/>
        <v/>
      </c>
      <c r="G568" s="17" t="str">
        <f t="shared" si="26"/>
        <v/>
      </c>
      <c r="I568" s="17" t="str">
        <f t="shared" si="27"/>
        <v/>
      </c>
    </row>
    <row r="569" spans="1:9">
      <c r="A569" s="15" t="str">
        <f t="shared" si="25"/>
        <v/>
      </c>
      <c r="G569" s="17" t="str">
        <f t="shared" si="26"/>
        <v/>
      </c>
      <c r="I569" s="17" t="str">
        <f t="shared" si="27"/>
        <v/>
      </c>
    </row>
    <row r="570" spans="1:9">
      <c r="A570" s="15" t="str">
        <f t="shared" si="25"/>
        <v/>
      </c>
      <c r="G570" s="17" t="str">
        <f t="shared" si="26"/>
        <v/>
      </c>
      <c r="I570" s="17" t="str">
        <f t="shared" si="27"/>
        <v/>
      </c>
    </row>
    <row r="571" spans="1:9">
      <c r="A571" s="15" t="str">
        <f t="shared" si="25"/>
        <v/>
      </c>
      <c r="G571" s="17" t="str">
        <f t="shared" si="26"/>
        <v/>
      </c>
      <c r="I571" s="17" t="str">
        <f t="shared" si="27"/>
        <v/>
      </c>
    </row>
    <row r="572" spans="1:9">
      <c r="A572" s="15" t="str">
        <f t="shared" si="25"/>
        <v/>
      </c>
      <c r="G572" s="17" t="str">
        <f t="shared" si="26"/>
        <v/>
      </c>
      <c r="I572" s="17" t="str">
        <f t="shared" si="27"/>
        <v/>
      </c>
    </row>
    <row r="573" spans="1:9">
      <c r="A573" s="15" t="str">
        <f t="shared" si="25"/>
        <v/>
      </c>
      <c r="G573" s="17" t="str">
        <f t="shared" si="26"/>
        <v/>
      </c>
      <c r="I573" s="17" t="str">
        <f t="shared" si="27"/>
        <v/>
      </c>
    </row>
    <row r="574" spans="1:9">
      <c r="A574" s="15" t="str">
        <f t="shared" si="25"/>
        <v/>
      </c>
      <c r="G574" s="17" t="str">
        <f t="shared" si="26"/>
        <v/>
      </c>
      <c r="I574" s="17" t="str">
        <f t="shared" si="27"/>
        <v/>
      </c>
    </row>
    <row r="575" spans="1:9">
      <c r="A575" s="15" t="str">
        <f t="shared" si="25"/>
        <v/>
      </c>
      <c r="G575" s="17" t="str">
        <f t="shared" si="26"/>
        <v/>
      </c>
      <c r="I575" s="17" t="str">
        <f t="shared" si="27"/>
        <v/>
      </c>
    </row>
    <row r="576" spans="1:9">
      <c r="A576" s="15" t="str">
        <f t="shared" si="25"/>
        <v/>
      </c>
      <c r="G576" s="17" t="str">
        <f t="shared" si="26"/>
        <v/>
      </c>
      <c r="I576" s="17" t="str">
        <f t="shared" si="27"/>
        <v/>
      </c>
    </row>
    <row r="577" spans="1:9">
      <c r="A577" s="15" t="str">
        <f t="shared" si="25"/>
        <v/>
      </c>
      <c r="G577" s="17" t="str">
        <f t="shared" si="26"/>
        <v/>
      </c>
      <c r="I577" s="17" t="str">
        <f t="shared" si="27"/>
        <v/>
      </c>
    </row>
    <row r="578" spans="1:9">
      <c r="A578" s="15" t="str">
        <f t="shared" si="25"/>
        <v/>
      </c>
      <c r="G578" s="17" t="str">
        <f t="shared" si="26"/>
        <v/>
      </c>
      <c r="I578" s="17" t="str">
        <f t="shared" si="27"/>
        <v/>
      </c>
    </row>
    <row r="579" spans="1:9">
      <c r="A579" s="15" t="str">
        <f t="shared" si="25"/>
        <v/>
      </c>
      <c r="G579" s="17" t="str">
        <f t="shared" si="26"/>
        <v/>
      </c>
      <c r="I579" s="17" t="str">
        <f t="shared" si="27"/>
        <v/>
      </c>
    </row>
    <row r="580" spans="1:9">
      <c r="A580" s="15" t="str">
        <f t="shared" si="25"/>
        <v/>
      </c>
      <c r="G580" s="17" t="str">
        <f t="shared" si="26"/>
        <v/>
      </c>
      <c r="I580" s="17" t="str">
        <f t="shared" si="27"/>
        <v/>
      </c>
    </row>
    <row r="581" spans="1:9">
      <c r="A581" s="15" t="str">
        <f t="shared" si="25"/>
        <v/>
      </c>
      <c r="G581" s="17" t="str">
        <f t="shared" si="26"/>
        <v/>
      </c>
      <c r="I581" s="17" t="str">
        <f t="shared" si="27"/>
        <v/>
      </c>
    </row>
    <row r="582" spans="1:9">
      <c r="A582" s="15" t="str">
        <f t="shared" si="25"/>
        <v/>
      </c>
      <c r="G582" s="17" t="str">
        <f t="shared" si="26"/>
        <v/>
      </c>
      <c r="I582" s="17" t="str">
        <f t="shared" si="27"/>
        <v/>
      </c>
    </row>
    <row r="583" spans="1:9">
      <c r="A583" s="15" t="str">
        <f t="shared" si="25"/>
        <v/>
      </c>
      <c r="G583" s="17" t="str">
        <f t="shared" si="26"/>
        <v/>
      </c>
      <c r="I583" s="17" t="str">
        <f t="shared" si="27"/>
        <v/>
      </c>
    </row>
    <row r="584" spans="1:9">
      <c r="A584" s="15" t="str">
        <f t="shared" si="25"/>
        <v/>
      </c>
      <c r="G584" s="17" t="str">
        <f t="shared" si="26"/>
        <v/>
      </c>
      <c r="I584" s="17" t="str">
        <f t="shared" si="27"/>
        <v/>
      </c>
    </row>
    <row r="585" spans="1:9">
      <c r="A585" s="15" t="str">
        <f t="shared" si="25"/>
        <v/>
      </c>
      <c r="G585" s="17" t="str">
        <f t="shared" si="26"/>
        <v/>
      </c>
      <c r="I585" s="17" t="str">
        <f t="shared" si="27"/>
        <v/>
      </c>
    </row>
    <row r="586" spans="1:9">
      <c r="A586" s="15" t="str">
        <f t="shared" si="25"/>
        <v/>
      </c>
      <c r="G586" s="17" t="str">
        <f t="shared" si="26"/>
        <v/>
      </c>
      <c r="I586" s="17" t="str">
        <f t="shared" si="27"/>
        <v/>
      </c>
    </row>
    <row r="587" spans="1:9">
      <c r="A587" s="15" t="str">
        <f t="shared" si="25"/>
        <v/>
      </c>
      <c r="G587" s="17" t="str">
        <f t="shared" si="26"/>
        <v/>
      </c>
      <c r="I587" s="17" t="str">
        <f t="shared" si="27"/>
        <v/>
      </c>
    </row>
    <row r="588" spans="1:9">
      <c r="A588" s="15" t="str">
        <f t="shared" si="25"/>
        <v/>
      </c>
      <c r="G588" s="17" t="str">
        <f t="shared" si="26"/>
        <v/>
      </c>
      <c r="I588" s="17" t="str">
        <f t="shared" si="27"/>
        <v/>
      </c>
    </row>
    <row r="589" spans="1:9">
      <c r="A589" s="15" t="str">
        <f t="shared" si="25"/>
        <v/>
      </c>
      <c r="G589" s="17" t="str">
        <f t="shared" si="26"/>
        <v/>
      </c>
      <c r="I589" s="17" t="str">
        <f t="shared" si="27"/>
        <v/>
      </c>
    </row>
    <row r="590" spans="1:9">
      <c r="A590" s="15" t="str">
        <f t="shared" si="25"/>
        <v/>
      </c>
      <c r="G590" s="17" t="str">
        <f t="shared" si="26"/>
        <v/>
      </c>
      <c r="I590" s="17" t="str">
        <f t="shared" si="27"/>
        <v/>
      </c>
    </row>
    <row r="591" spans="1:9">
      <c r="A591" s="15" t="str">
        <f t="shared" si="25"/>
        <v/>
      </c>
      <c r="G591" s="17" t="str">
        <f t="shared" si="26"/>
        <v/>
      </c>
      <c r="I591" s="17" t="str">
        <f t="shared" si="27"/>
        <v/>
      </c>
    </row>
    <row r="592" spans="1:9">
      <c r="A592" s="15" t="str">
        <f t="shared" si="25"/>
        <v/>
      </c>
      <c r="G592" s="17" t="str">
        <f t="shared" si="26"/>
        <v/>
      </c>
      <c r="I592" s="17" t="str">
        <f t="shared" si="27"/>
        <v/>
      </c>
    </row>
    <row r="593" spans="1:9">
      <c r="A593" s="15" t="str">
        <f t="shared" si="25"/>
        <v/>
      </c>
      <c r="G593" s="17" t="str">
        <f t="shared" si="26"/>
        <v/>
      </c>
      <c r="I593" s="17" t="str">
        <f t="shared" si="27"/>
        <v/>
      </c>
    </row>
    <row r="594" spans="1:9">
      <c r="A594" s="15" t="str">
        <f t="shared" si="25"/>
        <v/>
      </c>
      <c r="G594" s="17" t="str">
        <f t="shared" si="26"/>
        <v/>
      </c>
      <c r="I594" s="17" t="str">
        <f t="shared" si="27"/>
        <v/>
      </c>
    </row>
    <row r="595" spans="1:9">
      <c r="A595" s="15" t="str">
        <f t="shared" si="25"/>
        <v/>
      </c>
      <c r="G595" s="17" t="str">
        <f t="shared" si="26"/>
        <v/>
      </c>
      <c r="I595" s="17" t="str">
        <f t="shared" si="27"/>
        <v/>
      </c>
    </row>
    <row r="596" spans="1:9">
      <c r="A596" s="15" t="str">
        <f t="shared" si="25"/>
        <v/>
      </c>
      <c r="G596" s="17" t="str">
        <f t="shared" si="26"/>
        <v/>
      </c>
      <c r="I596" s="17" t="str">
        <f t="shared" si="27"/>
        <v/>
      </c>
    </row>
    <row r="597" spans="1:9">
      <c r="A597" s="15" t="str">
        <f t="shared" si="25"/>
        <v/>
      </c>
      <c r="G597" s="17" t="str">
        <f t="shared" si="26"/>
        <v/>
      </c>
      <c r="I597" s="17" t="str">
        <f t="shared" si="27"/>
        <v/>
      </c>
    </row>
    <row r="598" spans="1:9">
      <c r="A598" s="15" t="str">
        <f t="shared" si="25"/>
        <v/>
      </c>
      <c r="G598" s="17" t="str">
        <f t="shared" si="26"/>
        <v/>
      </c>
      <c r="I598" s="17" t="str">
        <f t="shared" si="27"/>
        <v/>
      </c>
    </row>
    <row r="599" spans="1:9">
      <c r="A599" s="15" t="str">
        <f t="shared" si="25"/>
        <v/>
      </c>
      <c r="G599" s="17" t="str">
        <f t="shared" si="26"/>
        <v/>
      </c>
      <c r="I599" s="17" t="str">
        <f t="shared" si="27"/>
        <v/>
      </c>
    </row>
    <row r="600" spans="1:9">
      <c r="A600" s="15" t="str">
        <f t="shared" ref="A600:A663" si="28">IF(B600&lt;&gt;"",ROW()-2,"")</f>
        <v/>
      </c>
      <c r="G600" s="17" t="str">
        <f t="shared" si="26"/>
        <v/>
      </c>
      <c r="I600" s="17" t="str">
        <f t="shared" si="27"/>
        <v/>
      </c>
    </row>
    <row r="601" spans="1:9">
      <c r="A601" s="15" t="str">
        <f t="shared" si="28"/>
        <v/>
      </c>
      <c r="G601" s="17" t="str">
        <f t="shared" si="26"/>
        <v/>
      </c>
      <c r="I601" s="17" t="str">
        <f t="shared" si="27"/>
        <v/>
      </c>
    </row>
    <row r="602" spans="1:9">
      <c r="A602" s="15" t="str">
        <f t="shared" si="28"/>
        <v/>
      </c>
      <c r="G602" s="17" t="str">
        <f t="shared" si="26"/>
        <v/>
      </c>
      <c r="I602" s="17" t="str">
        <f t="shared" si="27"/>
        <v/>
      </c>
    </row>
    <row r="603" spans="1:9">
      <c r="A603" s="15" t="str">
        <f t="shared" si="28"/>
        <v/>
      </c>
      <c r="G603" s="17" t="str">
        <f t="shared" si="26"/>
        <v/>
      </c>
      <c r="I603" s="17" t="str">
        <f t="shared" si="27"/>
        <v/>
      </c>
    </row>
    <row r="604" spans="1:9">
      <c r="A604" s="15" t="str">
        <f t="shared" si="28"/>
        <v/>
      </c>
      <c r="G604" s="17" t="str">
        <f t="shared" si="26"/>
        <v/>
      </c>
      <c r="I604" s="17" t="str">
        <f t="shared" si="27"/>
        <v/>
      </c>
    </row>
    <row r="605" spans="1:9">
      <c r="A605" s="15" t="str">
        <f t="shared" si="28"/>
        <v/>
      </c>
      <c r="G605" s="17" t="str">
        <f t="shared" si="26"/>
        <v/>
      </c>
      <c r="I605" s="17" t="str">
        <f t="shared" si="27"/>
        <v/>
      </c>
    </row>
    <row r="606" spans="1:9">
      <c r="A606" s="15" t="str">
        <f t="shared" si="28"/>
        <v/>
      </c>
      <c r="G606" s="17" t="str">
        <f t="shared" si="26"/>
        <v/>
      </c>
      <c r="I606" s="17" t="str">
        <f t="shared" si="27"/>
        <v/>
      </c>
    </row>
    <row r="607" spans="1:9">
      <c r="A607" s="15" t="str">
        <f t="shared" si="28"/>
        <v/>
      </c>
      <c r="G607" s="17" t="str">
        <f t="shared" si="26"/>
        <v/>
      </c>
      <c r="I607" s="17" t="str">
        <f t="shared" si="27"/>
        <v/>
      </c>
    </row>
    <row r="608" spans="1:9">
      <c r="A608" s="15" t="str">
        <f t="shared" si="28"/>
        <v/>
      </c>
      <c r="G608" s="17" t="str">
        <f t="shared" si="26"/>
        <v/>
      </c>
      <c r="I608" s="17" t="str">
        <f t="shared" si="27"/>
        <v/>
      </c>
    </row>
    <row r="609" spans="1:9">
      <c r="A609" s="15" t="str">
        <f t="shared" si="28"/>
        <v/>
      </c>
      <c r="G609" s="17" t="str">
        <f t="shared" si="26"/>
        <v/>
      </c>
      <c r="I609" s="17" t="str">
        <f t="shared" si="27"/>
        <v/>
      </c>
    </row>
    <row r="610" spans="1:9">
      <c r="A610" s="15" t="str">
        <f t="shared" si="28"/>
        <v/>
      </c>
      <c r="G610" s="17" t="str">
        <f t="shared" si="26"/>
        <v/>
      </c>
      <c r="I610" s="17" t="str">
        <f t="shared" si="27"/>
        <v/>
      </c>
    </row>
    <row r="611" spans="1:9">
      <c r="A611" s="15" t="str">
        <f t="shared" si="28"/>
        <v/>
      </c>
      <c r="G611" s="17" t="str">
        <f t="shared" si="26"/>
        <v/>
      </c>
      <c r="I611" s="17" t="str">
        <f t="shared" si="27"/>
        <v/>
      </c>
    </row>
    <row r="612" spans="1:9">
      <c r="A612" s="15" t="str">
        <f t="shared" si="28"/>
        <v/>
      </c>
      <c r="G612" s="17" t="str">
        <f t="shared" si="26"/>
        <v/>
      </c>
      <c r="I612" s="17" t="str">
        <f t="shared" si="27"/>
        <v/>
      </c>
    </row>
    <row r="613" spans="1:9">
      <c r="A613" s="15" t="str">
        <f t="shared" si="28"/>
        <v/>
      </c>
      <c r="G613" s="17" t="str">
        <f t="shared" si="26"/>
        <v/>
      </c>
      <c r="I613" s="17" t="str">
        <f t="shared" si="27"/>
        <v/>
      </c>
    </row>
    <row r="614" spans="1:9">
      <c r="A614" s="15" t="str">
        <f t="shared" si="28"/>
        <v/>
      </c>
      <c r="G614" s="17" t="str">
        <f t="shared" si="26"/>
        <v/>
      </c>
      <c r="I614" s="17" t="str">
        <f t="shared" si="27"/>
        <v/>
      </c>
    </row>
    <row r="615" spans="1:9">
      <c r="A615" s="15" t="str">
        <f t="shared" si="28"/>
        <v/>
      </c>
      <c r="G615" s="17" t="str">
        <f t="shared" si="26"/>
        <v/>
      </c>
      <c r="I615" s="17" t="str">
        <f t="shared" si="27"/>
        <v/>
      </c>
    </row>
    <row r="616" spans="1:9">
      <c r="A616" s="15" t="str">
        <f t="shared" si="28"/>
        <v/>
      </c>
      <c r="G616" s="17" t="str">
        <f t="shared" si="26"/>
        <v/>
      </c>
      <c r="I616" s="17" t="str">
        <f t="shared" si="27"/>
        <v/>
      </c>
    </row>
    <row r="617" spans="1:9">
      <c r="A617" s="15" t="str">
        <f t="shared" si="28"/>
        <v/>
      </c>
      <c r="G617" s="17" t="str">
        <f t="shared" si="26"/>
        <v/>
      </c>
      <c r="I617" s="17" t="str">
        <f t="shared" si="27"/>
        <v/>
      </c>
    </row>
    <row r="618" spans="1:9">
      <c r="A618" s="15" t="str">
        <f t="shared" si="28"/>
        <v/>
      </c>
      <c r="G618" s="17" t="str">
        <f t="shared" si="26"/>
        <v/>
      </c>
      <c r="I618" s="17" t="str">
        <f t="shared" si="27"/>
        <v/>
      </c>
    </row>
    <row r="619" spans="1:9">
      <c r="A619" s="15" t="str">
        <f t="shared" si="28"/>
        <v/>
      </c>
      <c r="G619" s="17" t="str">
        <f t="shared" si="26"/>
        <v/>
      </c>
      <c r="I619" s="17" t="str">
        <f t="shared" si="27"/>
        <v/>
      </c>
    </row>
    <row r="620" spans="1:9">
      <c r="A620" s="15" t="str">
        <f t="shared" si="28"/>
        <v/>
      </c>
      <c r="G620" s="17" t="str">
        <f t="shared" si="26"/>
        <v/>
      </c>
      <c r="I620" s="17" t="str">
        <f t="shared" si="27"/>
        <v/>
      </c>
    </row>
    <row r="621" spans="1:9">
      <c r="A621" s="15" t="str">
        <f t="shared" si="28"/>
        <v/>
      </c>
      <c r="G621" s="17" t="str">
        <f t="shared" si="26"/>
        <v/>
      </c>
      <c r="I621" s="17" t="str">
        <f t="shared" si="27"/>
        <v/>
      </c>
    </row>
    <row r="622" spans="1:9">
      <c r="A622" s="15" t="str">
        <f t="shared" si="28"/>
        <v/>
      </c>
      <c r="G622" s="17" t="str">
        <f t="shared" si="26"/>
        <v/>
      </c>
      <c r="I622" s="17" t="str">
        <f t="shared" si="27"/>
        <v/>
      </c>
    </row>
    <row r="623" spans="1:9">
      <c r="A623" s="15" t="str">
        <f t="shared" si="28"/>
        <v/>
      </c>
      <c r="G623" s="17" t="str">
        <f t="shared" ref="G623:G686" si="29">IFERROR(VLOOKUP(C623,$U$3:$W$19,2,),"")</f>
        <v/>
      </c>
      <c r="I623" s="17" t="str">
        <f t="shared" ref="I623:I686" si="30">IFERROR(VLOOKUP(C623,$U$3:$W$19,3,),"")</f>
        <v/>
      </c>
    </row>
    <row r="624" spans="1:9">
      <c r="A624" s="15" t="str">
        <f t="shared" si="28"/>
        <v/>
      </c>
      <c r="G624" s="17" t="str">
        <f t="shared" si="29"/>
        <v/>
      </c>
      <c r="I624" s="17" t="str">
        <f t="shared" si="30"/>
        <v/>
      </c>
    </row>
    <row r="625" spans="1:9">
      <c r="A625" s="15" t="str">
        <f t="shared" si="28"/>
        <v/>
      </c>
      <c r="G625" s="17" t="str">
        <f t="shared" si="29"/>
        <v/>
      </c>
      <c r="I625" s="17" t="str">
        <f t="shared" si="30"/>
        <v/>
      </c>
    </row>
    <row r="626" spans="1:9">
      <c r="A626" s="15" t="str">
        <f t="shared" si="28"/>
        <v/>
      </c>
      <c r="G626" s="17" t="str">
        <f t="shared" si="29"/>
        <v/>
      </c>
      <c r="I626" s="17" t="str">
        <f t="shared" si="30"/>
        <v/>
      </c>
    </row>
    <row r="627" spans="1:9">
      <c r="A627" s="15" t="str">
        <f t="shared" si="28"/>
        <v/>
      </c>
      <c r="G627" s="17" t="str">
        <f t="shared" si="29"/>
        <v/>
      </c>
      <c r="I627" s="17" t="str">
        <f t="shared" si="30"/>
        <v/>
      </c>
    </row>
    <row r="628" spans="1:9">
      <c r="A628" s="15" t="str">
        <f t="shared" si="28"/>
        <v/>
      </c>
      <c r="G628" s="17" t="str">
        <f t="shared" si="29"/>
        <v/>
      </c>
      <c r="I628" s="17" t="str">
        <f t="shared" si="30"/>
        <v/>
      </c>
    </row>
    <row r="629" spans="1:9">
      <c r="A629" s="15" t="str">
        <f t="shared" si="28"/>
        <v/>
      </c>
      <c r="G629" s="17" t="str">
        <f t="shared" si="29"/>
        <v/>
      </c>
      <c r="I629" s="17" t="str">
        <f t="shared" si="30"/>
        <v/>
      </c>
    </row>
    <row r="630" spans="1:9">
      <c r="A630" s="15" t="str">
        <f t="shared" si="28"/>
        <v/>
      </c>
      <c r="G630" s="17" t="str">
        <f t="shared" si="29"/>
        <v/>
      </c>
      <c r="I630" s="17" t="str">
        <f t="shared" si="30"/>
        <v/>
      </c>
    </row>
    <row r="631" spans="1:9">
      <c r="A631" s="15" t="str">
        <f t="shared" si="28"/>
        <v/>
      </c>
      <c r="G631" s="17" t="str">
        <f t="shared" si="29"/>
        <v/>
      </c>
      <c r="I631" s="17" t="str">
        <f t="shared" si="30"/>
        <v/>
      </c>
    </row>
    <row r="632" spans="1:9">
      <c r="A632" s="15" t="str">
        <f t="shared" si="28"/>
        <v/>
      </c>
      <c r="G632" s="17" t="str">
        <f t="shared" si="29"/>
        <v/>
      </c>
      <c r="I632" s="17" t="str">
        <f t="shared" si="30"/>
        <v/>
      </c>
    </row>
    <row r="633" spans="1:9">
      <c r="A633" s="15" t="str">
        <f t="shared" si="28"/>
        <v/>
      </c>
      <c r="G633" s="17" t="str">
        <f t="shared" si="29"/>
        <v/>
      </c>
      <c r="I633" s="17" t="str">
        <f t="shared" si="30"/>
        <v/>
      </c>
    </row>
    <row r="634" spans="1:9">
      <c r="A634" s="15" t="str">
        <f t="shared" si="28"/>
        <v/>
      </c>
      <c r="G634" s="17" t="str">
        <f t="shared" si="29"/>
        <v/>
      </c>
      <c r="I634" s="17" t="str">
        <f t="shared" si="30"/>
        <v/>
      </c>
    </row>
    <row r="635" spans="1:9">
      <c r="A635" s="15" t="str">
        <f t="shared" si="28"/>
        <v/>
      </c>
      <c r="G635" s="17" t="str">
        <f t="shared" si="29"/>
        <v/>
      </c>
      <c r="I635" s="17" t="str">
        <f t="shared" si="30"/>
        <v/>
      </c>
    </row>
    <row r="636" spans="1:9">
      <c r="A636" s="15" t="str">
        <f t="shared" si="28"/>
        <v/>
      </c>
      <c r="G636" s="17" t="str">
        <f t="shared" si="29"/>
        <v/>
      </c>
      <c r="I636" s="17" t="str">
        <f t="shared" si="30"/>
        <v/>
      </c>
    </row>
    <row r="637" spans="1:9">
      <c r="A637" s="15" t="str">
        <f t="shared" si="28"/>
        <v/>
      </c>
      <c r="G637" s="17" t="str">
        <f t="shared" si="29"/>
        <v/>
      </c>
      <c r="I637" s="17" t="str">
        <f t="shared" si="30"/>
        <v/>
      </c>
    </row>
    <row r="638" spans="1:9">
      <c r="A638" s="15" t="str">
        <f t="shared" si="28"/>
        <v/>
      </c>
      <c r="G638" s="17" t="str">
        <f t="shared" si="29"/>
        <v/>
      </c>
      <c r="I638" s="17" t="str">
        <f t="shared" si="30"/>
        <v/>
      </c>
    </row>
    <row r="639" spans="1:9">
      <c r="A639" s="15" t="str">
        <f t="shared" si="28"/>
        <v/>
      </c>
      <c r="G639" s="17" t="str">
        <f t="shared" si="29"/>
        <v/>
      </c>
      <c r="I639" s="17" t="str">
        <f t="shared" si="30"/>
        <v/>
      </c>
    </row>
    <row r="640" spans="1:9">
      <c r="A640" s="15" t="str">
        <f t="shared" si="28"/>
        <v/>
      </c>
      <c r="G640" s="17" t="str">
        <f t="shared" si="29"/>
        <v/>
      </c>
      <c r="I640" s="17" t="str">
        <f t="shared" si="30"/>
        <v/>
      </c>
    </row>
    <row r="641" spans="1:9">
      <c r="A641" s="15" t="str">
        <f t="shared" si="28"/>
        <v/>
      </c>
      <c r="G641" s="17" t="str">
        <f t="shared" si="29"/>
        <v/>
      </c>
      <c r="I641" s="17" t="str">
        <f t="shared" si="30"/>
        <v/>
      </c>
    </row>
    <row r="642" spans="1:9">
      <c r="A642" s="15" t="str">
        <f t="shared" si="28"/>
        <v/>
      </c>
      <c r="G642" s="17" t="str">
        <f t="shared" si="29"/>
        <v/>
      </c>
      <c r="I642" s="17" t="str">
        <f t="shared" si="30"/>
        <v/>
      </c>
    </row>
    <row r="643" spans="1:9">
      <c r="A643" s="15" t="str">
        <f t="shared" si="28"/>
        <v/>
      </c>
      <c r="G643" s="17" t="str">
        <f t="shared" si="29"/>
        <v/>
      </c>
      <c r="I643" s="17" t="str">
        <f t="shared" si="30"/>
        <v/>
      </c>
    </row>
    <row r="644" spans="1:9">
      <c r="A644" s="15" t="str">
        <f t="shared" si="28"/>
        <v/>
      </c>
      <c r="G644" s="17" t="str">
        <f t="shared" si="29"/>
        <v/>
      </c>
      <c r="I644" s="17" t="str">
        <f t="shared" si="30"/>
        <v/>
      </c>
    </row>
    <row r="645" spans="1:9">
      <c r="A645" s="15" t="str">
        <f t="shared" si="28"/>
        <v/>
      </c>
      <c r="G645" s="17" t="str">
        <f t="shared" si="29"/>
        <v/>
      </c>
      <c r="I645" s="17" t="str">
        <f t="shared" si="30"/>
        <v/>
      </c>
    </row>
    <row r="646" spans="1:9">
      <c r="A646" s="15" t="str">
        <f t="shared" si="28"/>
        <v/>
      </c>
      <c r="G646" s="17" t="str">
        <f t="shared" si="29"/>
        <v/>
      </c>
      <c r="I646" s="17" t="str">
        <f t="shared" si="30"/>
        <v/>
      </c>
    </row>
    <row r="647" spans="1:9">
      <c r="A647" s="15" t="str">
        <f t="shared" si="28"/>
        <v/>
      </c>
      <c r="G647" s="17" t="str">
        <f t="shared" si="29"/>
        <v/>
      </c>
      <c r="I647" s="17" t="str">
        <f t="shared" si="30"/>
        <v/>
      </c>
    </row>
    <row r="648" spans="1:9">
      <c r="A648" s="15" t="str">
        <f t="shared" si="28"/>
        <v/>
      </c>
      <c r="G648" s="17" t="str">
        <f t="shared" si="29"/>
        <v/>
      </c>
      <c r="I648" s="17" t="str">
        <f t="shared" si="30"/>
        <v/>
      </c>
    </row>
    <row r="649" spans="1:9">
      <c r="A649" s="15" t="str">
        <f t="shared" si="28"/>
        <v/>
      </c>
      <c r="G649" s="17" t="str">
        <f t="shared" si="29"/>
        <v/>
      </c>
      <c r="I649" s="17" t="str">
        <f t="shared" si="30"/>
        <v/>
      </c>
    </row>
    <row r="650" spans="1:9">
      <c r="A650" s="15" t="str">
        <f t="shared" si="28"/>
        <v/>
      </c>
      <c r="G650" s="17" t="str">
        <f t="shared" si="29"/>
        <v/>
      </c>
      <c r="I650" s="17" t="str">
        <f t="shared" si="30"/>
        <v/>
      </c>
    </row>
    <row r="651" spans="1:9">
      <c r="A651" s="15" t="str">
        <f t="shared" si="28"/>
        <v/>
      </c>
      <c r="G651" s="17" t="str">
        <f t="shared" si="29"/>
        <v/>
      </c>
      <c r="I651" s="17" t="str">
        <f t="shared" si="30"/>
        <v/>
      </c>
    </row>
    <row r="652" spans="1:9">
      <c r="A652" s="15" t="str">
        <f t="shared" si="28"/>
        <v/>
      </c>
      <c r="G652" s="17" t="str">
        <f t="shared" si="29"/>
        <v/>
      </c>
      <c r="I652" s="17" t="str">
        <f t="shared" si="30"/>
        <v/>
      </c>
    </row>
    <row r="653" spans="1:9">
      <c r="A653" s="15" t="str">
        <f t="shared" si="28"/>
        <v/>
      </c>
      <c r="G653" s="17" t="str">
        <f t="shared" si="29"/>
        <v/>
      </c>
      <c r="I653" s="17" t="str">
        <f t="shared" si="30"/>
        <v/>
      </c>
    </row>
    <row r="654" spans="1:9">
      <c r="A654" s="15" t="str">
        <f t="shared" si="28"/>
        <v/>
      </c>
      <c r="G654" s="17" t="str">
        <f t="shared" si="29"/>
        <v/>
      </c>
      <c r="I654" s="17" t="str">
        <f t="shared" si="30"/>
        <v/>
      </c>
    </row>
    <row r="655" spans="1:9">
      <c r="A655" s="15" t="str">
        <f t="shared" si="28"/>
        <v/>
      </c>
      <c r="G655" s="17" t="str">
        <f t="shared" si="29"/>
        <v/>
      </c>
      <c r="I655" s="17" t="str">
        <f t="shared" si="30"/>
        <v/>
      </c>
    </row>
    <row r="656" spans="1:9">
      <c r="A656" s="15" t="str">
        <f t="shared" si="28"/>
        <v/>
      </c>
      <c r="G656" s="17" t="str">
        <f t="shared" si="29"/>
        <v/>
      </c>
      <c r="I656" s="17" t="str">
        <f t="shared" si="30"/>
        <v/>
      </c>
    </row>
    <row r="657" spans="1:9">
      <c r="A657" s="15" t="str">
        <f t="shared" si="28"/>
        <v/>
      </c>
      <c r="G657" s="17" t="str">
        <f t="shared" si="29"/>
        <v/>
      </c>
      <c r="I657" s="17" t="str">
        <f t="shared" si="30"/>
        <v/>
      </c>
    </row>
    <row r="658" spans="1:9">
      <c r="A658" s="15" t="str">
        <f t="shared" si="28"/>
        <v/>
      </c>
      <c r="G658" s="17" t="str">
        <f t="shared" si="29"/>
        <v/>
      </c>
      <c r="I658" s="17" t="str">
        <f t="shared" si="30"/>
        <v/>
      </c>
    </row>
    <row r="659" spans="1:9">
      <c r="A659" s="15" t="str">
        <f t="shared" si="28"/>
        <v/>
      </c>
      <c r="G659" s="17" t="str">
        <f t="shared" si="29"/>
        <v/>
      </c>
      <c r="I659" s="17" t="str">
        <f t="shared" si="30"/>
        <v/>
      </c>
    </row>
    <row r="660" spans="1:9">
      <c r="A660" s="15" t="str">
        <f t="shared" si="28"/>
        <v/>
      </c>
      <c r="G660" s="17" t="str">
        <f t="shared" si="29"/>
        <v/>
      </c>
      <c r="I660" s="17" t="str">
        <f t="shared" si="30"/>
        <v/>
      </c>
    </row>
    <row r="661" spans="1:9">
      <c r="A661" s="15" t="str">
        <f t="shared" si="28"/>
        <v/>
      </c>
      <c r="G661" s="17" t="str">
        <f t="shared" si="29"/>
        <v/>
      </c>
      <c r="I661" s="17" t="str">
        <f t="shared" si="30"/>
        <v/>
      </c>
    </row>
    <row r="662" spans="1:9">
      <c r="A662" s="15" t="str">
        <f t="shared" si="28"/>
        <v/>
      </c>
      <c r="G662" s="17" t="str">
        <f t="shared" si="29"/>
        <v/>
      </c>
      <c r="I662" s="17" t="str">
        <f t="shared" si="30"/>
        <v/>
      </c>
    </row>
    <row r="663" spans="1:9">
      <c r="A663" s="15" t="str">
        <f t="shared" si="28"/>
        <v/>
      </c>
      <c r="G663" s="17" t="str">
        <f t="shared" si="29"/>
        <v/>
      </c>
      <c r="I663" s="17" t="str">
        <f t="shared" si="30"/>
        <v/>
      </c>
    </row>
    <row r="664" spans="1:9">
      <c r="A664" s="15" t="str">
        <f t="shared" ref="A664:A727" si="31">IF(B664&lt;&gt;"",ROW()-2,"")</f>
        <v/>
      </c>
      <c r="G664" s="17" t="str">
        <f t="shared" si="29"/>
        <v/>
      </c>
      <c r="I664" s="17" t="str">
        <f t="shared" si="30"/>
        <v/>
      </c>
    </row>
    <row r="665" spans="1:9">
      <c r="A665" s="15" t="str">
        <f t="shared" si="31"/>
        <v/>
      </c>
      <c r="G665" s="17" t="str">
        <f t="shared" si="29"/>
        <v/>
      </c>
      <c r="I665" s="17" t="str">
        <f t="shared" si="30"/>
        <v/>
      </c>
    </row>
    <row r="666" spans="1:9">
      <c r="A666" s="15" t="str">
        <f t="shared" si="31"/>
        <v/>
      </c>
      <c r="G666" s="17" t="str">
        <f t="shared" si="29"/>
        <v/>
      </c>
      <c r="I666" s="17" t="str">
        <f t="shared" si="30"/>
        <v/>
      </c>
    </row>
    <row r="667" spans="1:9">
      <c r="A667" s="15" t="str">
        <f t="shared" si="31"/>
        <v/>
      </c>
      <c r="G667" s="17" t="str">
        <f t="shared" si="29"/>
        <v/>
      </c>
      <c r="I667" s="17" t="str">
        <f t="shared" si="30"/>
        <v/>
      </c>
    </row>
    <row r="668" spans="1:9">
      <c r="A668" s="15" t="str">
        <f t="shared" si="31"/>
        <v/>
      </c>
      <c r="G668" s="17" t="str">
        <f t="shared" si="29"/>
        <v/>
      </c>
      <c r="I668" s="17" t="str">
        <f t="shared" si="30"/>
        <v/>
      </c>
    </row>
    <row r="669" spans="1:9">
      <c r="A669" s="15" t="str">
        <f t="shared" si="31"/>
        <v/>
      </c>
      <c r="G669" s="17" t="str">
        <f t="shared" si="29"/>
        <v/>
      </c>
      <c r="I669" s="17" t="str">
        <f t="shared" si="30"/>
        <v/>
      </c>
    </row>
    <row r="670" spans="1:9">
      <c r="A670" s="15" t="str">
        <f t="shared" si="31"/>
        <v/>
      </c>
      <c r="G670" s="17" t="str">
        <f t="shared" si="29"/>
        <v/>
      </c>
      <c r="I670" s="17" t="str">
        <f t="shared" si="30"/>
        <v/>
      </c>
    </row>
    <row r="671" spans="1:9">
      <c r="A671" s="15" t="str">
        <f t="shared" si="31"/>
        <v/>
      </c>
      <c r="G671" s="17" t="str">
        <f t="shared" si="29"/>
        <v/>
      </c>
      <c r="I671" s="17" t="str">
        <f t="shared" si="30"/>
        <v/>
      </c>
    </row>
    <row r="672" spans="1:9">
      <c r="A672" s="15" t="str">
        <f t="shared" si="31"/>
        <v/>
      </c>
      <c r="G672" s="17" t="str">
        <f t="shared" si="29"/>
        <v/>
      </c>
      <c r="I672" s="17" t="str">
        <f t="shared" si="30"/>
        <v/>
      </c>
    </row>
    <row r="673" spans="1:9">
      <c r="A673" s="15" t="str">
        <f t="shared" si="31"/>
        <v/>
      </c>
      <c r="G673" s="17" t="str">
        <f t="shared" si="29"/>
        <v/>
      </c>
      <c r="I673" s="17" t="str">
        <f t="shared" si="30"/>
        <v/>
      </c>
    </row>
    <row r="674" spans="1:9">
      <c r="A674" s="15" t="str">
        <f t="shared" si="31"/>
        <v/>
      </c>
      <c r="G674" s="17" t="str">
        <f t="shared" si="29"/>
        <v/>
      </c>
      <c r="I674" s="17" t="str">
        <f t="shared" si="30"/>
        <v/>
      </c>
    </row>
    <row r="675" spans="1:9">
      <c r="A675" s="15" t="str">
        <f t="shared" si="31"/>
        <v/>
      </c>
      <c r="G675" s="17" t="str">
        <f t="shared" si="29"/>
        <v/>
      </c>
      <c r="I675" s="17" t="str">
        <f t="shared" si="30"/>
        <v/>
      </c>
    </row>
    <row r="676" spans="1:9">
      <c r="A676" s="15" t="str">
        <f t="shared" si="31"/>
        <v/>
      </c>
      <c r="G676" s="17" t="str">
        <f t="shared" si="29"/>
        <v/>
      </c>
      <c r="I676" s="17" t="str">
        <f t="shared" si="30"/>
        <v/>
      </c>
    </row>
    <row r="677" spans="1:9">
      <c r="A677" s="15" t="str">
        <f t="shared" si="31"/>
        <v/>
      </c>
      <c r="G677" s="17" t="str">
        <f t="shared" si="29"/>
        <v/>
      </c>
      <c r="I677" s="17" t="str">
        <f t="shared" si="30"/>
        <v/>
      </c>
    </row>
    <row r="678" spans="1:9">
      <c r="A678" s="15" t="str">
        <f t="shared" si="31"/>
        <v/>
      </c>
      <c r="G678" s="17" t="str">
        <f t="shared" si="29"/>
        <v/>
      </c>
      <c r="I678" s="17" t="str">
        <f t="shared" si="30"/>
        <v/>
      </c>
    </row>
    <row r="679" spans="1:9">
      <c r="A679" s="15" t="str">
        <f t="shared" si="31"/>
        <v/>
      </c>
      <c r="G679" s="17" t="str">
        <f t="shared" si="29"/>
        <v/>
      </c>
      <c r="I679" s="17" t="str">
        <f t="shared" si="30"/>
        <v/>
      </c>
    </row>
    <row r="680" spans="1:9">
      <c r="A680" s="15" t="str">
        <f t="shared" si="31"/>
        <v/>
      </c>
      <c r="G680" s="17" t="str">
        <f t="shared" si="29"/>
        <v/>
      </c>
      <c r="I680" s="17" t="str">
        <f t="shared" si="30"/>
        <v/>
      </c>
    </row>
    <row r="681" spans="1:9">
      <c r="A681" s="15" t="str">
        <f t="shared" si="31"/>
        <v/>
      </c>
      <c r="G681" s="17" t="str">
        <f t="shared" si="29"/>
        <v/>
      </c>
      <c r="I681" s="17" t="str">
        <f t="shared" si="30"/>
        <v/>
      </c>
    </row>
    <row r="682" spans="1:9">
      <c r="A682" s="15" t="str">
        <f t="shared" si="31"/>
        <v/>
      </c>
      <c r="G682" s="17" t="str">
        <f t="shared" si="29"/>
        <v/>
      </c>
      <c r="I682" s="17" t="str">
        <f t="shared" si="30"/>
        <v/>
      </c>
    </row>
    <row r="683" spans="1:9">
      <c r="A683" s="15" t="str">
        <f t="shared" si="31"/>
        <v/>
      </c>
      <c r="G683" s="17" t="str">
        <f t="shared" si="29"/>
        <v/>
      </c>
      <c r="I683" s="17" t="str">
        <f t="shared" si="30"/>
        <v/>
      </c>
    </row>
    <row r="684" spans="1:9">
      <c r="A684" s="15" t="str">
        <f t="shared" si="31"/>
        <v/>
      </c>
      <c r="G684" s="17" t="str">
        <f t="shared" si="29"/>
        <v/>
      </c>
      <c r="I684" s="17" t="str">
        <f t="shared" si="30"/>
        <v/>
      </c>
    </row>
    <row r="685" spans="1:9">
      <c r="A685" s="15" t="str">
        <f t="shared" si="31"/>
        <v/>
      </c>
      <c r="G685" s="17" t="str">
        <f t="shared" si="29"/>
        <v/>
      </c>
      <c r="I685" s="17" t="str">
        <f t="shared" si="30"/>
        <v/>
      </c>
    </row>
    <row r="686" spans="1:9">
      <c r="A686" s="15" t="str">
        <f t="shared" si="31"/>
        <v/>
      </c>
      <c r="G686" s="17" t="str">
        <f t="shared" si="29"/>
        <v/>
      </c>
      <c r="I686" s="17" t="str">
        <f t="shared" si="30"/>
        <v/>
      </c>
    </row>
    <row r="687" spans="1:9">
      <c r="A687" s="15" t="str">
        <f t="shared" si="31"/>
        <v/>
      </c>
      <c r="G687" s="17" t="str">
        <f t="shared" ref="G687:G750" si="32">IFERROR(VLOOKUP(C687,$U$3:$W$19,2,),"")</f>
        <v/>
      </c>
      <c r="I687" s="17" t="str">
        <f t="shared" ref="I687:I750" si="33">IFERROR(VLOOKUP(C687,$U$3:$W$19,3,),"")</f>
        <v/>
      </c>
    </row>
    <row r="688" spans="1:9">
      <c r="A688" s="15" t="str">
        <f t="shared" si="31"/>
        <v/>
      </c>
      <c r="G688" s="17" t="str">
        <f t="shared" si="32"/>
        <v/>
      </c>
      <c r="I688" s="17" t="str">
        <f t="shared" si="33"/>
        <v/>
      </c>
    </row>
    <row r="689" spans="1:9">
      <c r="A689" s="15" t="str">
        <f t="shared" si="31"/>
        <v/>
      </c>
      <c r="G689" s="17" t="str">
        <f t="shared" si="32"/>
        <v/>
      </c>
      <c r="I689" s="17" t="str">
        <f t="shared" si="33"/>
        <v/>
      </c>
    </row>
    <row r="690" spans="1:9">
      <c r="A690" s="15" t="str">
        <f t="shared" si="31"/>
        <v/>
      </c>
      <c r="G690" s="17" t="str">
        <f t="shared" si="32"/>
        <v/>
      </c>
      <c r="I690" s="17" t="str">
        <f t="shared" si="33"/>
        <v/>
      </c>
    </row>
    <row r="691" spans="1:9">
      <c r="A691" s="15" t="str">
        <f t="shared" si="31"/>
        <v/>
      </c>
      <c r="G691" s="17" t="str">
        <f t="shared" si="32"/>
        <v/>
      </c>
      <c r="I691" s="17" t="str">
        <f t="shared" si="33"/>
        <v/>
      </c>
    </row>
    <row r="692" spans="1:9">
      <c r="A692" s="15" t="str">
        <f t="shared" si="31"/>
        <v/>
      </c>
      <c r="G692" s="17" t="str">
        <f t="shared" si="32"/>
        <v/>
      </c>
      <c r="I692" s="17" t="str">
        <f t="shared" si="33"/>
        <v/>
      </c>
    </row>
    <row r="693" spans="1:9">
      <c r="A693" s="15" t="str">
        <f t="shared" si="31"/>
        <v/>
      </c>
      <c r="G693" s="17" t="str">
        <f t="shared" si="32"/>
        <v/>
      </c>
      <c r="I693" s="17" t="str">
        <f t="shared" si="33"/>
        <v/>
      </c>
    </row>
    <row r="694" spans="1:9">
      <c r="A694" s="15" t="str">
        <f t="shared" si="31"/>
        <v/>
      </c>
      <c r="G694" s="17" t="str">
        <f t="shared" si="32"/>
        <v/>
      </c>
      <c r="I694" s="17" t="str">
        <f t="shared" si="33"/>
        <v/>
      </c>
    </row>
    <row r="695" spans="1:9">
      <c r="A695" s="15" t="str">
        <f t="shared" si="31"/>
        <v/>
      </c>
      <c r="G695" s="17" t="str">
        <f t="shared" si="32"/>
        <v/>
      </c>
      <c r="I695" s="17" t="str">
        <f t="shared" si="33"/>
        <v/>
      </c>
    </row>
    <row r="696" spans="1:9">
      <c r="A696" s="15" t="str">
        <f t="shared" si="31"/>
        <v/>
      </c>
      <c r="G696" s="17" t="str">
        <f t="shared" si="32"/>
        <v/>
      </c>
      <c r="I696" s="17" t="str">
        <f t="shared" si="33"/>
        <v/>
      </c>
    </row>
    <row r="697" spans="1:9">
      <c r="A697" s="15" t="str">
        <f t="shared" si="31"/>
        <v/>
      </c>
      <c r="G697" s="17" t="str">
        <f t="shared" si="32"/>
        <v/>
      </c>
      <c r="I697" s="17" t="str">
        <f t="shared" si="33"/>
        <v/>
      </c>
    </row>
    <row r="698" spans="1:9">
      <c r="A698" s="15" t="str">
        <f t="shared" si="31"/>
        <v/>
      </c>
      <c r="G698" s="17" t="str">
        <f t="shared" si="32"/>
        <v/>
      </c>
      <c r="I698" s="17" t="str">
        <f t="shared" si="33"/>
        <v/>
      </c>
    </row>
    <row r="699" spans="1:9">
      <c r="A699" s="15" t="str">
        <f t="shared" si="31"/>
        <v/>
      </c>
      <c r="G699" s="17" t="str">
        <f t="shared" si="32"/>
        <v/>
      </c>
      <c r="I699" s="17" t="str">
        <f t="shared" si="33"/>
        <v/>
      </c>
    </row>
    <row r="700" spans="1:9">
      <c r="A700" s="15" t="str">
        <f t="shared" si="31"/>
        <v/>
      </c>
      <c r="G700" s="17" t="str">
        <f t="shared" si="32"/>
        <v/>
      </c>
      <c r="I700" s="17" t="str">
        <f t="shared" si="33"/>
        <v/>
      </c>
    </row>
    <row r="701" spans="1:9">
      <c r="A701" s="15" t="str">
        <f t="shared" si="31"/>
        <v/>
      </c>
      <c r="G701" s="17" t="str">
        <f t="shared" si="32"/>
        <v/>
      </c>
      <c r="I701" s="17" t="str">
        <f t="shared" si="33"/>
        <v/>
      </c>
    </row>
    <row r="702" spans="1:9">
      <c r="A702" s="15" t="str">
        <f t="shared" si="31"/>
        <v/>
      </c>
      <c r="G702" s="17" t="str">
        <f t="shared" si="32"/>
        <v/>
      </c>
      <c r="I702" s="17" t="str">
        <f t="shared" si="33"/>
        <v/>
      </c>
    </row>
    <row r="703" spans="1:9">
      <c r="A703" s="15" t="str">
        <f t="shared" si="31"/>
        <v/>
      </c>
      <c r="G703" s="17" t="str">
        <f t="shared" si="32"/>
        <v/>
      </c>
      <c r="I703" s="17" t="str">
        <f t="shared" si="33"/>
        <v/>
      </c>
    </row>
    <row r="704" spans="1:9">
      <c r="A704" s="15" t="str">
        <f t="shared" si="31"/>
        <v/>
      </c>
      <c r="G704" s="17" t="str">
        <f t="shared" si="32"/>
        <v/>
      </c>
      <c r="I704" s="17" t="str">
        <f t="shared" si="33"/>
        <v/>
      </c>
    </row>
    <row r="705" spans="1:9">
      <c r="A705" s="15" t="str">
        <f t="shared" si="31"/>
        <v/>
      </c>
      <c r="G705" s="17" t="str">
        <f t="shared" si="32"/>
        <v/>
      </c>
      <c r="I705" s="17" t="str">
        <f t="shared" si="33"/>
        <v/>
      </c>
    </row>
    <row r="706" spans="1:9">
      <c r="A706" s="15" t="str">
        <f t="shared" si="31"/>
        <v/>
      </c>
      <c r="G706" s="17" t="str">
        <f t="shared" si="32"/>
        <v/>
      </c>
      <c r="I706" s="17" t="str">
        <f t="shared" si="33"/>
        <v/>
      </c>
    </row>
    <row r="707" spans="1:9">
      <c r="A707" s="15" t="str">
        <f t="shared" si="31"/>
        <v/>
      </c>
      <c r="G707" s="17" t="str">
        <f t="shared" si="32"/>
        <v/>
      </c>
      <c r="I707" s="17" t="str">
        <f t="shared" si="33"/>
        <v/>
      </c>
    </row>
    <row r="708" spans="1:9">
      <c r="A708" s="15" t="str">
        <f t="shared" si="31"/>
        <v/>
      </c>
      <c r="G708" s="17" t="str">
        <f t="shared" si="32"/>
        <v/>
      </c>
      <c r="I708" s="17" t="str">
        <f t="shared" si="33"/>
        <v/>
      </c>
    </row>
    <row r="709" spans="1:9">
      <c r="A709" s="15" t="str">
        <f t="shared" si="31"/>
        <v/>
      </c>
      <c r="G709" s="17" t="str">
        <f t="shared" si="32"/>
        <v/>
      </c>
      <c r="I709" s="17" t="str">
        <f t="shared" si="33"/>
        <v/>
      </c>
    </row>
    <row r="710" spans="1:9">
      <c r="A710" s="15" t="str">
        <f t="shared" si="31"/>
        <v/>
      </c>
      <c r="G710" s="17" t="str">
        <f t="shared" si="32"/>
        <v/>
      </c>
      <c r="I710" s="17" t="str">
        <f t="shared" si="33"/>
        <v/>
      </c>
    </row>
    <row r="711" spans="1:9">
      <c r="A711" s="15" t="str">
        <f t="shared" si="31"/>
        <v/>
      </c>
      <c r="G711" s="17" t="str">
        <f t="shared" si="32"/>
        <v/>
      </c>
      <c r="I711" s="17" t="str">
        <f t="shared" si="33"/>
        <v/>
      </c>
    </row>
    <row r="712" spans="1:9">
      <c r="A712" s="15" t="str">
        <f t="shared" si="31"/>
        <v/>
      </c>
      <c r="G712" s="17" t="str">
        <f t="shared" si="32"/>
        <v/>
      </c>
      <c r="I712" s="17" t="str">
        <f t="shared" si="33"/>
        <v/>
      </c>
    </row>
    <row r="713" spans="1:9">
      <c r="A713" s="15" t="str">
        <f t="shared" si="31"/>
        <v/>
      </c>
      <c r="G713" s="17" t="str">
        <f t="shared" si="32"/>
        <v/>
      </c>
      <c r="I713" s="17" t="str">
        <f t="shared" si="33"/>
        <v/>
      </c>
    </row>
    <row r="714" spans="1:9">
      <c r="A714" s="15" t="str">
        <f t="shared" si="31"/>
        <v/>
      </c>
      <c r="G714" s="17" t="str">
        <f t="shared" si="32"/>
        <v/>
      </c>
      <c r="I714" s="17" t="str">
        <f t="shared" si="33"/>
        <v/>
      </c>
    </row>
    <row r="715" spans="1:9">
      <c r="A715" s="15" t="str">
        <f t="shared" si="31"/>
        <v/>
      </c>
      <c r="G715" s="17" t="str">
        <f t="shared" si="32"/>
        <v/>
      </c>
      <c r="I715" s="17" t="str">
        <f t="shared" si="33"/>
        <v/>
      </c>
    </row>
    <row r="716" spans="1:9">
      <c r="A716" s="15" t="str">
        <f t="shared" si="31"/>
        <v/>
      </c>
      <c r="G716" s="17" t="str">
        <f t="shared" si="32"/>
        <v/>
      </c>
      <c r="I716" s="17" t="str">
        <f t="shared" si="33"/>
        <v/>
      </c>
    </row>
    <row r="717" spans="1:9">
      <c r="A717" s="15" t="str">
        <f t="shared" si="31"/>
        <v/>
      </c>
      <c r="G717" s="17" t="str">
        <f t="shared" si="32"/>
        <v/>
      </c>
      <c r="I717" s="17" t="str">
        <f t="shared" si="33"/>
        <v/>
      </c>
    </row>
    <row r="718" spans="1:9">
      <c r="A718" s="15" t="str">
        <f t="shared" si="31"/>
        <v/>
      </c>
      <c r="G718" s="17" t="str">
        <f t="shared" si="32"/>
        <v/>
      </c>
      <c r="I718" s="17" t="str">
        <f t="shared" si="33"/>
        <v/>
      </c>
    </row>
    <row r="719" spans="1:9">
      <c r="A719" s="15" t="str">
        <f t="shared" si="31"/>
        <v/>
      </c>
      <c r="G719" s="17" t="str">
        <f t="shared" si="32"/>
        <v/>
      </c>
      <c r="I719" s="17" t="str">
        <f t="shared" si="33"/>
        <v/>
      </c>
    </row>
    <row r="720" spans="1:9">
      <c r="A720" s="15" t="str">
        <f t="shared" si="31"/>
        <v/>
      </c>
      <c r="G720" s="17" t="str">
        <f t="shared" si="32"/>
        <v/>
      </c>
      <c r="I720" s="17" t="str">
        <f t="shared" si="33"/>
        <v/>
      </c>
    </row>
    <row r="721" spans="1:9">
      <c r="A721" s="15" t="str">
        <f t="shared" si="31"/>
        <v/>
      </c>
      <c r="G721" s="17" t="str">
        <f t="shared" si="32"/>
        <v/>
      </c>
      <c r="I721" s="17" t="str">
        <f t="shared" si="33"/>
        <v/>
      </c>
    </row>
    <row r="722" spans="1:9">
      <c r="A722" s="15" t="str">
        <f t="shared" si="31"/>
        <v/>
      </c>
      <c r="G722" s="17" t="str">
        <f t="shared" si="32"/>
        <v/>
      </c>
      <c r="I722" s="17" t="str">
        <f t="shared" si="33"/>
        <v/>
      </c>
    </row>
    <row r="723" spans="1:9">
      <c r="A723" s="15" t="str">
        <f t="shared" si="31"/>
        <v/>
      </c>
      <c r="G723" s="17" t="str">
        <f t="shared" si="32"/>
        <v/>
      </c>
      <c r="I723" s="17" t="str">
        <f t="shared" si="33"/>
        <v/>
      </c>
    </row>
    <row r="724" spans="1:9">
      <c r="A724" s="15" t="str">
        <f t="shared" si="31"/>
        <v/>
      </c>
      <c r="G724" s="17" t="str">
        <f t="shared" si="32"/>
        <v/>
      </c>
      <c r="I724" s="17" t="str">
        <f t="shared" si="33"/>
        <v/>
      </c>
    </row>
    <row r="725" spans="1:9">
      <c r="A725" s="15" t="str">
        <f t="shared" si="31"/>
        <v/>
      </c>
      <c r="G725" s="17" t="str">
        <f t="shared" si="32"/>
        <v/>
      </c>
      <c r="I725" s="17" t="str">
        <f t="shared" si="33"/>
        <v/>
      </c>
    </row>
    <row r="726" spans="1:9">
      <c r="A726" s="15" t="str">
        <f t="shared" si="31"/>
        <v/>
      </c>
      <c r="G726" s="17" t="str">
        <f t="shared" si="32"/>
        <v/>
      </c>
      <c r="I726" s="17" t="str">
        <f t="shared" si="33"/>
        <v/>
      </c>
    </row>
    <row r="727" spans="1:9">
      <c r="A727" s="15" t="str">
        <f t="shared" si="31"/>
        <v/>
      </c>
      <c r="G727" s="17" t="str">
        <f t="shared" si="32"/>
        <v/>
      </c>
      <c r="I727" s="17" t="str">
        <f t="shared" si="33"/>
        <v/>
      </c>
    </row>
    <row r="728" spans="1:9">
      <c r="A728" s="15" t="str">
        <f t="shared" ref="A728:A791" si="34">IF(B728&lt;&gt;"",ROW()-2,"")</f>
        <v/>
      </c>
      <c r="G728" s="17" t="str">
        <f t="shared" si="32"/>
        <v/>
      </c>
      <c r="I728" s="17" t="str">
        <f t="shared" si="33"/>
        <v/>
      </c>
    </row>
    <row r="729" spans="1:9">
      <c r="A729" s="15" t="str">
        <f t="shared" si="34"/>
        <v/>
      </c>
      <c r="G729" s="17" t="str">
        <f t="shared" si="32"/>
        <v/>
      </c>
      <c r="I729" s="17" t="str">
        <f t="shared" si="33"/>
        <v/>
      </c>
    </row>
    <row r="730" spans="1:9">
      <c r="A730" s="15" t="str">
        <f t="shared" si="34"/>
        <v/>
      </c>
      <c r="G730" s="17" t="str">
        <f t="shared" si="32"/>
        <v/>
      </c>
      <c r="I730" s="17" t="str">
        <f t="shared" si="33"/>
        <v/>
      </c>
    </row>
    <row r="731" spans="1:9">
      <c r="A731" s="15" t="str">
        <f t="shared" si="34"/>
        <v/>
      </c>
      <c r="G731" s="17" t="str">
        <f t="shared" si="32"/>
        <v/>
      </c>
      <c r="I731" s="17" t="str">
        <f t="shared" si="33"/>
        <v/>
      </c>
    </row>
    <row r="732" spans="1:9">
      <c r="A732" s="15" t="str">
        <f t="shared" si="34"/>
        <v/>
      </c>
      <c r="G732" s="17" t="str">
        <f t="shared" si="32"/>
        <v/>
      </c>
      <c r="I732" s="17" t="str">
        <f t="shared" si="33"/>
        <v/>
      </c>
    </row>
    <row r="733" spans="1:9">
      <c r="A733" s="15" t="str">
        <f t="shared" si="34"/>
        <v/>
      </c>
      <c r="G733" s="17" t="str">
        <f t="shared" si="32"/>
        <v/>
      </c>
      <c r="I733" s="17" t="str">
        <f t="shared" si="33"/>
        <v/>
      </c>
    </row>
    <row r="734" spans="1:9">
      <c r="A734" s="15" t="str">
        <f t="shared" si="34"/>
        <v/>
      </c>
      <c r="G734" s="17" t="str">
        <f t="shared" si="32"/>
        <v/>
      </c>
      <c r="I734" s="17" t="str">
        <f t="shared" si="33"/>
        <v/>
      </c>
    </row>
    <row r="735" spans="1:9">
      <c r="A735" s="15" t="str">
        <f t="shared" si="34"/>
        <v/>
      </c>
      <c r="G735" s="17" t="str">
        <f t="shared" si="32"/>
        <v/>
      </c>
      <c r="I735" s="17" t="str">
        <f t="shared" si="33"/>
        <v/>
      </c>
    </row>
    <row r="736" spans="1:9">
      <c r="A736" s="15" t="str">
        <f t="shared" si="34"/>
        <v/>
      </c>
      <c r="G736" s="17" t="str">
        <f t="shared" si="32"/>
        <v/>
      </c>
      <c r="I736" s="17" t="str">
        <f t="shared" si="33"/>
        <v/>
      </c>
    </row>
    <row r="737" spans="1:9">
      <c r="A737" s="15" t="str">
        <f t="shared" si="34"/>
        <v/>
      </c>
      <c r="G737" s="17" t="str">
        <f t="shared" si="32"/>
        <v/>
      </c>
      <c r="I737" s="17" t="str">
        <f t="shared" si="33"/>
        <v/>
      </c>
    </row>
    <row r="738" spans="1:9">
      <c r="A738" s="15" t="str">
        <f t="shared" si="34"/>
        <v/>
      </c>
      <c r="G738" s="17" t="str">
        <f t="shared" si="32"/>
        <v/>
      </c>
      <c r="I738" s="17" t="str">
        <f t="shared" si="33"/>
        <v/>
      </c>
    </row>
    <row r="739" spans="1:9">
      <c r="A739" s="15" t="str">
        <f t="shared" si="34"/>
        <v/>
      </c>
      <c r="G739" s="17" t="str">
        <f t="shared" si="32"/>
        <v/>
      </c>
      <c r="I739" s="17" t="str">
        <f t="shared" si="33"/>
        <v/>
      </c>
    </row>
    <row r="740" spans="1:9">
      <c r="A740" s="15" t="str">
        <f t="shared" si="34"/>
        <v/>
      </c>
      <c r="G740" s="17" t="str">
        <f t="shared" si="32"/>
        <v/>
      </c>
      <c r="I740" s="17" t="str">
        <f t="shared" si="33"/>
        <v/>
      </c>
    </row>
    <row r="741" spans="1:9">
      <c r="A741" s="15" t="str">
        <f t="shared" si="34"/>
        <v/>
      </c>
      <c r="G741" s="17" t="str">
        <f t="shared" si="32"/>
        <v/>
      </c>
      <c r="I741" s="17" t="str">
        <f t="shared" si="33"/>
        <v/>
      </c>
    </row>
    <row r="742" spans="1:9">
      <c r="A742" s="15" t="str">
        <f t="shared" si="34"/>
        <v/>
      </c>
      <c r="G742" s="17" t="str">
        <f t="shared" si="32"/>
        <v/>
      </c>
      <c r="I742" s="17" t="str">
        <f t="shared" si="33"/>
        <v/>
      </c>
    </row>
    <row r="743" spans="1:9">
      <c r="A743" s="15" t="str">
        <f t="shared" si="34"/>
        <v/>
      </c>
      <c r="G743" s="17" t="str">
        <f t="shared" si="32"/>
        <v/>
      </c>
      <c r="I743" s="17" t="str">
        <f t="shared" si="33"/>
        <v/>
      </c>
    </row>
    <row r="744" spans="1:9">
      <c r="A744" s="15" t="str">
        <f t="shared" si="34"/>
        <v/>
      </c>
      <c r="G744" s="17" t="str">
        <f t="shared" si="32"/>
        <v/>
      </c>
      <c r="I744" s="17" t="str">
        <f t="shared" si="33"/>
        <v/>
      </c>
    </row>
    <row r="745" spans="1:9">
      <c r="A745" s="15" t="str">
        <f t="shared" si="34"/>
        <v/>
      </c>
      <c r="G745" s="17" t="str">
        <f t="shared" si="32"/>
        <v/>
      </c>
      <c r="I745" s="17" t="str">
        <f t="shared" si="33"/>
        <v/>
      </c>
    </row>
    <row r="746" spans="1:9">
      <c r="A746" s="15" t="str">
        <f t="shared" si="34"/>
        <v/>
      </c>
      <c r="G746" s="17" t="str">
        <f t="shared" si="32"/>
        <v/>
      </c>
      <c r="I746" s="17" t="str">
        <f t="shared" si="33"/>
        <v/>
      </c>
    </row>
    <row r="747" spans="1:9">
      <c r="A747" s="15" t="str">
        <f t="shared" si="34"/>
        <v/>
      </c>
      <c r="G747" s="17" t="str">
        <f t="shared" si="32"/>
        <v/>
      </c>
      <c r="I747" s="17" t="str">
        <f t="shared" si="33"/>
        <v/>
      </c>
    </row>
    <row r="748" spans="1:9">
      <c r="A748" s="15" t="str">
        <f t="shared" si="34"/>
        <v/>
      </c>
      <c r="G748" s="17" t="str">
        <f t="shared" si="32"/>
        <v/>
      </c>
      <c r="I748" s="17" t="str">
        <f t="shared" si="33"/>
        <v/>
      </c>
    </row>
    <row r="749" spans="1:9">
      <c r="A749" s="15" t="str">
        <f t="shared" si="34"/>
        <v/>
      </c>
      <c r="G749" s="17" t="str">
        <f t="shared" si="32"/>
        <v/>
      </c>
      <c r="I749" s="17" t="str">
        <f t="shared" si="33"/>
        <v/>
      </c>
    </row>
    <row r="750" spans="1:9">
      <c r="A750" s="15" t="str">
        <f t="shared" si="34"/>
        <v/>
      </c>
      <c r="G750" s="17" t="str">
        <f t="shared" si="32"/>
        <v/>
      </c>
      <c r="I750" s="17" t="str">
        <f t="shared" si="33"/>
        <v/>
      </c>
    </row>
    <row r="751" spans="1:9">
      <c r="A751" s="15" t="str">
        <f t="shared" si="34"/>
        <v/>
      </c>
      <c r="G751" s="17" t="str">
        <f t="shared" ref="G751:G814" si="35">IFERROR(VLOOKUP(C751,$U$3:$W$19,2,),"")</f>
        <v/>
      </c>
      <c r="I751" s="17" t="str">
        <f t="shared" ref="I751:I814" si="36">IFERROR(VLOOKUP(C751,$U$3:$W$19,3,),"")</f>
        <v/>
      </c>
    </row>
    <row r="752" spans="1:9">
      <c r="A752" s="15" t="str">
        <f t="shared" si="34"/>
        <v/>
      </c>
      <c r="G752" s="17" t="str">
        <f t="shared" si="35"/>
        <v/>
      </c>
      <c r="I752" s="17" t="str">
        <f t="shared" si="36"/>
        <v/>
      </c>
    </row>
    <row r="753" spans="1:9">
      <c r="A753" s="15" t="str">
        <f t="shared" si="34"/>
        <v/>
      </c>
      <c r="G753" s="17" t="str">
        <f t="shared" si="35"/>
        <v/>
      </c>
      <c r="I753" s="17" t="str">
        <f t="shared" si="36"/>
        <v/>
      </c>
    </row>
    <row r="754" spans="1:9">
      <c r="A754" s="15" t="str">
        <f t="shared" si="34"/>
        <v/>
      </c>
      <c r="G754" s="17" t="str">
        <f t="shared" si="35"/>
        <v/>
      </c>
      <c r="I754" s="17" t="str">
        <f t="shared" si="36"/>
        <v/>
      </c>
    </row>
    <row r="755" spans="1:9">
      <c r="A755" s="15" t="str">
        <f t="shared" si="34"/>
        <v/>
      </c>
      <c r="G755" s="17" t="str">
        <f t="shared" si="35"/>
        <v/>
      </c>
      <c r="I755" s="17" t="str">
        <f t="shared" si="36"/>
        <v/>
      </c>
    </row>
    <row r="756" spans="1:9">
      <c r="A756" s="15" t="str">
        <f t="shared" si="34"/>
        <v/>
      </c>
      <c r="G756" s="17" t="str">
        <f t="shared" si="35"/>
        <v/>
      </c>
      <c r="I756" s="17" t="str">
        <f t="shared" si="36"/>
        <v/>
      </c>
    </row>
    <row r="757" spans="1:9">
      <c r="A757" s="15" t="str">
        <f t="shared" si="34"/>
        <v/>
      </c>
      <c r="G757" s="17" t="str">
        <f t="shared" si="35"/>
        <v/>
      </c>
      <c r="I757" s="17" t="str">
        <f t="shared" si="36"/>
        <v/>
      </c>
    </row>
    <row r="758" spans="1:9">
      <c r="A758" s="15" t="str">
        <f t="shared" si="34"/>
        <v/>
      </c>
      <c r="G758" s="17" t="str">
        <f t="shared" si="35"/>
        <v/>
      </c>
      <c r="I758" s="17" t="str">
        <f t="shared" si="36"/>
        <v/>
      </c>
    </row>
    <row r="759" spans="1:9">
      <c r="A759" s="15" t="str">
        <f t="shared" si="34"/>
        <v/>
      </c>
      <c r="G759" s="17" t="str">
        <f t="shared" si="35"/>
        <v/>
      </c>
      <c r="I759" s="17" t="str">
        <f t="shared" si="36"/>
        <v/>
      </c>
    </row>
    <row r="760" spans="1:9">
      <c r="A760" s="15" t="str">
        <f t="shared" si="34"/>
        <v/>
      </c>
      <c r="G760" s="17" t="str">
        <f t="shared" si="35"/>
        <v/>
      </c>
      <c r="I760" s="17" t="str">
        <f t="shared" si="36"/>
        <v/>
      </c>
    </row>
    <row r="761" spans="1:9">
      <c r="A761" s="15" t="str">
        <f t="shared" si="34"/>
        <v/>
      </c>
      <c r="G761" s="17" t="str">
        <f t="shared" si="35"/>
        <v/>
      </c>
      <c r="I761" s="17" t="str">
        <f t="shared" si="36"/>
        <v/>
      </c>
    </row>
    <row r="762" spans="1:9">
      <c r="A762" s="15" t="str">
        <f t="shared" si="34"/>
        <v/>
      </c>
      <c r="G762" s="17" t="str">
        <f t="shared" si="35"/>
        <v/>
      </c>
      <c r="I762" s="17" t="str">
        <f t="shared" si="36"/>
        <v/>
      </c>
    </row>
    <row r="763" spans="1:9">
      <c r="A763" s="15" t="str">
        <f t="shared" si="34"/>
        <v/>
      </c>
      <c r="G763" s="17" t="str">
        <f t="shared" si="35"/>
        <v/>
      </c>
      <c r="I763" s="17" t="str">
        <f t="shared" si="36"/>
        <v/>
      </c>
    </row>
    <row r="764" spans="1:9">
      <c r="A764" s="15" t="str">
        <f t="shared" si="34"/>
        <v/>
      </c>
      <c r="G764" s="17" t="str">
        <f t="shared" si="35"/>
        <v/>
      </c>
      <c r="I764" s="17" t="str">
        <f t="shared" si="36"/>
        <v/>
      </c>
    </row>
    <row r="765" spans="1:9">
      <c r="A765" s="15" t="str">
        <f t="shared" si="34"/>
        <v/>
      </c>
      <c r="G765" s="17" t="str">
        <f t="shared" si="35"/>
        <v/>
      </c>
      <c r="I765" s="17" t="str">
        <f t="shared" si="36"/>
        <v/>
      </c>
    </row>
    <row r="766" spans="1:9">
      <c r="A766" s="15" t="str">
        <f t="shared" si="34"/>
        <v/>
      </c>
      <c r="G766" s="17" t="str">
        <f t="shared" si="35"/>
        <v/>
      </c>
      <c r="I766" s="17" t="str">
        <f t="shared" si="36"/>
        <v/>
      </c>
    </row>
    <row r="767" spans="1:9">
      <c r="A767" s="15" t="str">
        <f t="shared" si="34"/>
        <v/>
      </c>
      <c r="G767" s="17" t="str">
        <f t="shared" si="35"/>
        <v/>
      </c>
      <c r="I767" s="17" t="str">
        <f t="shared" si="36"/>
        <v/>
      </c>
    </row>
    <row r="768" spans="1:9">
      <c r="A768" s="15" t="str">
        <f t="shared" si="34"/>
        <v/>
      </c>
      <c r="G768" s="17" t="str">
        <f t="shared" si="35"/>
        <v/>
      </c>
      <c r="I768" s="17" t="str">
        <f t="shared" si="36"/>
        <v/>
      </c>
    </row>
    <row r="769" spans="1:9">
      <c r="A769" s="15" t="str">
        <f t="shared" si="34"/>
        <v/>
      </c>
      <c r="G769" s="17" t="str">
        <f t="shared" si="35"/>
        <v/>
      </c>
      <c r="I769" s="17" t="str">
        <f t="shared" si="36"/>
        <v/>
      </c>
    </row>
    <row r="770" spans="1:9">
      <c r="A770" s="15" t="str">
        <f t="shared" si="34"/>
        <v/>
      </c>
      <c r="G770" s="17" t="str">
        <f t="shared" si="35"/>
        <v/>
      </c>
      <c r="I770" s="17" t="str">
        <f t="shared" si="36"/>
        <v/>
      </c>
    </row>
    <row r="771" spans="1:9">
      <c r="A771" s="15" t="str">
        <f t="shared" si="34"/>
        <v/>
      </c>
      <c r="G771" s="17" t="str">
        <f t="shared" si="35"/>
        <v/>
      </c>
      <c r="I771" s="17" t="str">
        <f t="shared" si="36"/>
        <v/>
      </c>
    </row>
    <row r="772" spans="1:9">
      <c r="A772" s="15" t="str">
        <f t="shared" si="34"/>
        <v/>
      </c>
      <c r="G772" s="17" t="str">
        <f t="shared" si="35"/>
        <v/>
      </c>
      <c r="I772" s="17" t="str">
        <f t="shared" si="36"/>
        <v/>
      </c>
    </row>
    <row r="773" spans="1:9">
      <c r="A773" s="15" t="str">
        <f t="shared" si="34"/>
        <v/>
      </c>
      <c r="G773" s="17" t="str">
        <f t="shared" si="35"/>
        <v/>
      </c>
      <c r="I773" s="17" t="str">
        <f t="shared" si="36"/>
        <v/>
      </c>
    </row>
    <row r="774" spans="1:9">
      <c r="A774" s="15" t="str">
        <f t="shared" si="34"/>
        <v/>
      </c>
      <c r="G774" s="17" t="str">
        <f t="shared" si="35"/>
        <v/>
      </c>
      <c r="I774" s="17" t="str">
        <f t="shared" si="36"/>
        <v/>
      </c>
    </row>
    <row r="775" spans="1:9">
      <c r="A775" s="15" t="str">
        <f t="shared" si="34"/>
        <v/>
      </c>
      <c r="G775" s="17" t="str">
        <f t="shared" si="35"/>
        <v/>
      </c>
      <c r="I775" s="17" t="str">
        <f t="shared" si="36"/>
        <v/>
      </c>
    </row>
    <row r="776" spans="1:9">
      <c r="A776" s="15" t="str">
        <f t="shared" si="34"/>
        <v/>
      </c>
      <c r="G776" s="17" t="str">
        <f t="shared" si="35"/>
        <v/>
      </c>
      <c r="I776" s="17" t="str">
        <f t="shared" si="36"/>
        <v/>
      </c>
    </row>
    <row r="777" spans="1:9">
      <c r="A777" s="15" t="str">
        <f t="shared" si="34"/>
        <v/>
      </c>
      <c r="G777" s="17" t="str">
        <f t="shared" si="35"/>
        <v/>
      </c>
      <c r="I777" s="17" t="str">
        <f t="shared" si="36"/>
        <v/>
      </c>
    </row>
    <row r="778" spans="1:9">
      <c r="A778" s="15" t="str">
        <f t="shared" si="34"/>
        <v/>
      </c>
      <c r="G778" s="17" t="str">
        <f t="shared" si="35"/>
        <v/>
      </c>
      <c r="I778" s="17" t="str">
        <f t="shared" si="36"/>
        <v/>
      </c>
    </row>
    <row r="779" spans="1:9">
      <c r="A779" s="15" t="str">
        <f t="shared" si="34"/>
        <v/>
      </c>
      <c r="G779" s="17" t="str">
        <f t="shared" si="35"/>
        <v/>
      </c>
      <c r="I779" s="17" t="str">
        <f t="shared" si="36"/>
        <v/>
      </c>
    </row>
    <row r="780" spans="1:9">
      <c r="A780" s="15" t="str">
        <f t="shared" si="34"/>
        <v/>
      </c>
      <c r="G780" s="17" t="str">
        <f t="shared" si="35"/>
        <v/>
      </c>
      <c r="I780" s="17" t="str">
        <f t="shared" si="36"/>
        <v/>
      </c>
    </row>
    <row r="781" spans="1:9">
      <c r="A781" s="15" t="str">
        <f t="shared" si="34"/>
        <v/>
      </c>
      <c r="G781" s="17" t="str">
        <f t="shared" si="35"/>
        <v/>
      </c>
      <c r="I781" s="17" t="str">
        <f t="shared" si="36"/>
        <v/>
      </c>
    </row>
    <row r="782" spans="1:9">
      <c r="A782" s="15" t="str">
        <f t="shared" si="34"/>
        <v/>
      </c>
      <c r="G782" s="17" t="str">
        <f t="shared" si="35"/>
        <v/>
      </c>
      <c r="I782" s="17" t="str">
        <f t="shared" si="36"/>
        <v/>
      </c>
    </row>
    <row r="783" spans="1:9">
      <c r="A783" s="15" t="str">
        <f t="shared" si="34"/>
        <v/>
      </c>
      <c r="G783" s="17" t="str">
        <f t="shared" si="35"/>
        <v/>
      </c>
      <c r="I783" s="17" t="str">
        <f t="shared" si="36"/>
        <v/>
      </c>
    </row>
    <row r="784" spans="1:9">
      <c r="A784" s="15" t="str">
        <f t="shared" si="34"/>
        <v/>
      </c>
      <c r="G784" s="17" t="str">
        <f t="shared" si="35"/>
        <v/>
      </c>
      <c r="I784" s="17" t="str">
        <f t="shared" si="36"/>
        <v/>
      </c>
    </row>
    <row r="785" spans="1:9">
      <c r="A785" s="15" t="str">
        <f t="shared" si="34"/>
        <v/>
      </c>
      <c r="G785" s="17" t="str">
        <f t="shared" si="35"/>
        <v/>
      </c>
      <c r="I785" s="17" t="str">
        <f t="shared" si="36"/>
        <v/>
      </c>
    </row>
    <row r="786" spans="1:9">
      <c r="A786" s="15" t="str">
        <f t="shared" si="34"/>
        <v/>
      </c>
      <c r="G786" s="17" t="str">
        <f t="shared" si="35"/>
        <v/>
      </c>
      <c r="I786" s="17" t="str">
        <f t="shared" si="36"/>
        <v/>
      </c>
    </row>
    <row r="787" spans="1:9">
      <c r="A787" s="15" t="str">
        <f t="shared" si="34"/>
        <v/>
      </c>
      <c r="G787" s="17" t="str">
        <f t="shared" si="35"/>
        <v/>
      </c>
      <c r="I787" s="17" t="str">
        <f t="shared" si="36"/>
        <v/>
      </c>
    </row>
    <row r="788" spans="1:9">
      <c r="A788" s="15" t="str">
        <f t="shared" si="34"/>
        <v/>
      </c>
      <c r="G788" s="17" t="str">
        <f t="shared" si="35"/>
        <v/>
      </c>
      <c r="I788" s="17" t="str">
        <f t="shared" si="36"/>
        <v/>
      </c>
    </row>
    <row r="789" spans="1:9">
      <c r="A789" s="15" t="str">
        <f t="shared" si="34"/>
        <v/>
      </c>
      <c r="G789" s="17" t="str">
        <f t="shared" si="35"/>
        <v/>
      </c>
      <c r="I789" s="17" t="str">
        <f t="shared" si="36"/>
        <v/>
      </c>
    </row>
    <row r="790" spans="1:9">
      <c r="A790" s="15" t="str">
        <f t="shared" si="34"/>
        <v/>
      </c>
      <c r="G790" s="17" t="str">
        <f t="shared" si="35"/>
        <v/>
      </c>
      <c r="I790" s="17" t="str">
        <f t="shared" si="36"/>
        <v/>
      </c>
    </row>
    <row r="791" spans="1:9">
      <c r="A791" s="15" t="str">
        <f t="shared" si="34"/>
        <v/>
      </c>
      <c r="G791" s="17" t="str">
        <f t="shared" si="35"/>
        <v/>
      </c>
      <c r="I791" s="17" t="str">
        <f t="shared" si="36"/>
        <v/>
      </c>
    </row>
    <row r="792" spans="1:9">
      <c r="A792" s="15" t="str">
        <f t="shared" ref="A792:A855" si="37">IF(B792&lt;&gt;"",ROW()-2,"")</f>
        <v/>
      </c>
      <c r="G792" s="17" t="str">
        <f t="shared" si="35"/>
        <v/>
      </c>
      <c r="I792" s="17" t="str">
        <f t="shared" si="36"/>
        <v/>
      </c>
    </row>
    <row r="793" spans="1:9">
      <c r="A793" s="15" t="str">
        <f t="shared" si="37"/>
        <v/>
      </c>
      <c r="G793" s="17" t="str">
        <f t="shared" si="35"/>
        <v/>
      </c>
      <c r="I793" s="17" t="str">
        <f t="shared" si="36"/>
        <v/>
      </c>
    </row>
    <row r="794" spans="1:9">
      <c r="A794" s="15" t="str">
        <f t="shared" si="37"/>
        <v/>
      </c>
      <c r="G794" s="17" t="str">
        <f t="shared" si="35"/>
        <v/>
      </c>
      <c r="I794" s="17" t="str">
        <f t="shared" si="36"/>
        <v/>
      </c>
    </row>
    <row r="795" spans="1:9">
      <c r="A795" s="15" t="str">
        <f t="shared" si="37"/>
        <v/>
      </c>
      <c r="G795" s="17" t="str">
        <f t="shared" si="35"/>
        <v/>
      </c>
      <c r="I795" s="17" t="str">
        <f t="shared" si="36"/>
        <v/>
      </c>
    </row>
    <row r="796" spans="1:9">
      <c r="A796" s="15" t="str">
        <f t="shared" si="37"/>
        <v/>
      </c>
      <c r="G796" s="17" t="str">
        <f t="shared" si="35"/>
        <v/>
      </c>
      <c r="I796" s="17" t="str">
        <f t="shared" si="36"/>
        <v/>
      </c>
    </row>
    <row r="797" spans="1:9">
      <c r="A797" s="15" t="str">
        <f t="shared" si="37"/>
        <v/>
      </c>
      <c r="G797" s="17" t="str">
        <f t="shared" si="35"/>
        <v/>
      </c>
      <c r="I797" s="17" t="str">
        <f t="shared" si="36"/>
        <v/>
      </c>
    </row>
    <row r="798" spans="1:9">
      <c r="A798" s="15" t="str">
        <f t="shared" si="37"/>
        <v/>
      </c>
      <c r="G798" s="17" t="str">
        <f t="shared" si="35"/>
        <v/>
      </c>
      <c r="I798" s="17" t="str">
        <f t="shared" si="36"/>
        <v/>
      </c>
    </row>
    <row r="799" spans="1:9">
      <c r="A799" s="15" t="str">
        <f t="shared" si="37"/>
        <v/>
      </c>
      <c r="G799" s="17" t="str">
        <f t="shared" si="35"/>
        <v/>
      </c>
      <c r="I799" s="17" t="str">
        <f t="shared" si="36"/>
        <v/>
      </c>
    </row>
    <row r="800" spans="1:9">
      <c r="A800" s="15" t="str">
        <f t="shared" si="37"/>
        <v/>
      </c>
      <c r="G800" s="17" t="str">
        <f t="shared" si="35"/>
        <v/>
      </c>
      <c r="I800" s="17" t="str">
        <f t="shared" si="36"/>
        <v/>
      </c>
    </row>
    <row r="801" spans="1:9">
      <c r="A801" s="15" t="str">
        <f t="shared" si="37"/>
        <v/>
      </c>
      <c r="G801" s="17" t="str">
        <f t="shared" si="35"/>
        <v/>
      </c>
      <c r="I801" s="17" t="str">
        <f t="shared" si="36"/>
        <v/>
      </c>
    </row>
    <row r="802" spans="1:9">
      <c r="A802" s="15" t="str">
        <f t="shared" si="37"/>
        <v/>
      </c>
      <c r="G802" s="17" t="str">
        <f t="shared" si="35"/>
        <v/>
      </c>
      <c r="I802" s="17" t="str">
        <f t="shared" si="36"/>
        <v/>
      </c>
    </row>
    <row r="803" spans="1:9">
      <c r="A803" s="15" t="str">
        <f t="shared" si="37"/>
        <v/>
      </c>
      <c r="G803" s="17" t="str">
        <f t="shared" si="35"/>
        <v/>
      </c>
      <c r="I803" s="17" t="str">
        <f t="shared" si="36"/>
        <v/>
      </c>
    </row>
    <row r="804" spans="1:9">
      <c r="A804" s="15" t="str">
        <f t="shared" si="37"/>
        <v/>
      </c>
      <c r="G804" s="17" t="str">
        <f t="shared" si="35"/>
        <v/>
      </c>
      <c r="I804" s="17" t="str">
        <f t="shared" si="36"/>
        <v/>
      </c>
    </row>
    <row r="805" spans="1:9">
      <c r="A805" s="15" t="str">
        <f t="shared" si="37"/>
        <v/>
      </c>
      <c r="G805" s="17" t="str">
        <f t="shared" si="35"/>
        <v/>
      </c>
      <c r="I805" s="17" t="str">
        <f t="shared" si="36"/>
        <v/>
      </c>
    </row>
    <row r="806" spans="1:9">
      <c r="A806" s="15" t="str">
        <f t="shared" si="37"/>
        <v/>
      </c>
      <c r="G806" s="17" t="str">
        <f t="shared" si="35"/>
        <v/>
      </c>
      <c r="I806" s="17" t="str">
        <f t="shared" si="36"/>
        <v/>
      </c>
    </row>
    <row r="807" spans="1:9">
      <c r="A807" s="15" t="str">
        <f t="shared" si="37"/>
        <v/>
      </c>
      <c r="G807" s="17" t="str">
        <f t="shared" si="35"/>
        <v/>
      </c>
      <c r="I807" s="17" t="str">
        <f t="shared" si="36"/>
        <v/>
      </c>
    </row>
    <row r="808" spans="1:9">
      <c r="A808" s="15" t="str">
        <f t="shared" si="37"/>
        <v/>
      </c>
      <c r="G808" s="17" t="str">
        <f t="shared" si="35"/>
        <v/>
      </c>
      <c r="I808" s="17" t="str">
        <f t="shared" si="36"/>
        <v/>
      </c>
    </row>
    <row r="809" spans="1:9">
      <c r="A809" s="15" t="str">
        <f t="shared" si="37"/>
        <v/>
      </c>
      <c r="G809" s="17" t="str">
        <f t="shared" si="35"/>
        <v/>
      </c>
      <c r="I809" s="17" t="str">
        <f t="shared" si="36"/>
        <v/>
      </c>
    </row>
    <row r="810" spans="1:9">
      <c r="A810" s="15" t="str">
        <f t="shared" si="37"/>
        <v/>
      </c>
      <c r="G810" s="17" t="str">
        <f t="shared" si="35"/>
        <v/>
      </c>
      <c r="I810" s="17" t="str">
        <f t="shared" si="36"/>
        <v/>
      </c>
    </row>
    <row r="811" spans="1:9">
      <c r="A811" s="15" t="str">
        <f t="shared" si="37"/>
        <v/>
      </c>
      <c r="G811" s="17" t="str">
        <f t="shared" si="35"/>
        <v/>
      </c>
      <c r="I811" s="17" t="str">
        <f t="shared" si="36"/>
        <v/>
      </c>
    </row>
    <row r="812" spans="1:9">
      <c r="A812" s="15" t="str">
        <f t="shared" si="37"/>
        <v/>
      </c>
      <c r="G812" s="17" t="str">
        <f t="shared" si="35"/>
        <v/>
      </c>
      <c r="I812" s="17" t="str">
        <f t="shared" si="36"/>
        <v/>
      </c>
    </row>
    <row r="813" spans="1:9">
      <c r="A813" s="15" t="str">
        <f t="shared" si="37"/>
        <v/>
      </c>
      <c r="G813" s="17" t="str">
        <f t="shared" si="35"/>
        <v/>
      </c>
      <c r="I813" s="17" t="str">
        <f t="shared" si="36"/>
        <v/>
      </c>
    </row>
    <row r="814" spans="1:9">
      <c r="A814" s="15" t="str">
        <f t="shared" si="37"/>
        <v/>
      </c>
      <c r="G814" s="17" t="str">
        <f t="shared" si="35"/>
        <v/>
      </c>
      <c r="I814" s="17" t="str">
        <f t="shared" si="36"/>
        <v/>
      </c>
    </row>
    <row r="815" spans="1:9">
      <c r="A815" s="15" t="str">
        <f t="shared" si="37"/>
        <v/>
      </c>
      <c r="G815" s="17" t="str">
        <f t="shared" ref="G815:G878" si="38">IFERROR(VLOOKUP(C815,$U$3:$W$19,2,),"")</f>
        <v/>
      </c>
      <c r="I815" s="17" t="str">
        <f t="shared" ref="I815:I878" si="39">IFERROR(VLOOKUP(C815,$U$3:$W$19,3,),"")</f>
        <v/>
      </c>
    </row>
    <row r="816" spans="1:9">
      <c r="A816" s="15" t="str">
        <f t="shared" si="37"/>
        <v/>
      </c>
      <c r="G816" s="17" t="str">
        <f t="shared" si="38"/>
        <v/>
      </c>
      <c r="I816" s="17" t="str">
        <f t="shared" si="39"/>
        <v/>
      </c>
    </row>
    <row r="817" spans="1:9">
      <c r="A817" s="15" t="str">
        <f t="shared" si="37"/>
        <v/>
      </c>
      <c r="G817" s="17" t="str">
        <f t="shared" si="38"/>
        <v/>
      </c>
      <c r="I817" s="17" t="str">
        <f t="shared" si="39"/>
        <v/>
      </c>
    </row>
    <row r="818" spans="1:9">
      <c r="A818" s="15" t="str">
        <f t="shared" si="37"/>
        <v/>
      </c>
      <c r="G818" s="17" t="str">
        <f t="shared" si="38"/>
        <v/>
      </c>
      <c r="I818" s="17" t="str">
        <f t="shared" si="39"/>
        <v/>
      </c>
    </row>
    <row r="819" spans="1:9">
      <c r="A819" s="15" t="str">
        <f t="shared" si="37"/>
        <v/>
      </c>
      <c r="G819" s="17" t="str">
        <f t="shared" si="38"/>
        <v/>
      </c>
      <c r="I819" s="17" t="str">
        <f t="shared" si="39"/>
        <v/>
      </c>
    </row>
    <row r="820" spans="1:9">
      <c r="A820" s="15" t="str">
        <f t="shared" si="37"/>
        <v/>
      </c>
      <c r="G820" s="17" t="str">
        <f t="shared" si="38"/>
        <v/>
      </c>
      <c r="I820" s="17" t="str">
        <f t="shared" si="39"/>
        <v/>
      </c>
    </row>
    <row r="821" spans="1:9">
      <c r="A821" s="15" t="str">
        <f t="shared" si="37"/>
        <v/>
      </c>
      <c r="G821" s="17" t="str">
        <f t="shared" si="38"/>
        <v/>
      </c>
      <c r="I821" s="17" t="str">
        <f t="shared" si="39"/>
        <v/>
      </c>
    </row>
    <row r="822" spans="1:9">
      <c r="A822" s="15" t="str">
        <f t="shared" si="37"/>
        <v/>
      </c>
      <c r="G822" s="17" t="str">
        <f t="shared" si="38"/>
        <v/>
      </c>
      <c r="I822" s="17" t="str">
        <f t="shared" si="39"/>
        <v/>
      </c>
    </row>
    <row r="823" spans="1:9">
      <c r="A823" s="15" t="str">
        <f t="shared" si="37"/>
        <v/>
      </c>
      <c r="G823" s="17" t="str">
        <f t="shared" si="38"/>
        <v/>
      </c>
      <c r="I823" s="17" t="str">
        <f t="shared" si="39"/>
        <v/>
      </c>
    </row>
    <row r="824" spans="1:9">
      <c r="A824" s="15" t="str">
        <f t="shared" si="37"/>
        <v/>
      </c>
      <c r="G824" s="17" t="str">
        <f t="shared" si="38"/>
        <v/>
      </c>
      <c r="I824" s="17" t="str">
        <f t="shared" si="39"/>
        <v/>
      </c>
    </row>
    <row r="825" spans="1:9">
      <c r="A825" s="15" t="str">
        <f t="shared" si="37"/>
        <v/>
      </c>
      <c r="G825" s="17" t="str">
        <f t="shared" si="38"/>
        <v/>
      </c>
      <c r="I825" s="17" t="str">
        <f t="shared" si="39"/>
        <v/>
      </c>
    </row>
    <row r="826" spans="1:9">
      <c r="A826" s="15" t="str">
        <f t="shared" si="37"/>
        <v/>
      </c>
      <c r="G826" s="17" t="str">
        <f t="shared" si="38"/>
        <v/>
      </c>
      <c r="I826" s="17" t="str">
        <f t="shared" si="39"/>
        <v/>
      </c>
    </row>
    <row r="827" spans="1:9">
      <c r="A827" s="15" t="str">
        <f t="shared" si="37"/>
        <v/>
      </c>
      <c r="G827" s="17" t="str">
        <f t="shared" si="38"/>
        <v/>
      </c>
      <c r="I827" s="17" t="str">
        <f t="shared" si="39"/>
        <v/>
      </c>
    </row>
    <row r="828" spans="1:9">
      <c r="A828" s="15" t="str">
        <f t="shared" si="37"/>
        <v/>
      </c>
      <c r="G828" s="17" t="str">
        <f t="shared" si="38"/>
        <v/>
      </c>
      <c r="I828" s="17" t="str">
        <f t="shared" si="39"/>
        <v/>
      </c>
    </row>
    <row r="829" spans="1:9">
      <c r="A829" s="15" t="str">
        <f t="shared" si="37"/>
        <v/>
      </c>
      <c r="G829" s="17" t="str">
        <f t="shared" si="38"/>
        <v/>
      </c>
      <c r="I829" s="17" t="str">
        <f t="shared" si="39"/>
        <v/>
      </c>
    </row>
    <row r="830" spans="1:9">
      <c r="A830" s="15" t="str">
        <f t="shared" si="37"/>
        <v/>
      </c>
      <c r="G830" s="17" t="str">
        <f t="shared" si="38"/>
        <v/>
      </c>
      <c r="I830" s="17" t="str">
        <f t="shared" si="39"/>
        <v/>
      </c>
    </row>
    <row r="831" spans="1:9">
      <c r="A831" s="15" t="str">
        <f t="shared" si="37"/>
        <v/>
      </c>
      <c r="G831" s="17" t="str">
        <f t="shared" si="38"/>
        <v/>
      </c>
      <c r="I831" s="17" t="str">
        <f t="shared" si="39"/>
        <v/>
      </c>
    </row>
    <row r="832" spans="1:9">
      <c r="A832" s="15" t="str">
        <f t="shared" si="37"/>
        <v/>
      </c>
      <c r="G832" s="17" t="str">
        <f t="shared" si="38"/>
        <v/>
      </c>
      <c r="I832" s="17" t="str">
        <f t="shared" si="39"/>
        <v/>
      </c>
    </row>
    <row r="833" spans="1:9">
      <c r="A833" s="15" t="str">
        <f t="shared" si="37"/>
        <v/>
      </c>
      <c r="G833" s="17" t="str">
        <f t="shared" si="38"/>
        <v/>
      </c>
      <c r="I833" s="17" t="str">
        <f t="shared" si="39"/>
        <v/>
      </c>
    </row>
    <row r="834" spans="1:9">
      <c r="A834" s="15" t="str">
        <f t="shared" si="37"/>
        <v/>
      </c>
      <c r="G834" s="17" t="str">
        <f t="shared" si="38"/>
        <v/>
      </c>
      <c r="I834" s="17" t="str">
        <f t="shared" si="39"/>
        <v/>
      </c>
    </row>
    <row r="835" spans="1:9">
      <c r="A835" s="15" t="str">
        <f t="shared" si="37"/>
        <v/>
      </c>
      <c r="G835" s="17" t="str">
        <f t="shared" si="38"/>
        <v/>
      </c>
      <c r="I835" s="17" t="str">
        <f t="shared" si="39"/>
        <v/>
      </c>
    </row>
    <row r="836" spans="1:9">
      <c r="A836" s="15" t="str">
        <f t="shared" si="37"/>
        <v/>
      </c>
      <c r="G836" s="17" t="str">
        <f t="shared" si="38"/>
        <v/>
      </c>
      <c r="I836" s="17" t="str">
        <f t="shared" si="39"/>
        <v/>
      </c>
    </row>
    <row r="837" spans="1:9">
      <c r="A837" s="15" t="str">
        <f t="shared" si="37"/>
        <v/>
      </c>
      <c r="G837" s="17" t="str">
        <f t="shared" si="38"/>
        <v/>
      </c>
      <c r="I837" s="17" t="str">
        <f t="shared" si="39"/>
        <v/>
      </c>
    </row>
    <row r="838" spans="1:9">
      <c r="A838" s="15" t="str">
        <f t="shared" si="37"/>
        <v/>
      </c>
      <c r="G838" s="17" t="str">
        <f t="shared" si="38"/>
        <v/>
      </c>
      <c r="I838" s="17" t="str">
        <f t="shared" si="39"/>
        <v/>
      </c>
    </row>
    <row r="839" spans="1:9">
      <c r="A839" s="15" t="str">
        <f t="shared" si="37"/>
        <v/>
      </c>
      <c r="G839" s="17" t="str">
        <f t="shared" si="38"/>
        <v/>
      </c>
      <c r="I839" s="17" t="str">
        <f t="shared" si="39"/>
        <v/>
      </c>
    </row>
    <row r="840" spans="1:9">
      <c r="A840" s="15" t="str">
        <f t="shared" si="37"/>
        <v/>
      </c>
      <c r="G840" s="17" t="str">
        <f t="shared" si="38"/>
        <v/>
      </c>
      <c r="I840" s="17" t="str">
        <f t="shared" si="39"/>
        <v/>
      </c>
    </row>
    <row r="841" spans="1:9">
      <c r="A841" s="15" t="str">
        <f t="shared" si="37"/>
        <v/>
      </c>
      <c r="G841" s="17" t="str">
        <f t="shared" si="38"/>
        <v/>
      </c>
      <c r="I841" s="17" t="str">
        <f t="shared" si="39"/>
        <v/>
      </c>
    </row>
    <row r="842" spans="1:9">
      <c r="A842" s="15" t="str">
        <f t="shared" si="37"/>
        <v/>
      </c>
      <c r="G842" s="17" t="str">
        <f t="shared" si="38"/>
        <v/>
      </c>
      <c r="I842" s="17" t="str">
        <f t="shared" si="39"/>
        <v/>
      </c>
    </row>
    <row r="843" spans="1:9">
      <c r="A843" s="15" t="str">
        <f t="shared" si="37"/>
        <v/>
      </c>
      <c r="G843" s="17" t="str">
        <f t="shared" si="38"/>
        <v/>
      </c>
      <c r="I843" s="17" t="str">
        <f t="shared" si="39"/>
        <v/>
      </c>
    </row>
    <row r="844" spans="1:9">
      <c r="A844" s="15" t="str">
        <f t="shared" si="37"/>
        <v/>
      </c>
      <c r="G844" s="17" t="str">
        <f t="shared" si="38"/>
        <v/>
      </c>
      <c r="I844" s="17" t="str">
        <f t="shared" si="39"/>
        <v/>
      </c>
    </row>
    <row r="845" spans="1:9">
      <c r="A845" s="15" t="str">
        <f t="shared" si="37"/>
        <v/>
      </c>
      <c r="G845" s="17" t="str">
        <f t="shared" si="38"/>
        <v/>
      </c>
      <c r="I845" s="17" t="str">
        <f t="shared" si="39"/>
        <v/>
      </c>
    </row>
    <row r="846" spans="1:9">
      <c r="A846" s="15" t="str">
        <f t="shared" si="37"/>
        <v/>
      </c>
      <c r="G846" s="17" t="str">
        <f t="shared" si="38"/>
        <v/>
      </c>
      <c r="I846" s="17" t="str">
        <f t="shared" si="39"/>
        <v/>
      </c>
    </row>
    <row r="847" spans="1:9">
      <c r="A847" s="15" t="str">
        <f t="shared" si="37"/>
        <v/>
      </c>
      <c r="G847" s="17" t="str">
        <f t="shared" si="38"/>
        <v/>
      </c>
      <c r="I847" s="17" t="str">
        <f t="shared" si="39"/>
        <v/>
      </c>
    </row>
    <row r="848" spans="1:9">
      <c r="A848" s="15" t="str">
        <f t="shared" si="37"/>
        <v/>
      </c>
      <c r="G848" s="17" t="str">
        <f t="shared" si="38"/>
        <v/>
      </c>
      <c r="I848" s="17" t="str">
        <f t="shared" si="39"/>
        <v/>
      </c>
    </row>
    <row r="849" spans="1:9">
      <c r="A849" s="15" t="str">
        <f t="shared" si="37"/>
        <v/>
      </c>
      <c r="G849" s="17" t="str">
        <f t="shared" si="38"/>
        <v/>
      </c>
      <c r="I849" s="17" t="str">
        <f t="shared" si="39"/>
        <v/>
      </c>
    </row>
    <row r="850" spans="1:9">
      <c r="A850" s="15" t="str">
        <f t="shared" si="37"/>
        <v/>
      </c>
      <c r="G850" s="17" t="str">
        <f t="shared" si="38"/>
        <v/>
      </c>
      <c r="I850" s="17" t="str">
        <f t="shared" si="39"/>
        <v/>
      </c>
    </row>
    <row r="851" spans="1:9">
      <c r="A851" s="15" t="str">
        <f t="shared" si="37"/>
        <v/>
      </c>
      <c r="G851" s="17" t="str">
        <f t="shared" si="38"/>
        <v/>
      </c>
      <c r="I851" s="17" t="str">
        <f t="shared" si="39"/>
        <v/>
      </c>
    </row>
    <row r="852" spans="1:9">
      <c r="A852" s="15" t="str">
        <f t="shared" si="37"/>
        <v/>
      </c>
      <c r="G852" s="17" t="str">
        <f t="shared" si="38"/>
        <v/>
      </c>
      <c r="I852" s="17" t="str">
        <f t="shared" si="39"/>
        <v/>
      </c>
    </row>
    <row r="853" spans="1:9">
      <c r="A853" s="15" t="str">
        <f t="shared" si="37"/>
        <v/>
      </c>
      <c r="G853" s="17" t="str">
        <f t="shared" si="38"/>
        <v/>
      </c>
      <c r="I853" s="17" t="str">
        <f t="shared" si="39"/>
        <v/>
      </c>
    </row>
    <row r="854" spans="1:9">
      <c r="A854" s="15" t="str">
        <f t="shared" si="37"/>
        <v/>
      </c>
      <c r="G854" s="17" t="str">
        <f t="shared" si="38"/>
        <v/>
      </c>
      <c r="I854" s="17" t="str">
        <f t="shared" si="39"/>
        <v/>
      </c>
    </row>
    <row r="855" spans="1:9">
      <c r="A855" s="15" t="str">
        <f t="shared" si="37"/>
        <v/>
      </c>
      <c r="G855" s="17" t="str">
        <f t="shared" si="38"/>
        <v/>
      </c>
      <c r="I855" s="17" t="str">
        <f t="shared" si="39"/>
        <v/>
      </c>
    </row>
    <row r="856" spans="1:9">
      <c r="A856" s="15" t="str">
        <f t="shared" ref="A856:A919" si="40">IF(B856&lt;&gt;"",ROW()-2,"")</f>
        <v/>
      </c>
      <c r="G856" s="17" t="str">
        <f t="shared" si="38"/>
        <v/>
      </c>
      <c r="I856" s="17" t="str">
        <f t="shared" si="39"/>
        <v/>
      </c>
    </row>
    <row r="857" spans="1:9">
      <c r="A857" s="15" t="str">
        <f t="shared" si="40"/>
        <v/>
      </c>
      <c r="G857" s="17" t="str">
        <f t="shared" si="38"/>
        <v/>
      </c>
      <c r="I857" s="17" t="str">
        <f t="shared" si="39"/>
        <v/>
      </c>
    </row>
    <row r="858" spans="1:9">
      <c r="A858" s="15" t="str">
        <f t="shared" si="40"/>
        <v/>
      </c>
      <c r="G858" s="17" t="str">
        <f t="shared" si="38"/>
        <v/>
      </c>
      <c r="I858" s="17" t="str">
        <f t="shared" si="39"/>
        <v/>
      </c>
    </row>
    <row r="859" spans="1:9">
      <c r="A859" s="15" t="str">
        <f t="shared" si="40"/>
        <v/>
      </c>
      <c r="G859" s="17" t="str">
        <f t="shared" si="38"/>
        <v/>
      </c>
      <c r="I859" s="17" t="str">
        <f t="shared" si="39"/>
        <v/>
      </c>
    </row>
    <row r="860" spans="1:9">
      <c r="A860" s="15" t="str">
        <f t="shared" si="40"/>
        <v/>
      </c>
      <c r="G860" s="17" t="str">
        <f t="shared" si="38"/>
        <v/>
      </c>
      <c r="I860" s="17" t="str">
        <f t="shared" si="39"/>
        <v/>
      </c>
    </row>
    <row r="861" spans="1:9">
      <c r="A861" s="15" t="str">
        <f t="shared" si="40"/>
        <v/>
      </c>
      <c r="G861" s="17" t="str">
        <f t="shared" si="38"/>
        <v/>
      </c>
      <c r="I861" s="17" t="str">
        <f t="shared" si="39"/>
        <v/>
      </c>
    </row>
    <row r="862" spans="1:9">
      <c r="A862" s="15" t="str">
        <f t="shared" si="40"/>
        <v/>
      </c>
      <c r="G862" s="17" t="str">
        <f t="shared" si="38"/>
        <v/>
      </c>
      <c r="I862" s="17" t="str">
        <f t="shared" si="39"/>
        <v/>
      </c>
    </row>
    <row r="863" spans="1:9">
      <c r="A863" s="15" t="str">
        <f t="shared" si="40"/>
        <v/>
      </c>
      <c r="G863" s="17" t="str">
        <f t="shared" si="38"/>
        <v/>
      </c>
      <c r="I863" s="17" t="str">
        <f t="shared" si="39"/>
        <v/>
      </c>
    </row>
    <row r="864" spans="1:9">
      <c r="A864" s="15" t="str">
        <f t="shared" si="40"/>
        <v/>
      </c>
      <c r="G864" s="17" t="str">
        <f t="shared" si="38"/>
        <v/>
      </c>
      <c r="I864" s="17" t="str">
        <f t="shared" si="39"/>
        <v/>
      </c>
    </row>
    <row r="865" spans="1:9">
      <c r="A865" s="15" t="str">
        <f t="shared" si="40"/>
        <v/>
      </c>
      <c r="G865" s="17" t="str">
        <f t="shared" si="38"/>
        <v/>
      </c>
      <c r="I865" s="17" t="str">
        <f t="shared" si="39"/>
        <v/>
      </c>
    </row>
    <row r="866" spans="1:9">
      <c r="A866" s="15" t="str">
        <f t="shared" si="40"/>
        <v/>
      </c>
      <c r="G866" s="17" t="str">
        <f t="shared" si="38"/>
        <v/>
      </c>
      <c r="I866" s="17" t="str">
        <f t="shared" si="39"/>
        <v/>
      </c>
    </row>
    <row r="867" spans="1:9">
      <c r="A867" s="15" t="str">
        <f t="shared" si="40"/>
        <v/>
      </c>
      <c r="G867" s="17" t="str">
        <f t="shared" si="38"/>
        <v/>
      </c>
      <c r="I867" s="17" t="str">
        <f t="shared" si="39"/>
        <v/>
      </c>
    </row>
    <row r="868" spans="1:9">
      <c r="A868" s="15" t="str">
        <f t="shared" si="40"/>
        <v/>
      </c>
      <c r="G868" s="17" t="str">
        <f t="shared" si="38"/>
        <v/>
      </c>
      <c r="I868" s="17" t="str">
        <f t="shared" si="39"/>
        <v/>
      </c>
    </row>
    <row r="869" spans="1:9">
      <c r="A869" s="15" t="str">
        <f t="shared" si="40"/>
        <v/>
      </c>
      <c r="G869" s="17" t="str">
        <f t="shared" si="38"/>
        <v/>
      </c>
      <c r="I869" s="17" t="str">
        <f t="shared" si="39"/>
        <v/>
      </c>
    </row>
    <row r="870" spans="1:9">
      <c r="A870" s="15" t="str">
        <f t="shared" si="40"/>
        <v/>
      </c>
      <c r="G870" s="17" t="str">
        <f t="shared" si="38"/>
        <v/>
      </c>
      <c r="I870" s="17" t="str">
        <f t="shared" si="39"/>
        <v/>
      </c>
    </row>
    <row r="871" spans="1:9">
      <c r="A871" s="15" t="str">
        <f t="shared" si="40"/>
        <v/>
      </c>
      <c r="G871" s="17" t="str">
        <f t="shared" si="38"/>
        <v/>
      </c>
      <c r="I871" s="17" t="str">
        <f t="shared" si="39"/>
        <v/>
      </c>
    </row>
    <row r="872" spans="1:9">
      <c r="A872" s="15" t="str">
        <f t="shared" si="40"/>
        <v/>
      </c>
      <c r="G872" s="17" t="str">
        <f t="shared" si="38"/>
        <v/>
      </c>
      <c r="I872" s="17" t="str">
        <f t="shared" si="39"/>
        <v/>
      </c>
    </row>
    <row r="873" spans="1:9">
      <c r="A873" s="15" t="str">
        <f t="shared" si="40"/>
        <v/>
      </c>
      <c r="G873" s="17" t="str">
        <f t="shared" si="38"/>
        <v/>
      </c>
      <c r="I873" s="17" t="str">
        <f t="shared" si="39"/>
        <v/>
      </c>
    </row>
    <row r="874" spans="1:9">
      <c r="A874" s="15" t="str">
        <f t="shared" si="40"/>
        <v/>
      </c>
      <c r="G874" s="17" t="str">
        <f t="shared" si="38"/>
        <v/>
      </c>
      <c r="I874" s="17" t="str">
        <f t="shared" si="39"/>
        <v/>
      </c>
    </row>
    <row r="875" spans="1:9">
      <c r="A875" s="15" t="str">
        <f t="shared" si="40"/>
        <v/>
      </c>
      <c r="G875" s="17" t="str">
        <f t="shared" si="38"/>
        <v/>
      </c>
      <c r="I875" s="17" t="str">
        <f t="shared" si="39"/>
        <v/>
      </c>
    </row>
    <row r="876" spans="1:9">
      <c r="A876" s="15" t="str">
        <f t="shared" si="40"/>
        <v/>
      </c>
      <c r="G876" s="17" t="str">
        <f t="shared" si="38"/>
        <v/>
      </c>
      <c r="I876" s="17" t="str">
        <f t="shared" si="39"/>
        <v/>
      </c>
    </row>
    <row r="877" spans="1:9">
      <c r="A877" s="15" t="str">
        <f t="shared" si="40"/>
        <v/>
      </c>
      <c r="G877" s="17" t="str">
        <f t="shared" si="38"/>
        <v/>
      </c>
      <c r="I877" s="17" t="str">
        <f t="shared" si="39"/>
        <v/>
      </c>
    </row>
    <row r="878" spans="1:9">
      <c r="A878" s="15" t="str">
        <f t="shared" si="40"/>
        <v/>
      </c>
      <c r="G878" s="17" t="str">
        <f t="shared" si="38"/>
        <v/>
      </c>
      <c r="I878" s="17" t="str">
        <f t="shared" si="39"/>
        <v/>
      </c>
    </row>
    <row r="879" spans="1:9">
      <c r="A879" s="15" t="str">
        <f t="shared" si="40"/>
        <v/>
      </c>
      <c r="G879" s="17" t="str">
        <f t="shared" ref="G879:G942" si="41">IFERROR(VLOOKUP(C879,$U$3:$W$19,2,),"")</f>
        <v/>
      </c>
      <c r="I879" s="17" t="str">
        <f t="shared" ref="I879:I942" si="42">IFERROR(VLOOKUP(C879,$U$3:$W$19,3,),"")</f>
        <v/>
      </c>
    </row>
    <row r="880" spans="1:9">
      <c r="A880" s="15" t="str">
        <f t="shared" si="40"/>
        <v/>
      </c>
      <c r="G880" s="17" t="str">
        <f t="shared" si="41"/>
        <v/>
      </c>
      <c r="I880" s="17" t="str">
        <f t="shared" si="42"/>
        <v/>
      </c>
    </row>
    <row r="881" spans="1:9">
      <c r="A881" s="15" t="str">
        <f t="shared" si="40"/>
        <v/>
      </c>
      <c r="G881" s="17" t="str">
        <f t="shared" si="41"/>
        <v/>
      </c>
      <c r="I881" s="17" t="str">
        <f t="shared" si="42"/>
        <v/>
      </c>
    </row>
    <row r="882" spans="1:9">
      <c r="A882" s="15" t="str">
        <f t="shared" si="40"/>
        <v/>
      </c>
      <c r="G882" s="17" t="str">
        <f t="shared" si="41"/>
        <v/>
      </c>
      <c r="I882" s="17" t="str">
        <f t="shared" si="42"/>
        <v/>
      </c>
    </row>
    <row r="883" spans="1:9">
      <c r="A883" s="15" t="str">
        <f t="shared" si="40"/>
        <v/>
      </c>
      <c r="G883" s="17" t="str">
        <f t="shared" si="41"/>
        <v/>
      </c>
      <c r="I883" s="17" t="str">
        <f t="shared" si="42"/>
        <v/>
      </c>
    </row>
    <row r="884" spans="1:9">
      <c r="A884" s="15" t="str">
        <f t="shared" si="40"/>
        <v/>
      </c>
      <c r="G884" s="17" t="str">
        <f t="shared" si="41"/>
        <v/>
      </c>
      <c r="I884" s="17" t="str">
        <f t="shared" si="42"/>
        <v/>
      </c>
    </row>
    <row r="885" spans="1:9">
      <c r="A885" s="15" t="str">
        <f t="shared" si="40"/>
        <v/>
      </c>
      <c r="G885" s="17" t="str">
        <f t="shared" si="41"/>
        <v/>
      </c>
      <c r="I885" s="17" t="str">
        <f t="shared" si="42"/>
        <v/>
      </c>
    </row>
    <row r="886" spans="1:9">
      <c r="A886" s="15" t="str">
        <f t="shared" si="40"/>
        <v/>
      </c>
      <c r="G886" s="17" t="str">
        <f t="shared" si="41"/>
        <v/>
      </c>
      <c r="I886" s="17" t="str">
        <f t="shared" si="42"/>
        <v/>
      </c>
    </row>
    <row r="887" spans="1:9">
      <c r="A887" s="15" t="str">
        <f t="shared" si="40"/>
        <v/>
      </c>
      <c r="G887" s="17" t="str">
        <f t="shared" si="41"/>
        <v/>
      </c>
      <c r="I887" s="17" t="str">
        <f t="shared" si="42"/>
        <v/>
      </c>
    </row>
    <row r="888" spans="1:9">
      <c r="A888" s="15" t="str">
        <f t="shared" si="40"/>
        <v/>
      </c>
      <c r="G888" s="17" t="str">
        <f t="shared" si="41"/>
        <v/>
      </c>
      <c r="I888" s="17" t="str">
        <f t="shared" si="42"/>
        <v/>
      </c>
    </row>
    <row r="889" spans="1:9">
      <c r="A889" s="15" t="str">
        <f t="shared" si="40"/>
        <v/>
      </c>
      <c r="G889" s="17" t="str">
        <f t="shared" si="41"/>
        <v/>
      </c>
      <c r="I889" s="17" t="str">
        <f t="shared" si="42"/>
        <v/>
      </c>
    </row>
    <row r="890" spans="1:9">
      <c r="A890" s="15" t="str">
        <f t="shared" si="40"/>
        <v/>
      </c>
      <c r="G890" s="17" t="str">
        <f t="shared" si="41"/>
        <v/>
      </c>
      <c r="I890" s="17" t="str">
        <f t="shared" si="42"/>
        <v/>
      </c>
    </row>
    <row r="891" spans="1:9">
      <c r="A891" s="15" t="str">
        <f t="shared" si="40"/>
        <v/>
      </c>
      <c r="G891" s="17" t="str">
        <f t="shared" si="41"/>
        <v/>
      </c>
      <c r="I891" s="17" t="str">
        <f t="shared" si="42"/>
        <v/>
      </c>
    </row>
    <row r="892" spans="1:9">
      <c r="A892" s="15" t="str">
        <f t="shared" si="40"/>
        <v/>
      </c>
      <c r="G892" s="17" t="str">
        <f t="shared" si="41"/>
        <v/>
      </c>
      <c r="I892" s="17" t="str">
        <f t="shared" si="42"/>
        <v/>
      </c>
    </row>
    <row r="893" spans="1:9">
      <c r="A893" s="15" t="str">
        <f t="shared" si="40"/>
        <v/>
      </c>
      <c r="G893" s="17" t="str">
        <f t="shared" si="41"/>
        <v/>
      </c>
      <c r="I893" s="17" t="str">
        <f t="shared" si="42"/>
        <v/>
      </c>
    </row>
    <row r="894" spans="1:9">
      <c r="A894" s="15" t="str">
        <f t="shared" si="40"/>
        <v/>
      </c>
      <c r="G894" s="17" t="str">
        <f t="shared" si="41"/>
        <v/>
      </c>
      <c r="I894" s="17" t="str">
        <f t="shared" si="42"/>
        <v/>
      </c>
    </row>
    <row r="895" spans="1:9">
      <c r="A895" s="15" t="str">
        <f t="shared" si="40"/>
        <v/>
      </c>
      <c r="G895" s="17" t="str">
        <f t="shared" si="41"/>
        <v/>
      </c>
      <c r="I895" s="17" t="str">
        <f t="shared" si="42"/>
        <v/>
      </c>
    </row>
    <row r="896" spans="1:9">
      <c r="A896" s="15" t="str">
        <f t="shared" si="40"/>
        <v/>
      </c>
      <c r="G896" s="17" t="str">
        <f t="shared" si="41"/>
        <v/>
      </c>
      <c r="I896" s="17" t="str">
        <f t="shared" si="42"/>
        <v/>
      </c>
    </row>
    <row r="897" spans="1:9">
      <c r="A897" s="15" t="str">
        <f t="shared" si="40"/>
        <v/>
      </c>
      <c r="G897" s="17" t="str">
        <f t="shared" si="41"/>
        <v/>
      </c>
      <c r="I897" s="17" t="str">
        <f t="shared" si="42"/>
        <v/>
      </c>
    </row>
    <row r="898" spans="1:9">
      <c r="A898" s="15" t="str">
        <f t="shared" si="40"/>
        <v/>
      </c>
      <c r="G898" s="17" t="str">
        <f t="shared" si="41"/>
        <v/>
      </c>
      <c r="I898" s="17" t="str">
        <f t="shared" si="42"/>
        <v/>
      </c>
    </row>
    <row r="899" spans="1:9">
      <c r="A899" s="15" t="str">
        <f t="shared" si="40"/>
        <v/>
      </c>
      <c r="G899" s="17" t="str">
        <f t="shared" si="41"/>
        <v/>
      </c>
      <c r="I899" s="17" t="str">
        <f t="shared" si="42"/>
        <v/>
      </c>
    </row>
    <row r="900" spans="1:9">
      <c r="A900" s="15" t="str">
        <f t="shared" si="40"/>
        <v/>
      </c>
      <c r="G900" s="17" t="str">
        <f t="shared" si="41"/>
        <v/>
      </c>
      <c r="I900" s="17" t="str">
        <f t="shared" si="42"/>
        <v/>
      </c>
    </row>
    <row r="901" spans="1:9">
      <c r="A901" s="15" t="str">
        <f t="shared" si="40"/>
        <v/>
      </c>
      <c r="G901" s="17" t="str">
        <f t="shared" si="41"/>
        <v/>
      </c>
      <c r="I901" s="17" t="str">
        <f t="shared" si="42"/>
        <v/>
      </c>
    </row>
    <row r="902" spans="1:9">
      <c r="A902" s="15" t="str">
        <f t="shared" si="40"/>
        <v/>
      </c>
      <c r="G902" s="17" t="str">
        <f t="shared" si="41"/>
        <v/>
      </c>
      <c r="I902" s="17" t="str">
        <f t="shared" si="42"/>
        <v/>
      </c>
    </row>
    <row r="903" spans="1:9">
      <c r="A903" s="15" t="str">
        <f t="shared" si="40"/>
        <v/>
      </c>
      <c r="G903" s="17" t="str">
        <f t="shared" si="41"/>
        <v/>
      </c>
      <c r="I903" s="17" t="str">
        <f t="shared" si="42"/>
        <v/>
      </c>
    </row>
    <row r="904" spans="1:9">
      <c r="A904" s="15" t="str">
        <f t="shared" si="40"/>
        <v/>
      </c>
      <c r="G904" s="17" t="str">
        <f t="shared" si="41"/>
        <v/>
      </c>
      <c r="I904" s="17" t="str">
        <f t="shared" si="42"/>
        <v/>
      </c>
    </row>
    <row r="905" spans="1:9">
      <c r="A905" s="15" t="str">
        <f t="shared" si="40"/>
        <v/>
      </c>
      <c r="G905" s="17" t="str">
        <f t="shared" si="41"/>
        <v/>
      </c>
      <c r="I905" s="17" t="str">
        <f t="shared" si="42"/>
        <v/>
      </c>
    </row>
    <row r="906" spans="1:9">
      <c r="A906" s="15" t="str">
        <f t="shared" si="40"/>
        <v/>
      </c>
      <c r="G906" s="17" t="str">
        <f t="shared" si="41"/>
        <v/>
      </c>
      <c r="I906" s="17" t="str">
        <f t="shared" si="42"/>
        <v/>
      </c>
    </row>
    <row r="907" spans="1:9">
      <c r="A907" s="15" t="str">
        <f t="shared" si="40"/>
        <v/>
      </c>
      <c r="G907" s="17" t="str">
        <f t="shared" si="41"/>
        <v/>
      </c>
      <c r="I907" s="17" t="str">
        <f t="shared" si="42"/>
        <v/>
      </c>
    </row>
    <row r="908" spans="1:9">
      <c r="A908" s="15" t="str">
        <f t="shared" si="40"/>
        <v/>
      </c>
      <c r="G908" s="17" t="str">
        <f t="shared" si="41"/>
        <v/>
      </c>
      <c r="I908" s="17" t="str">
        <f t="shared" si="42"/>
        <v/>
      </c>
    </row>
    <row r="909" spans="1:9">
      <c r="A909" s="15" t="str">
        <f t="shared" si="40"/>
        <v/>
      </c>
      <c r="G909" s="17" t="str">
        <f t="shared" si="41"/>
        <v/>
      </c>
      <c r="I909" s="17" t="str">
        <f t="shared" si="42"/>
        <v/>
      </c>
    </row>
    <row r="910" spans="1:9">
      <c r="A910" s="15" t="str">
        <f t="shared" si="40"/>
        <v/>
      </c>
      <c r="G910" s="17" t="str">
        <f t="shared" si="41"/>
        <v/>
      </c>
      <c r="I910" s="17" t="str">
        <f t="shared" si="42"/>
        <v/>
      </c>
    </row>
    <row r="911" spans="1:9">
      <c r="A911" s="15" t="str">
        <f t="shared" si="40"/>
        <v/>
      </c>
      <c r="G911" s="17" t="str">
        <f t="shared" si="41"/>
        <v/>
      </c>
      <c r="I911" s="17" t="str">
        <f t="shared" si="42"/>
        <v/>
      </c>
    </row>
    <row r="912" spans="1:9">
      <c r="A912" s="15" t="str">
        <f t="shared" si="40"/>
        <v/>
      </c>
      <c r="G912" s="17" t="str">
        <f t="shared" si="41"/>
        <v/>
      </c>
      <c r="I912" s="17" t="str">
        <f t="shared" si="42"/>
        <v/>
      </c>
    </row>
    <row r="913" spans="1:9">
      <c r="A913" s="15" t="str">
        <f t="shared" si="40"/>
        <v/>
      </c>
      <c r="G913" s="17" t="str">
        <f t="shared" si="41"/>
        <v/>
      </c>
      <c r="I913" s="17" t="str">
        <f t="shared" si="42"/>
        <v/>
      </c>
    </row>
    <row r="914" spans="1:9">
      <c r="A914" s="15" t="str">
        <f t="shared" si="40"/>
        <v/>
      </c>
      <c r="G914" s="17" t="str">
        <f t="shared" si="41"/>
        <v/>
      </c>
      <c r="I914" s="17" t="str">
        <f t="shared" si="42"/>
        <v/>
      </c>
    </row>
    <row r="915" spans="1:9">
      <c r="A915" s="15" t="str">
        <f t="shared" si="40"/>
        <v/>
      </c>
      <c r="G915" s="17" t="str">
        <f t="shared" si="41"/>
        <v/>
      </c>
      <c r="I915" s="17" t="str">
        <f t="shared" si="42"/>
        <v/>
      </c>
    </row>
    <row r="916" spans="1:9">
      <c r="A916" s="15" t="str">
        <f t="shared" si="40"/>
        <v/>
      </c>
      <c r="G916" s="17" t="str">
        <f t="shared" si="41"/>
        <v/>
      </c>
      <c r="I916" s="17" t="str">
        <f t="shared" si="42"/>
        <v/>
      </c>
    </row>
    <row r="917" spans="1:9">
      <c r="A917" s="15" t="str">
        <f t="shared" si="40"/>
        <v/>
      </c>
      <c r="G917" s="17" t="str">
        <f t="shared" si="41"/>
        <v/>
      </c>
      <c r="I917" s="17" t="str">
        <f t="shared" si="42"/>
        <v/>
      </c>
    </row>
    <row r="918" spans="1:9">
      <c r="A918" s="15" t="str">
        <f t="shared" si="40"/>
        <v/>
      </c>
      <c r="G918" s="17" t="str">
        <f t="shared" si="41"/>
        <v/>
      </c>
      <c r="I918" s="17" t="str">
        <f t="shared" si="42"/>
        <v/>
      </c>
    </row>
    <row r="919" spans="1:9">
      <c r="A919" s="15" t="str">
        <f t="shared" si="40"/>
        <v/>
      </c>
      <c r="G919" s="17" t="str">
        <f t="shared" si="41"/>
        <v/>
      </c>
      <c r="I919" s="17" t="str">
        <f t="shared" si="42"/>
        <v/>
      </c>
    </row>
    <row r="920" spans="1:9">
      <c r="A920" s="15" t="str">
        <f t="shared" ref="A920:A983" si="43">IF(B920&lt;&gt;"",ROW()-2,"")</f>
        <v/>
      </c>
      <c r="G920" s="17" t="str">
        <f t="shared" si="41"/>
        <v/>
      </c>
      <c r="I920" s="17" t="str">
        <f t="shared" si="42"/>
        <v/>
      </c>
    </row>
    <row r="921" spans="1:9">
      <c r="A921" s="15" t="str">
        <f t="shared" si="43"/>
        <v/>
      </c>
      <c r="G921" s="17" t="str">
        <f t="shared" si="41"/>
        <v/>
      </c>
      <c r="I921" s="17" t="str">
        <f t="shared" si="42"/>
        <v/>
      </c>
    </row>
    <row r="922" spans="1:9">
      <c r="A922" s="15" t="str">
        <f t="shared" si="43"/>
        <v/>
      </c>
      <c r="G922" s="17" t="str">
        <f t="shared" si="41"/>
        <v/>
      </c>
      <c r="I922" s="17" t="str">
        <f t="shared" si="42"/>
        <v/>
      </c>
    </row>
    <row r="923" spans="1:9">
      <c r="A923" s="15" t="str">
        <f t="shared" si="43"/>
        <v/>
      </c>
      <c r="G923" s="17" t="str">
        <f t="shared" si="41"/>
        <v/>
      </c>
      <c r="I923" s="17" t="str">
        <f t="shared" si="42"/>
        <v/>
      </c>
    </row>
    <row r="924" spans="1:9">
      <c r="A924" s="15" t="str">
        <f t="shared" si="43"/>
        <v/>
      </c>
      <c r="G924" s="17" t="str">
        <f t="shared" si="41"/>
        <v/>
      </c>
      <c r="I924" s="17" t="str">
        <f t="shared" si="42"/>
        <v/>
      </c>
    </row>
    <row r="925" spans="1:9">
      <c r="A925" s="15" t="str">
        <f t="shared" si="43"/>
        <v/>
      </c>
      <c r="G925" s="17" t="str">
        <f t="shared" si="41"/>
        <v/>
      </c>
      <c r="I925" s="17" t="str">
        <f t="shared" si="42"/>
        <v/>
      </c>
    </row>
    <row r="926" spans="1:9">
      <c r="A926" s="15" t="str">
        <f t="shared" si="43"/>
        <v/>
      </c>
      <c r="G926" s="17" t="str">
        <f t="shared" si="41"/>
        <v/>
      </c>
      <c r="I926" s="17" t="str">
        <f t="shared" si="42"/>
        <v/>
      </c>
    </row>
    <row r="927" spans="1:9">
      <c r="A927" s="15" t="str">
        <f t="shared" si="43"/>
        <v/>
      </c>
      <c r="G927" s="17" t="str">
        <f t="shared" si="41"/>
        <v/>
      </c>
      <c r="I927" s="17" t="str">
        <f t="shared" si="42"/>
        <v/>
      </c>
    </row>
    <row r="928" spans="1:9">
      <c r="A928" s="15" t="str">
        <f t="shared" si="43"/>
        <v/>
      </c>
      <c r="G928" s="17" t="str">
        <f t="shared" si="41"/>
        <v/>
      </c>
      <c r="I928" s="17" t="str">
        <f t="shared" si="42"/>
        <v/>
      </c>
    </row>
    <row r="929" spans="1:9">
      <c r="A929" s="15" t="str">
        <f t="shared" si="43"/>
        <v/>
      </c>
      <c r="G929" s="17" t="str">
        <f t="shared" si="41"/>
        <v/>
      </c>
      <c r="I929" s="17" t="str">
        <f t="shared" si="42"/>
        <v/>
      </c>
    </row>
    <row r="930" spans="1:9">
      <c r="A930" s="15" t="str">
        <f t="shared" si="43"/>
        <v/>
      </c>
      <c r="G930" s="17" t="str">
        <f t="shared" si="41"/>
        <v/>
      </c>
      <c r="I930" s="17" t="str">
        <f t="shared" si="42"/>
        <v/>
      </c>
    </row>
    <row r="931" spans="1:9">
      <c r="A931" s="15" t="str">
        <f t="shared" si="43"/>
        <v/>
      </c>
      <c r="G931" s="17" t="str">
        <f t="shared" si="41"/>
        <v/>
      </c>
      <c r="I931" s="17" t="str">
        <f t="shared" si="42"/>
        <v/>
      </c>
    </row>
    <row r="932" spans="1:9">
      <c r="A932" s="15" t="str">
        <f t="shared" si="43"/>
        <v/>
      </c>
      <c r="G932" s="17" t="str">
        <f t="shared" si="41"/>
        <v/>
      </c>
      <c r="I932" s="17" t="str">
        <f t="shared" si="42"/>
        <v/>
      </c>
    </row>
    <row r="933" spans="1:9">
      <c r="A933" s="15" t="str">
        <f t="shared" si="43"/>
        <v/>
      </c>
      <c r="G933" s="17" t="str">
        <f t="shared" si="41"/>
        <v/>
      </c>
      <c r="I933" s="17" t="str">
        <f t="shared" si="42"/>
        <v/>
      </c>
    </row>
    <row r="934" spans="1:9">
      <c r="A934" s="15" t="str">
        <f t="shared" si="43"/>
        <v/>
      </c>
      <c r="G934" s="17" t="str">
        <f t="shared" si="41"/>
        <v/>
      </c>
      <c r="I934" s="17" t="str">
        <f t="shared" si="42"/>
        <v/>
      </c>
    </row>
    <row r="935" spans="1:9">
      <c r="A935" s="15" t="str">
        <f t="shared" si="43"/>
        <v/>
      </c>
      <c r="G935" s="17" t="str">
        <f t="shared" si="41"/>
        <v/>
      </c>
      <c r="I935" s="17" t="str">
        <f t="shared" si="42"/>
        <v/>
      </c>
    </row>
    <row r="936" spans="1:9">
      <c r="A936" s="15" t="str">
        <f t="shared" si="43"/>
        <v/>
      </c>
      <c r="G936" s="17" t="str">
        <f t="shared" si="41"/>
        <v/>
      </c>
      <c r="I936" s="17" t="str">
        <f t="shared" si="42"/>
        <v/>
      </c>
    </row>
    <row r="937" spans="1:9">
      <c r="A937" s="15" t="str">
        <f t="shared" si="43"/>
        <v/>
      </c>
      <c r="G937" s="17" t="str">
        <f t="shared" si="41"/>
        <v/>
      </c>
      <c r="I937" s="17" t="str">
        <f t="shared" si="42"/>
        <v/>
      </c>
    </row>
    <row r="938" spans="1:9">
      <c r="A938" s="15" t="str">
        <f t="shared" si="43"/>
        <v/>
      </c>
      <c r="G938" s="17" t="str">
        <f t="shared" si="41"/>
        <v/>
      </c>
      <c r="I938" s="17" t="str">
        <f t="shared" si="42"/>
        <v/>
      </c>
    </row>
    <row r="939" spans="1:9">
      <c r="A939" s="15" t="str">
        <f t="shared" si="43"/>
        <v/>
      </c>
      <c r="G939" s="17" t="str">
        <f t="shared" si="41"/>
        <v/>
      </c>
      <c r="I939" s="17" t="str">
        <f t="shared" si="42"/>
        <v/>
      </c>
    </row>
    <row r="940" spans="1:9">
      <c r="A940" s="15" t="str">
        <f t="shared" si="43"/>
        <v/>
      </c>
      <c r="G940" s="17" t="str">
        <f t="shared" si="41"/>
        <v/>
      </c>
      <c r="I940" s="17" t="str">
        <f t="shared" si="42"/>
        <v/>
      </c>
    </row>
    <row r="941" spans="1:9">
      <c r="A941" s="15" t="str">
        <f t="shared" si="43"/>
        <v/>
      </c>
      <c r="G941" s="17" t="str">
        <f t="shared" si="41"/>
        <v/>
      </c>
      <c r="I941" s="17" t="str">
        <f t="shared" si="42"/>
        <v/>
      </c>
    </row>
    <row r="942" spans="1:9">
      <c r="A942" s="15" t="str">
        <f t="shared" si="43"/>
        <v/>
      </c>
      <c r="G942" s="17" t="str">
        <f t="shared" si="41"/>
        <v/>
      </c>
      <c r="I942" s="17" t="str">
        <f t="shared" si="42"/>
        <v/>
      </c>
    </row>
    <row r="943" spans="1:9">
      <c r="A943" s="15" t="str">
        <f t="shared" si="43"/>
        <v/>
      </c>
      <c r="G943" s="17" t="str">
        <f t="shared" ref="G943:G1006" si="44">IFERROR(VLOOKUP(C943,$U$3:$W$19,2,),"")</f>
        <v/>
      </c>
      <c r="I943" s="17" t="str">
        <f t="shared" ref="I943:I1006" si="45">IFERROR(VLOOKUP(C943,$U$3:$W$19,3,),"")</f>
        <v/>
      </c>
    </row>
    <row r="944" spans="1:9">
      <c r="A944" s="15" t="str">
        <f t="shared" si="43"/>
        <v/>
      </c>
      <c r="G944" s="17" t="str">
        <f t="shared" si="44"/>
        <v/>
      </c>
      <c r="I944" s="17" t="str">
        <f t="shared" si="45"/>
        <v/>
      </c>
    </row>
    <row r="945" spans="1:9">
      <c r="A945" s="15" t="str">
        <f t="shared" si="43"/>
        <v/>
      </c>
      <c r="G945" s="17" t="str">
        <f t="shared" si="44"/>
        <v/>
      </c>
      <c r="I945" s="17" t="str">
        <f t="shared" si="45"/>
        <v/>
      </c>
    </row>
    <row r="946" spans="1:9">
      <c r="A946" s="15" t="str">
        <f t="shared" si="43"/>
        <v/>
      </c>
      <c r="G946" s="17" t="str">
        <f t="shared" si="44"/>
        <v/>
      </c>
      <c r="I946" s="17" t="str">
        <f t="shared" si="45"/>
        <v/>
      </c>
    </row>
    <row r="947" spans="1:9">
      <c r="A947" s="15" t="str">
        <f t="shared" si="43"/>
        <v/>
      </c>
      <c r="G947" s="17" t="str">
        <f t="shared" si="44"/>
        <v/>
      </c>
      <c r="I947" s="17" t="str">
        <f t="shared" si="45"/>
        <v/>
      </c>
    </row>
    <row r="948" spans="1:9">
      <c r="A948" s="15" t="str">
        <f t="shared" si="43"/>
        <v/>
      </c>
      <c r="G948" s="17" t="str">
        <f t="shared" si="44"/>
        <v/>
      </c>
      <c r="I948" s="17" t="str">
        <f t="shared" si="45"/>
        <v/>
      </c>
    </row>
    <row r="949" spans="1:9">
      <c r="A949" s="15" t="str">
        <f t="shared" si="43"/>
        <v/>
      </c>
      <c r="G949" s="17" t="str">
        <f t="shared" si="44"/>
        <v/>
      </c>
      <c r="I949" s="17" t="str">
        <f t="shared" si="45"/>
        <v/>
      </c>
    </row>
    <row r="950" spans="1:9">
      <c r="A950" s="15" t="str">
        <f t="shared" si="43"/>
        <v/>
      </c>
      <c r="G950" s="17" t="str">
        <f t="shared" si="44"/>
        <v/>
      </c>
      <c r="I950" s="17" t="str">
        <f t="shared" si="45"/>
        <v/>
      </c>
    </row>
    <row r="951" spans="1:9">
      <c r="A951" s="15" t="str">
        <f t="shared" si="43"/>
        <v/>
      </c>
      <c r="G951" s="17" t="str">
        <f t="shared" si="44"/>
        <v/>
      </c>
      <c r="I951" s="17" t="str">
        <f t="shared" si="45"/>
        <v/>
      </c>
    </row>
    <row r="952" spans="1:9">
      <c r="A952" s="15" t="str">
        <f t="shared" si="43"/>
        <v/>
      </c>
      <c r="G952" s="17" t="str">
        <f t="shared" si="44"/>
        <v/>
      </c>
      <c r="I952" s="17" t="str">
        <f t="shared" si="45"/>
        <v/>
      </c>
    </row>
    <row r="953" spans="1:9">
      <c r="A953" s="15" t="str">
        <f t="shared" si="43"/>
        <v/>
      </c>
      <c r="G953" s="17" t="str">
        <f t="shared" si="44"/>
        <v/>
      </c>
      <c r="I953" s="17" t="str">
        <f t="shared" si="45"/>
        <v/>
      </c>
    </row>
    <row r="954" spans="1:9">
      <c r="A954" s="15" t="str">
        <f t="shared" si="43"/>
        <v/>
      </c>
      <c r="G954" s="17" t="str">
        <f t="shared" si="44"/>
        <v/>
      </c>
      <c r="I954" s="17" t="str">
        <f t="shared" si="45"/>
        <v/>
      </c>
    </row>
    <row r="955" spans="1:9">
      <c r="A955" s="15" t="str">
        <f t="shared" si="43"/>
        <v/>
      </c>
      <c r="G955" s="17" t="str">
        <f t="shared" si="44"/>
        <v/>
      </c>
      <c r="I955" s="17" t="str">
        <f t="shared" si="45"/>
        <v/>
      </c>
    </row>
    <row r="956" spans="1:9">
      <c r="A956" s="15" t="str">
        <f t="shared" si="43"/>
        <v/>
      </c>
      <c r="G956" s="17" t="str">
        <f t="shared" si="44"/>
        <v/>
      </c>
      <c r="I956" s="17" t="str">
        <f t="shared" si="45"/>
        <v/>
      </c>
    </row>
    <row r="957" spans="1:9">
      <c r="A957" s="15" t="str">
        <f t="shared" si="43"/>
        <v/>
      </c>
      <c r="G957" s="17" t="str">
        <f t="shared" si="44"/>
        <v/>
      </c>
      <c r="I957" s="17" t="str">
        <f t="shared" si="45"/>
        <v/>
      </c>
    </row>
    <row r="958" spans="1:9">
      <c r="A958" s="15" t="str">
        <f t="shared" si="43"/>
        <v/>
      </c>
      <c r="G958" s="17" t="str">
        <f t="shared" si="44"/>
        <v/>
      </c>
      <c r="I958" s="17" t="str">
        <f t="shared" si="45"/>
        <v/>
      </c>
    </row>
    <row r="959" spans="1:9">
      <c r="A959" s="15" t="str">
        <f t="shared" si="43"/>
        <v/>
      </c>
      <c r="G959" s="17" t="str">
        <f t="shared" si="44"/>
        <v/>
      </c>
      <c r="I959" s="17" t="str">
        <f t="shared" si="45"/>
        <v/>
      </c>
    </row>
    <row r="960" spans="1:9">
      <c r="A960" s="15" t="str">
        <f t="shared" si="43"/>
        <v/>
      </c>
      <c r="G960" s="17" t="str">
        <f t="shared" si="44"/>
        <v/>
      </c>
      <c r="I960" s="17" t="str">
        <f t="shared" si="45"/>
        <v/>
      </c>
    </row>
    <row r="961" spans="1:9">
      <c r="A961" s="15" t="str">
        <f t="shared" si="43"/>
        <v/>
      </c>
      <c r="G961" s="17" t="str">
        <f t="shared" si="44"/>
        <v/>
      </c>
      <c r="I961" s="17" t="str">
        <f t="shared" si="45"/>
        <v/>
      </c>
    </row>
    <row r="962" spans="1:9">
      <c r="A962" s="15" t="str">
        <f t="shared" si="43"/>
        <v/>
      </c>
      <c r="G962" s="17" t="str">
        <f t="shared" si="44"/>
        <v/>
      </c>
      <c r="I962" s="17" t="str">
        <f t="shared" si="45"/>
        <v/>
      </c>
    </row>
    <row r="963" spans="1:9">
      <c r="A963" s="15" t="str">
        <f t="shared" si="43"/>
        <v/>
      </c>
      <c r="G963" s="17" t="str">
        <f t="shared" si="44"/>
        <v/>
      </c>
      <c r="I963" s="17" t="str">
        <f t="shared" si="45"/>
        <v/>
      </c>
    </row>
    <row r="964" spans="1:9">
      <c r="A964" s="15" t="str">
        <f t="shared" si="43"/>
        <v/>
      </c>
      <c r="G964" s="17" t="str">
        <f t="shared" si="44"/>
        <v/>
      </c>
      <c r="I964" s="17" t="str">
        <f t="shared" si="45"/>
        <v/>
      </c>
    </row>
    <row r="965" spans="1:9">
      <c r="A965" s="15" t="str">
        <f t="shared" si="43"/>
        <v/>
      </c>
      <c r="G965" s="17" t="str">
        <f t="shared" si="44"/>
        <v/>
      </c>
      <c r="I965" s="17" t="str">
        <f t="shared" si="45"/>
        <v/>
      </c>
    </row>
    <row r="966" spans="1:9">
      <c r="A966" s="15" t="str">
        <f t="shared" si="43"/>
        <v/>
      </c>
      <c r="G966" s="17" t="str">
        <f t="shared" si="44"/>
        <v/>
      </c>
      <c r="I966" s="17" t="str">
        <f t="shared" si="45"/>
        <v/>
      </c>
    </row>
    <row r="967" spans="1:9">
      <c r="A967" s="15" t="str">
        <f t="shared" si="43"/>
        <v/>
      </c>
      <c r="G967" s="17" t="str">
        <f t="shared" si="44"/>
        <v/>
      </c>
      <c r="I967" s="17" t="str">
        <f t="shared" si="45"/>
        <v/>
      </c>
    </row>
    <row r="968" spans="1:9">
      <c r="A968" s="15" t="str">
        <f t="shared" si="43"/>
        <v/>
      </c>
      <c r="G968" s="17" t="str">
        <f t="shared" si="44"/>
        <v/>
      </c>
      <c r="I968" s="17" t="str">
        <f t="shared" si="45"/>
        <v/>
      </c>
    </row>
    <row r="969" spans="1:9">
      <c r="A969" s="15" t="str">
        <f t="shared" si="43"/>
        <v/>
      </c>
      <c r="G969" s="17" t="str">
        <f t="shared" si="44"/>
        <v/>
      </c>
      <c r="I969" s="17" t="str">
        <f t="shared" si="45"/>
        <v/>
      </c>
    </row>
    <row r="970" spans="1:9">
      <c r="A970" s="15" t="str">
        <f t="shared" si="43"/>
        <v/>
      </c>
      <c r="G970" s="17" t="str">
        <f t="shared" si="44"/>
        <v/>
      </c>
      <c r="I970" s="17" t="str">
        <f t="shared" si="45"/>
        <v/>
      </c>
    </row>
    <row r="971" spans="1:9">
      <c r="A971" s="15" t="str">
        <f t="shared" si="43"/>
        <v/>
      </c>
      <c r="G971" s="17" t="str">
        <f t="shared" si="44"/>
        <v/>
      </c>
      <c r="I971" s="17" t="str">
        <f t="shared" si="45"/>
        <v/>
      </c>
    </row>
    <row r="972" spans="1:9">
      <c r="A972" s="15" t="str">
        <f t="shared" si="43"/>
        <v/>
      </c>
      <c r="G972" s="17" t="str">
        <f t="shared" si="44"/>
        <v/>
      </c>
      <c r="I972" s="17" t="str">
        <f t="shared" si="45"/>
        <v/>
      </c>
    </row>
    <row r="973" spans="1:9">
      <c r="A973" s="15" t="str">
        <f t="shared" si="43"/>
        <v/>
      </c>
      <c r="G973" s="17" t="str">
        <f t="shared" si="44"/>
        <v/>
      </c>
      <c r="I973" s="17" t="str">
        <f t="shared" si="45"/>
        <v/>
      </c>
    </row>
    <row r="974" spans="1:9">
      <c r="A974" s="15" t="str">
        <f t="shared" si="43"/>
        <v/>
      </c>
      <c r="G974" s="17" t="str">
        <f t="shared" si="44"/>
        <v/>
      </c>
      <c r="I974" s="17" t="str">
        <f t="shared" si="45"/>
        <v/>
      </c>
    </row>
    <row r="975" spans="1:9">
      <c r="A975" s="15" t="str">
        <f t="shared" si="43"/>
        <v/>
      </c>
      <c r="G975" s="17" t="str">
        <f t="shared" si="44"/>
        <v/>
      </c>
      <c r="I975" s="17" t="str">
        <f t="shared" si="45"/>
        <v/>
      </c>
    </row>
    <row r="976" spans="1:9">
      <c r="A976" s="15" t="str">
        <f t="shared" si="43"/>
        <v/>
      </c>
      <c r="G976" s="17" t="str">
        <f t="shared" si="44"/>
        <v/>
      </c>
      <c r="I976" s="17" t="str">
        <f t="shared" si="45"/>
        <v/>
      </c>
    </row>
    <row r="977" spans="1:9">
      <c r="A977" s="15" t="str">
        <f t="shared" si="43"/>
        <v/>
      </c>
      <c r="G977" s="17" t="str">
        <f t="shared" si="44"/>
        <v/>
      </c>
      <c r="I977" s="17" t="str">
        <f t="shared" si="45"/>
        <v/>
      </c>
    </row>
    <row r="978" spans="1:9">
      <c r="A978" s="15" t="str">
        <f t="shared" si="43"/>
        <v/>
      </c>
      <c r="G978" s="17" t="str">
        <f t="shared" si="44"/>
        <v/>
      </c>
      <c r="I978" s="17" t="str">
        <f t="shared" si="45"/>
        <v/>
      </c>
    </row>
    <row r="979" spans="1:9">
      <c r="A979" s="15" t="str">
        <f t="shared" si="43"/>
        <v/>
      </c>
      <c r="G979" s="17" t="str">
        <f t="shared" si="44"/>
        <v/>
      </c>
      <c r="I979" s="17" t="str">
        <f t="shared" si="45"/>
        <v/>
      </c>
    </row>
    <row r="980" spans="1:9">
      <c r="A980" s="15" t="str">
        <f t="shared" si="43"/>
        <v/>
      </c>
      <c r="G980" s="17" t="str">
        <f t="shared" si="44"/>
        <v/>
      </c>
      <c r="I980" s="17" t="str">
        <f t="shared" si="45"/>
        <v/>
      </c>
    </row>
    <row r="981" spans="1:9">
      <c r="A981" s="15" t="str">
        <f t="shared" si="43"/>
        <v/>
      </c>
      <c r="G981" s="17" t="str">
        <f t="shared" si="44"/>
        <v/>
      </c>
      <c r="I981" s="17" t="str">
        <f t="shared" si="45"/>
        <v/>
      </c>
    </row>
    <row r="982" spans="1:9">
      <c r="A982" s="15" t="str">
        <f t="shared" si="43"/>
        <v/>
      </c>
      <c r="G982" s="17" t="str">
        <f t="shared" si="44"/>
        <v/>
      </c>
      <c r="I982" s="17" t="str">
        <f t="shared" si="45"/>
        <v/>
      </c>
    </row>
    <row r="983" spans="1:9">
      <c r="A983" s="15" t="str">
        <f t="shared" si="43"/>
        <v/>
      </c>
      <c r="G983" s="17" t="str">
        <f t="shared" si="44"/>
        <v/>
      </c>
      <c r="I983" s="17" t="str">
        <f t="shared" si="45"/>
        <v/>
      </c>
    </row>
    <row r="984" spans="1:9">
      <c r="A984" s="15" t="str">
        <f t="shared" ref="A984:A1047" si="46">IF(B984&lt;&gt;"",ROW()-2,"")</f>
        <v/>
      </c>
      <c r="G984" s="17" t="str">
        <f t="shared" si="44"/>
        <v/>
      </c>
      <c r="I984" s="17" t="str">
        <f t="shared" si="45"/>
        <v/>
      </c>
    </row>
    <row r="985" spans="1:9">
      <c r="A985" s="15" t="str">
        <f t="shared" si="46"/>
        <v/>
      </c>
      <c r="G985" s="17" t="str">
        <f t="shared" si="44"/>
        <v/>
      </c>
      <c r="I985" s="17" t="str">
        <f t="shared" si="45"/>
        <v/>
      </c>
    </row>
    <row r="986" spans="1:9">
      <c r="A986" s="15" t="str">
        <f t="shared" si="46"/>
        <v/>
      </c>
      <c r="G986" s="17" t="str">
        <f t="shared" si="44"/>
        <v/>
      </c>
      <c r="I986" s="17" t="str">
        <f t="shared" si="45"/>
        <v/>
      </c>
    </row>
    <row r="987" spans="1:9">
      <c r="A987" s="15" t="str">
        <f t="shared" si="46"/>
        <v/>
      </c>
      <c r="G987" s="17" t="str">
        <f t="shared" si="44"/>
        <v/>
      </c>
      <c r="I987" s="17" t="str">
        <f t="shared" si="45"/>
        <v/>
      </c>
    </row>
    <row r="988" spans="1:9">
      <c r="A988" s="15" t="str">
        <f t="shared" si="46"/>
        <v/>
      </c>
      <c r="G988" s="17" t="str">
        <f t="shared" si="44"/>
        <v/>
      </c>
      <c r="I988" s="17" t="str">
        <f t="shared" si="45"/>
        <v/>
      </c>
    </row>
    <row r="989" spans="1:9">
      <c r="A989" s="15" t="str">
        <f t="shared" si="46"/>
        <v/>
      </c>
      <c r="G989" s="17" t="str">
        <f t="shared" si="44"/>
        <v/>
      </c>
      <c r="I989" s="17" t="str">
        <f t="shared" si="45"/>
        <v/>
      </c>
    </row>
    <row r="990" spans="1:9">
      <c r="A990" s="15" t="str">
        <f t="shared" si="46"/>
        <v/>
      </c>
      <c r="G990" s="17" t="str">
        <f t="shared" si="44"/>
        <v/>
      </c>
      <c r="I990" s="17" t="str">
        <f t="shared" si="45"/>
        <v/>
      </c>
    </row>
    <row r="991" spans="1:9">
      <c r="A991" s="15" t="str">
        <f t="shared" si="46"/>
        <v/>
      </c>
      <c r="G991" s="17" t="str">
        <f t="shared" si="44"/>
        <v/>
      </c>
      <c r="I991" s="17" t="str">
        <f t="shared" si="45"/>
        <v/>
      </c>
    </row>
    <row r="992" spans="1:9">
      <c r="A992" s="15" t="str">
        <f t="shared" si="46"/>
        <v/>
      </c>
      <c r="G992" s="17" t="str">
        <f t="shared" si="44"/>
        <v/>
      </c>
      <c r="I992" s="17" t="str">
        <f t="shared" si="45"/>
        <v/>
      </c>
    </row>
    <row r="993" spans="1:9">
      <c r="A993" s="15" t="str">
        <f t="shared" si="46"/>
        <v/>
      </c>
      <c r="G993" s="17" t="str">
        <f t="shared" si="44"/>
        <v/>
      </c>
      <c r="I993" s="17" t="str">
        <f t="shared" si="45"/>
        <v/>
      </c>
    </row>
    <row r="994" spans="1:9">
      <c r="A994" s="15" t="str">
        <f t="shared" si="46"/>
        <v/>
      </c>
      <c r="G994" s="17" t="str">
        <f t="shared" si="44"/>
        <v/>
      </c>
      <c r="I994" s="17" t="str">
        <f t="shared" si="45"/>
        <v/>
      </c>
    </row>
    <row r="995" spans="1:9">
      <c r="A995" s="15" t="str">
        <f t="shared" si="46"/>
        <v/>
      </c>
      <c r="G995" s="17" t="str">
        <f t="shared" si="44"/>
        <v/>
      </c>
      <c r="I995" s="17" t="str">
        <f t="shared" si="45"/>
        <v/>
      </c>
    </row>
    <row r="996" spans="1:9">
      <c r="A996" s="15" t="str">
        <f t="shared" si="46"/>
        <v/>
      </c>
      <c r="G996" s="17" t="str">
        <f t="shared" si="44"/>
        <v/>
      </c>
      <c r="I996" s="17" t="str">
        <f t="shared" si="45"/>
        <v/>
      </c>
    </row>
    <row r="997" spans="1:9">
      <c r="A997" s="15" t="str">
        <f t="shared" si="46"/>
        <v/>
      </c>
      <c r="G997" s="17" t="str">
        <f t="shared" si="44"/>
        <v/>
      </c>
      <c r="I997" s="17" t="str">
        <f t="shared" si="45"/>
        <v/>
      </c>
    </row>
    <row r="998" spans="1:9">
      <c r="A998" s="15" t="str">
        <f t="shared" si="46"/>
        <v/>
      </c>
      <c r="G998" s="17" t="str">
        <f t="shared" si="44"/>
        <v/>
      </c>
      <c r="I998" s="17" t="str">
        <f t="shared" si="45"/>
        <v/>
      </c>
    </row>
    <row r="999" spans="1:9">
      <c r="A999" s="15" t="str">
        <f t="shared" si="46"/>
        <v/>
      </c>
      <c r="G999" s="17" t="str">
        <f t="shared" si="44"/>
        <v/>
      </c>
      <c r="I999" s="17" t="str">
        <f t="shared" si="45"/>
        <v/>
      </c>
    </row>
    <row r="1000" spans="1:9">
      <c r="A1000" s="15" t="str">
        <f t="shared" si="46"/>
        <v/>
      </c>
      <c r="G1000" s="17" t="str">
        <f t="shared" si="44"/>
        <v/>
      </c>
      <c r="I1000" s="17" t="str">
        <f t="shared" si="45"/>
        <v/>
      </c>
    </row>
    <row r="1001" spans="1:9">
      <c r="A1001" s="15" t="str">
        <f t="shared" si="46"/>
        <v/>
      </c>
      <c r="G1001" s="17" t="str">
        <f t="shared" si="44"/>
        <v/>
      </c>
      <c r="I1001" s="17" t="str">
        <f t="shared" si="45"/>
        <v/>
      </c>
    </row>
    <row r="1002" spans="1:9">
      <c r="A1002" s="15" t="str">
        <f t="shared" si="46"/>
        <v/>
      </c>
      <c r="G1002" s="17" t="str">
        <f t="shared" si="44"/>
        <v/>
      </c>
      <c r="I1002" s="17" t="str">
        <f t="shared" si="45"/>
        <v/>
      </c>
    </row>
    <row r="1003" spans="1:9">
      <c r="A1003" s="15" t="str">
        <f t="shared" si="46"/>
        <v/>
      </c>
      <c r="G1003" s="17" t="str">
        <f t="shared" si="44"/>
        <v/>
      </c>
      <c r="I1003" s="17" t="str">
        <f t="shared" si="45"/>
        <v/>
      </c>
    </row>
    <row r="1004" spans="1:9">
      <c r="A1004" s="15" t="str">
        <f t="shared" si="46"/>
        <v/>
      </c>
      <c r="G1004" s="17" t="str">
        <f t="shared" si="44"/>
        <v/>
      </c>
      <c r="I1004" s="17" t="str">
        <f t="shared" si="45"/>
        <v/>
      </c>
    </row>
    <row r="1005" spans="1:9">
      <c r="A1005" s="15" t="str">
        <f t="shared" si="46"/>
        <v/>
      </c>
      <c r="G1005" s="17" t="str">
        <f t="shared" si="44"/>
        <v/>
      </c>
      <c r="I1005" s="17" t="str">
        <f t="shared" si="45"/>
        <v/>
      </c>
    </row>
    <row r="1006" spans="1:9">
      <c r="A1006" s="15" t="str">
        <f t="shared" si="46"/>
        <v/>
      </c>
      <c r="G1006" s="17" t="str">
        <f t="shared" si="44"/>
        <v/>
      </c>
      <c r="I1006" s="17" t="str">
        <f t="shared" si="45"/>
        <v/>
      </c>
    </row>
    <row r="1007" spans="1:9">
      <c r="A1007" s="15" t="str">
        <f t="shared" si="46"/>
        <v/>
      </c>
      <c r="G1007" s="17" t="str">
        <f t="shared" ref="G1007:G1070" si="47">IFERROR(VLOOKUP(C1007,$U$3:$W$19,2,),"")</f>
        <v/>
      </c>
      <c r="I1007" s="17" t="str">
        <f t="shared" ref="I1007:I1070" si="48">IFERROR(VLOOKUP(C1007,$U$3:$W$19,3,),"")</f>
        <v/>
      </c>
    </row>
    <row r="1008" spans="1:9">
      <c r="A1008" s="15" t="str">
        <f t="shared" si="46"/>
        <v/>
      </c>
      <c r="G1008" s="17" t="str">
        <f t="shared" si="47"/>
        <v/>
      </c>
      <c r="I1008" s="17" t="str">
        <f t="shared" si="48"/>
        <v/>
      </c>
    </row>
    <row r="1009" spans="1:9">
      <c r="A1009" s="15" t="str">
        <f t="shared" si="46"/>
        <v/>
      </c>
      <c r="G1009" s="17" t="str">
        <f t="shared" si="47"/>
        <v/>
      </c>
      <c r="I1009" s="17" t="str">
        <f t="shared" si="48"/>
        <v/>
      </c>
    </row>
    <row r="1010" spans="1:9">
      <c r="A1010" s="15" t="str">
        <f t="shared" si="46"/>
        <v/>
      </c>
      <c r="G1010" s="17" t="str">
        <f t="shared" si="47"/>
        <v/>
      </c>
      <c r="I1010" s="17" t="str">
        <f t="shared" si="48"/>
        <v/>
      </c>
    </row>
    <row r="1011" spans="1:9">
      <c r="A1011" s="15" t="str">
        <f t="shared" si="46"/>
        <v/>
      </c>
      <c r="G1011" s="17" t="str">
        <f t="shared" si="47"/>
        <v/>
      </c>
      <c r="I1011" s="17" t="str">
        <f t="shared" si="48"/>
        <v/>
      </c>
    </row>
    <row r="1012" spans="1:9">
      <c r="A1012" s="15" t="str">
        <f t="shared" si="46"/>
        <v/>
      </c>
      <c r="G1012" s="17" t="str">
        <f t="shared" si="47"/>
        <v/>
      </c>
      <c r="I1012" s="17" t="str">
        <f t="shared" si="48"/>
        <v/>
      </c>
    </row>
    <row r="1013" spans="1:9">
      <c r="A1013" s="15" t="str">
        <f t="shared" si="46"/>
        <v/>
      </c>
      <c r="G1013" s="17" t="str">
        <f t="shared" si="47"/>
        <v/>
      </c>
      <c r="I1013" s="17" t="str">
        <f t="shared" si="48"/>
        <v/>
      </c>
    </row>
    <row r="1014" spans="1:9">
      <c r="A1014" s="15" t="str">
        <f t="shared" si="46"/>
        <v/>
      </c>
      <c r="G1014" s="17" t="str">
        <f t="shared" si="47"/>
        <v/>
      </c>
      <c r="I1014" s="17" t="str">
        <f t="shared" si="48"/>
        <v/>
      </c>
    </row>
    <row r="1015" spans="1:9">
      <c r="A1015" s="15" t="str">
        <f t="shared" si="46"/>
        <v/>
      </c>
      <c r="G1015" s="17" t="str">
        <f t="shared" si="47"/>
        <v/>
      </c>
      <c r="I1015" s="17" t="str">
        <f t="shared" si="48"/>
        <v/>
      </c>
    </row>
    <row r="1016" spans="1:9">
      <c r="A1016" s="15" t="str">
        <f t="shared" si="46"/>
        <v/>
      </c>
      <c r="G1016" s="17" t="str">
        <f t="shared" si="47"/>
        <v/>
      </c>
      <c r="I1016" s="17" t="str">
        <f t="shared" si="48"/>
        <v/>
      </c>
    </row>
    <row r="1017" spans="1:9">
      <c r="A1017" s="15" t="str">
        <f t="shared" si="46"/>
        <v/>
      </c>
      <c r="G1017" s="17" t="str">
        <f t="shared" si="47"/>
        <v/>
      </c>
      <c r="I1017" s="17" t="str">
        <f t="shared" si="48"/>
        <v/>
      </c>
    </row>
    <row r="1018" spans="1:9">
      <c r="A1018" s="15" t="str">
        <f t="shared" si="46"/>
        <v/>
      </c>
      <c r="G1018" s="17" t="str">
        <f t="shared" si="47"/>
        <v/>
      </c>
      <c r="I1018" s="17" t="str">
        <f t="shared" si="48"/>
        <v/>
      </c>
    </row>
    <row r="1019" spans="1:9">
      <c r="A1019" s="15" t="str">
        <f t="shared" si="46"/>
        <v/>
      </c>
      <c r="G1019" s="17" t="str">
        <f t="shared" si="47"/>
        <v/>
      </c>
      <c r="I1019" s="17" t="str">
        <f t="shared" si="48"/>
        <v/>
      </c>
    </row>
    <row r="1020" spans="1:9">
      <c r="A1020" s="15" t="str">
        <f t="shared" si="46"/>
        <v/>
      </c>
      <c r="G1020" s="17" t="str">
        <f t="shared" si="47"/>
        <v/>
      </c>
      <c r="I1020" s="17" t="str">
        <f t="shared" si="48"/>
        <v/>
      </c>
    </row>
    <row r="1021" spans="1:9">
      <c r="A1021" s="15" t="str">
        <f t="shared" si="46"/>
        <v/>
      </c>
      <c r="G1021" s="17" t="str">
        <f t="shared" si="47"/>
        <v/>
      </c>
      <c r="I1021" s="17" t="str">
        <f t="shared" si="48"/>
        <v/>
      </c>
    </row>
    <row r="1022" spans="1:9">
      <c r="A1022" s="15" t="str">
        <f t="shared" si="46"/>
        <v/>
      </c>
      <c r="G1022" s="17" t="str">
        <f t="shared" si="47"/>
        <v/>
      </c>
      <c r="I1022" s="17" t="str">
        <f t="shared" si="48"/>
        <v/>
      </c>
    </row>
    <row r="1023" spans="1:9">
      <c r="A1023" s="15" t="str">
        <f t="shared" si="46"/>
        <v/>
      </c>
      <c r="G1023" s="17" t="str">
        <f t="shared" si="47"/>
        <v/>
      </c>
      <c r="I1023" s="17" t="str">
        <f t="shared" si="48"/>
        <v/>
      </c>
    </row>
    <row r="1024" spans="1:9">
      <c r="A1024" s="15" t="str">
        <f t="shared" si="46"/>
        <v/>
      </c>
      <c r="G1024" s="17" t="str">
        <f t="shared" si="47"/>
        <v/>
      </c>
      <c r="I1024" s="17" t="str">
        <f t="shared" si="48"/>
        <v/>
      </c>
    </row>
    <row r="1025" spans="1:9">
      <c r="A1025" s="15" t="str">
        <f t="shared" si="46"/>
        <v/>
      </c>
      <c r="G1025" s="17" t="str">
        <f t="shared" si="47"/>
        <v/>
      </c>
      <c r="I1025" s="17" t="str">
        <f t="shared" si="48"/>
        <v/>
      </c>
    </row>
    <row r="1026" spans="1:9">
      <c r="A1026" s="15" t="str">
        <f t="shared" si="46"/>
        <v/>
      </c>
      <c r="G1026" s="17" t="str">
        <f t="shared" si="47"/>
        <v/>
      </c>
      <c r="I1026" s="17" t="str">
        <f t="shared" si="48"/>
        <v/>
      </c>
    </row>
    <row r="1027" spans="1:9">
      <c r="A1027" s="15" t="str">
        <f t="shared" si="46"/>
        <v/>
      </c>
      <c r="G1027" s="17" t="str">
        <f t="shared" si="47"/>
        <v/>
      </c>
      <c r="I1027" s="17" t="str">
        <f t="shared" si="48"/>
        <v/>
      </c>
    </row>
    <row r="1028" spans="1:9">
      <c r="A1028" s="15" t="str">
        <f t="shared" si="46"/>
        <v/>
      </c>
      <c r="G1028" s="17" t="str">
        <f t="shared" si="47"/>
        <v/>
      </c>
      <c r="I1028" s="17" t="str">
        <f t="shared" si="48"/>
        <v/>
      </c>
    </row>
    <row r="1029" spans="1:9">
      <c r="A1029" s="15" t="str">
        <f t="shared" si="46"/>
        <v/>
      </c>
      <c r="G1029" s="17" t="str">
        <f t="shared" si="47"/>
        <v/>
      </c>
      <c r="I1029" s="17" t="str">
        <f t="shared" si="48"/>
        <v/>
      </c>
    </row>
    <row r="1030" spans="1:9">
      <c r="A1030" s="15" t="str">
        <f t="shared" si="46"/>
        <v/>
      </c>
      <c r="G1030" s="17" t="str">
        <f t="shared" si="47"/>
        <v/>
      </c>
      <c r="I1030" s="17" t="str">
        <f t="shared" si="48"/>
        <v/>
      </c>
    </row>
    <row r="1031" spans="1:9">
      <c r="A1031" s="15" t="str">
        <f t="shared" si="46"/>
        <v/>
      </c>
      <c r="G1031" s="17" t="str">
        <f t="shared" si="47"/>
        <v/>
      </c>
      <c r="I1031" s="17" t="str">
        <f t="shared" si="48"/>
        <v/>
      </c>
    </row>
    <row r="1032" spans="1:9">
      <c r="A1032" s="15" t="str">
        <f t="shared" si="46"/>
        <v/>
      </c>
      <c r="G1032" s="17" t="str">
        <f t="shared" si="47"/>
        <v/>
      </c>
      <c r="I1032" s="17" t="str">
        <f t="shared" si="48"/>
        <v/>
      </c>
    </row>
    <row r="1033" spans="1:9">
      <c r="A1033" s="15" t="str">
        <f t="shared" si="46"/>
        <v/>
      </c>
      <c r="G1033" s="17" t="str">
        <f t="shared" si="47"/>
        <v/>
      </c>
      <c r="I1033" s="17" t="str">
        <f t="shared" si="48"/>
        <v/>
      </c>
    </row>
    <row r="1034" spans="1:9">
      <c r="A1034" s="15" t="str">
        <f t="shared" si="46"/>
        <v/>
      </c>
      <c r="G1034" s="17" t="str">
        <f t="shared" si="47"/>
        <v/>
      </c>
      <c r="I1034" s="17" t="str">
        <f t="shared" si="48"/>
        <v/>
      </c>
    </row>
    <row r="1035" spans="1:9">
      <c r="A1035" s="15" t="str">
        <f t="shared" si="46"/>
        <v/>
      </c>
      <c r="G1035" s="17" t="str">
        <f t="shared" si="47"/>
        <v/>
      </c>
      <c r="I1035" s="17" t="str">
        <f t="shared" si="48"/>
        <v/>
      </c>
    </row>
    <row r="1036" spans="1:9">
      <c r="A1036" s="15" t="str">
        <f t="shared" si="46"/>
        <v/>
      </c>
      <c r="G1036" s="17" t="str">
        <f t="shared" si="47"/>
        <v/>
      </c>
      <c r="I1036" s="17" t="str">
        <f t="shared" si="48"/>
        <v/>
      </c>
    </row>
    <row r="1037" spans="1:9">
      <c r="A1037" s="15" t="str">
        <f t="shared" si="46"/>
        <v/>
      </c>
      <c r="G1037" s="17" t="str">
        <f t="shared" si="47"/>
        <v/>
      </c>
      <c r="I1037" s="17" t="str">
        <f t="shared" si="48"/>
        <v/>
      </c>
    </row>
    <row r="1038" spans="1:9">
      <c r="A1038" s="15" t="str">
        <f t="shared" si="46"/>
        <v/>
      </c>
      <c r="G1038" s="17" t="str">
        <f t="shared" si="47"/>
        <v/>
      </c>
      <c r="I1038" s="17" t="str">
        <f t="shared" si="48"/>
        <v/>
      </c>
    </row>
    <row r="1039" spans="1:9">
      <c r="A1039" s="15" t="str">
        <f t="shared" si="46"/>
        <v/>
      </c>
      <c r="G1039" s="17" t="str">
        <f t="shared" si="47"/>
        <v/>
      </c>
      <c r="I1039" s="17" t="str">
        <f t="shared" si="48"/>
        <v/>
      </c>
    </row>
    <row r="1040" spans="1:9">
      <c r="A1040" s="15" t="str">
        <f t="shared" si="46"/>
        <v/>
      </c>
      <c r="G1040" s="17" t="str">
        <f t="shared" si="47"/>
        <v/>
      </c>
      <c r="I1040" s="17" t="str">
        <f t="shared" si="48"/>
        <v/>
      </c>
    </row>
    <row r="1041" spans="1:9">
      <c r="A1041" s="15" t="str">
        <f t="shared" si="46"/>
        <v/>
      </c>
      <c r="G1041" s="17" t="str">
        <f t="shared" si="47"/>
        <v/>
      </c>
      <c r="I1041" s="17" t="str">
        <f t="shared" si="48"/>
        <v/>
      </c>
    </row>
    <row r="1042" spans="1:9">
      <c r="A1042" s="15" t="str">
        <f t="shared" si="46"/>
        <v/>
      </c>
      <c r="G1042" s="17" t="str">
        <f t="shared" si="47"/>
        <v/>
      </c>
      <c r="I1042" s="17" t="str">
        <f t="shared" si="48"/>
        <v/>
      </c>
    </row>
    <row r="1043" spans="1:9">
      <c r="A1043" s="15" t="str">
        <f t="shared" si="46"/>
        <v/>
      </c>
      <c r="G1043" s="17" t="str">
        <f t="shared" si="47"/>
        <v/>
      </c>
      <c r="I1043" s="17" t="str">
        <f t="shared" si="48"/>
        <v/>
      </c>
    </row>
    <row r="1044" spans="1:9">
      <c r="A1044" s="15" t="str">
        <f t="shared" si="46"/>
        <v/>
      </c>
      <c r="G1044" s="17" t="str">
        <f t="shared" si="47"/>
        <v/>
      </c>
      <c r="I1044" s="17" t="str">
        <f t="shared" si="48"/>
        <v/>
      </c>
    </row>
    <row r="1045" spans="1:9">
      <c r="A1045" s="15" t="str">
        <f t="shared" si="46"/>
        <v/>
      </c>
      <c r="G1045" s="17" t="str">
        <f t="shared" si="47"/>
        <v/>
      </c>
      <c r="I1045" s="17" t="str">
        <f t="shared" si="48"/>
        <v/>
      </c>
    </row>
    <row r="1046" spans="1:9">
      <c r="A1046" s="15" t="str">
        <f t="shared" si="46"/>
        <v/>
      </c>
      <c r="G1046" s="17" t="str">
        <f t="shared" si="47"/>
        <v/>
      </c>
      <c r="I1046" s="17" t="str">
        <f t="shared" si="48"/>
        <v/>
      </c>
    </row>
    <row r="1047" spans="1:9">
      <c r="A1047" s="15" t="str">
        <f t="shared" si="46"/>
        <v/>
      </c>
      <c r="G1047" s="17" t="str">
        <f t="shared" si="47"/>
        <v/>
      </c>
      <c r="I1047" s="17" t="str">
        <f t="shared" si="48"/>
        <v/>
      </c>
    </row>
    <row r="1048" spans="1:9">
      <c r="A1048" s="15" t="str">
        <f t="shared" ref="A1048:A1111" si="49">IF(B1048&lt;&gt;"",ROW()-2,"")</f>
        <v/>
      </c>
      <c r="G1048" s="17" t="str">
        <f t="shared" si="47"/>
        <v/>
      </c>
      <c r="I1048" s="17" t="str">
        <f t="shared" si="48"/>
        <v/>
      </c>
    </row>
    <row r="1049" spans="1:9">
      <c r="A1049" s="15" t="str">
        <f t="shared" si="49"/>
        <v/>
      </c>
      <c r="G1049" s="17" t="str">
        <f t="shared" si="47"/>
        <v/>
      </c>
      <c r="I1049" s="17" t="str">
        <f t="shared" si="48"/>
        <v/>
      </c>
    </row>
    <row r="1050" spans="1:9">
      <c r="A1050" s="15" t="str">
        <f t="shared" si="49"/>
        <v/>
      </c>
      <c r="G1050" s="17" t="str">
        <f t="shared" si="47"/>
        <v/>
      </c>
      <c r="I1050" s="17" t="str">
        <f t="shared" si="48"/>
        <v/>
      </c>
    </row>
    <row r="1051" spans="1:9">
      <c r="A1051" s="15" t="str">
        <f t="shared" si="49"/>
        <v/>
      </c>
      <c r="G1051" s="17" t="str">
        <f t="shared" si="47"/>
        <v/>
      </c>
      <c r="I1051" s="17" t="str">
        <f t="shared" si="48"/>
        <v/>
      </c>
    </row>
    <row r="1052" spans="1:9">
      <c r="A1052" s="15" t="str">
        <f t="shared" si="49"/>
        <v/>
      </c>
      <c r="G1052" s="17" t="str">
        <f t="shared" si="47"/>
        <v/>
      </c>
      <c r="I1052" s="17" t="str">
        <f t="shared" si="48"/>
        <v/>
      </c>
    </row>
    <row r="1053" spans="1:9">
      <c r="A1053" s="15" t="str">
        <f t="shared" si="49"/>
        <v/>
      </c>
      <c r="G1053" s="17" t="str">
        <f t="shared" si="47"/>
        <v/>
      </c>
      <c r="I1053" s="17" t="str">
        <f t="shared" si="48"/>
        <v/>
      </c>
    </row>
    <row r="1054" spans="1:9">
      <c r="A1054" s="15" t="str">
        <f t="shared" si="49"/>
        <v/>
      </c>
      <c r="G1054" s="17" t="str">
        <f t="shared" si="47"/>
        <v/>
      </c>
      <c r="I1054" s="17" t="str">
        <f t="shared" si="48"/>
        <v/>
      </c>
    </row>
    <row r="1055" spans="1:9">
      <c r="A1055" s="15" t="str">
        <f t="shared" si="49"/>
        <v/>
      </c>
      <c r="G1055" s="17" t="str">
        <f t="shared" si="47"/>
        <v/>
      </c>
      <c r="I1055" s="17" t="str">
        <f t="shared" si="48"/>
        <v/>
      </c>
    </row>
    <row r="1056" spans="1:9">
      <c r="A1056" s="15" t="str">
        <f t="shared" si="49"/>
        <v/>
      </c>
      <c r="G1056" s="17" t="str">
        <f t="shared" si="47"/>
        <v/>
      </c>
      <c r="I1056" s="17" t="str">
        <f t="shared" si="48"/>
        <v/>
      </c>
    </row>
    <row r="1057" spans="1:9">
      <c r="A1057" s="15" t="str">
        <f t="shared" si="49"/>
        <v/>
      </c>
      <c r="G1057" s="17" t="str">
        <f t="shared" si="47"/>
        <v/>
      </c>
      <c r="I1057" s="17" t="str">
        <f t="shared" si="48"/>
        <v/>
      </c>
    </row>
    <row r="1058" spans="1:9">
      <c r="A1058" s="15" t="str">
        <f t="shared" si="49"/>
        <v/>
      </c>
      <c r="G1058" s="17" t="str">
        <f t="shared" si="47"/>
        <v/>
      </c>
      <c r="I1058" s="17" t="str">
        <f t="shared" si="48"/>
        <v/>
      </c>
    </row>
    <row r="1059" spans="1:9">
      <c r="A1059" s="15" t="str">
        <f t="shared" si="49"/>
        <v/>
      </c>
      <c r="G1059" s="17" t="str">
        <f t="shared" si="47"/>
        <v/>
      </c>
      <c r="I1059" s="17" t="str">
        <f t="shared" si="48"/>
        <v/>
      </c>
    </row>
    <row r="1060" spans="1:9">
      <c r="A1060" s="15" t="str">
        <f t="shared" si="49"/>
        <v/>
      </c>
      <c r="G1060" s="17" t="str">
        <f t="shared" si="47"/>
        <v/>
      </c>
      <c r="I1060" s="17" t="str">
        <f t="shared" si="48"/>
        <v/>
      </c>
    </row>
    <row r="1061" spans="1:9">
      <c r="A1061" s="15" t="str">
        <f t="shared" si="49"/>
        <v/>
      </c>
      <c r="G1061" s="17" t="str">
        <f t="shared" si="47"/>
        <v/>
      </c>
      <c r="I1061" s="17" t="str">
        <f t="shared" si="48"/>
        <v/>
      </c>
    </row>
    <row r="1062" spans="1:9">
      <c r="A1062" s="15" t="str">
        <f t="shared" si="49"/>
        <v/>
      </c>
      <c r="G1062" s="17" t="str">
        <f t="shared" si="47"/>
        <v/>
      </c>
      <c r="I1062" s="17" t="str">
        <f t="shared" si="48"/>
        <v/>
      </c>
    </row>
    <row r="1063" spans="1:9">
      <c r="A1063" s="15" t="str">
        <f t="shared" si="49"/>
        <v/>
      </c>
      <c r="G1063" s="17" t="str">
        <f t="shared" si="47"/>
        <v/>
      </c>
      <c r="I1063" s="17" t="str">
        <f t="shared" si="48"/>
        <v/>
      </c>
    </row>
    <row r="1064" spans="1:9">
      <c r="A1064" s="15" t="str">
        <f t="shared" si="49"/>
        <v/>
      </c>
      <c r="G1064" s="17" t="str">
        <f t="shared" si="47"/>
        <v/>
      </c>
      <c r="I1064" s="17" t="str">
        <f t="shared" si="48"/>
        <v/>
      </c>
    </row>
    <row r="1065" spans="1:9">
      <c r="A1065" s="15" t="str">
        <f t="shared" si="49"/>
        <v/>
      </c>
      <c r="G1065" s="17" t="str">
        <f t="shared" si="47"/>
        <v/>
      </c>
      <c r="I1065" s="17" t="str">
        <f t="shared" si="48"/>
        <v/>
      </c>
    </row>
    <row r="1066" spans="1:9">
      <c r="A1066" s="15" t="str">
        <f t="shared" si="49"/>
        <v/>
      </c>
      <c r="G1066" s="17" t="str">
        <f t="shared" si="47"/>
        <v/>
      </c>
      <c r="I1066" s="17" t="str">
        <f t="shared" si="48"/>
        <v/>
      </c>
    </row>
    <row r="1067" spans="1:9">
      <c r="A1067" s="15" t="str">
        <f t="shared" si="49"/>
        <v/>
      </c>
      <c r="G1067" s="17" t="str">
        <f t="shared" si="47"/>
        <v/>
      </c>
      <c r="I1067" s="17" t="str">
        <f t="shared" si="48"/>
        <v/>
      </c>
    </row>
    <row r="1068" spans="1:9">
      <c r="A1068" s="15" t="str">
        <f t="shared" si="49"/>
        <v/>
      </c>
      <c r="G1068" s="17" t="str">
        <f t="shared" si="47"/>
        <v/>
      </c>
      <c r="I1068" s="17" t="str">
        <f t="shared" si="48"/>
        <v/>
      </c>
    </row>
    <row r="1069" spans="1:9">
      <c r="A1069" s="15" t="str">
        <f t="shared" si="49"/>
        <v/>
      </c>
      <c r="G1069" s="17" t="str">
        <f t="shared" si="47"/>
        <v/>
      </c>
      <c r="I1069" s="17" t="str">
        <f t="shared" si="48"/>
        <v/>
      </c>
    </row>
    <row r="1070" spans="1:9">
      <c r="A1070" s="15" t="str">
        <f t="shared" si="49"/>
        <v/>
      </c>
      <c r="G1070" s="17" t="str">
        <f t="shared" si="47"/>
        <v/>
      </c>
      <c r="I1070" s="17" t="str">
        <f t="shared" si="48"/>
        <v/>
      </c>
    </row>
    <row r="1071" spans="1:9">
      <c r="A1071" s="15" t="str">
        <f t="shared" si="49"/>
        <v/>
      </c>
      <c r="G1071" s="17" t="str">
        <f t="shared" ref="G1071:G1134" si="50">IFERROR(VLOOKUP(C1071,$U$3:$W$19,2,),"")</f>
        <v/>
      </c>
      <c r="I1071" s="17" t="str">
        <f t="shared" ref="I1071:I1134" si="51">IFERROR(VLOOKUP(C1071,$U$3:$W$19,3,),"")</f>
        <v/>
      </c>
    </row>
    <row r="1072" spans="1:9">
      <c r="A1072" s="15" t="str">
        <f t="shared" si="49"/>
        <v/>
      </c>
      <c r="G1072" s="17" t="str">
        <f t="shared" si="50"/>
        <v/>
      </c>
      <c r="I1072" s="17" t="str">
        <f t="shared" si="51"/>
        <v/>
      </c>
    </row>
    <row r="1073" spans="1:9">
      <c r="A1073" s="15" t="str">
        <f t="shared" si="49"/>
        <v/>
      </c>
      <c r="G1073" s="17" t="str">
        <f t="shared" si="50"/>
        <v/>
      </c>
      <c r="I1073" s="17" t="str">
        <f t="shared" si="51"/>
        <v/>
      </c>
    </row>
    <row r="1074" spans="1:9">
      <c r="A1074" s="15" t="str">
        <f t="shared" si="49"/>
        <v/>
      </c>
      <c r="G1074" s="17" t="str">
        <f t="shared" si="50"/>
        <v/>
      </c>
      <c r="I1074" s="17" t="str">
        <f t="shared" si="51"/>
        <v/>
      </c>
    </row>
    <row r="1075" spans="1:9">
      <c r="A1075" s="15" t="str">
        <f t="shared" si="49"/>
        <v/>
      </c>
      <c r="G1075" s="17" t="str">
        <f t="shared" si="50"/>
        <v/>
      </c>
      <c r="I1075" s="17" t="str">
        <f t="shared" si="51"/>
        <v/>
      </c>
    </row>
    <row r="1076" spans="1:9">
      <c r="A1076" s="15" t="str">
        <f t="shared" si="49"/>
        <v/>
      </c>
      <c r="G1076" s="17" t="str">
        <f t="shared" si="50"/>
        <v/>
      </c>
      <c r="I1076" s="17" t="str">
        <f t="shared" si="51"/>
        <v/>
      </c>
    </row>
    <row r="1077" spans="1:9">
      <c r="A1077" s="15" t="str">
        <f t="shared" si="49"/>
        <v/>
      </c>
      <c r="G1077" s="17" t="str">
        <f t="shared" si="50"/>
        <v/>
      </c>
      <c r="I1077" s="17" t="str">
        <f t="shared" si="51"/>
        <v/>
      </c>
    </row>
    <row r="1078" spans="1:9">
      <c r="A1078" s="15" t="str">
        <f t="shared" si="49"/>
        <v/>
      </c>
      <c r="G1078" s="17" t="str">
        <f t="shared" si="50"/>
        <v/>
      </c>
      <c r="I1078" s="17" t="str">
        <f t="shared" si="51"/>
        <v/>
      </c>
    </row>
    <row r="1079" spans="1:9">
      <c r="A1079" s="15" t="str">
        <f t="shared" si="49"/>
        <v/>
      </c>
      <c r="G1079" s="17" t="str">
        <f t="shared" si="50"/>
        <v/>
      </c>
      <c r="I1079" s="17" t="str">
        <f t="shared" si="51"/>
        <v/>
      </c>
    </row>
    <row r="1080" spans="1:9">
      <c r="A1080" s="15" t="str">
        <f t="shared" si="49"/>
        <v/>
      </c>
      <c r="G1080" s="17" t="str">
        <f t="shared" si="50"/>
        <v/>
      </c>
      <c r="I1080" s="17" t="str">
        <f t="shared" si="51"/>
        <v/>
      </c>
    </row>
    <row r="1081" spans="1:9">
      <c r="A1081" s="15" t="str">
        <f t="shared" si="49"/>
        <v/>
      </c>
      <c r="G1081" s="17" t="str">
        <f t="shared" si="50"/>
        <v/>
      </c>
      <c r="I1081" s="17" t="str">
        <f t="shared" si="51"/>
        <v/>
      </c>
    </row>
    <row r="1082" spans="1:9">
      <c r="A1082" s="15" t="str">
        <f t="shared" si="49"/>
        <v/>
      </c>
      <c r="G1082" s="17" t="str">
        <f t="shared" si="50"/>
        <v/>
      </c>
      <c r="I1082" s="17" t="str">
        <f t="shared" si="51"/>
        <v/>
      </c>
    </row>
    <row r="1083" spans="1:9">
      <c r="A1083" s="15" t="str">
        <f t="shared" si="49"/>
        <v/>
      </c>
      <c r="G1083" s="17" t="str">
        <f t="shared" si="50"/>
        <v/>
      </c>
      <c r="I1083" s="17" t="str">
        <f t="shared" si="51"/>
        <v/>
      </c>
    </row>
    <row r="1084" spans="1:9">
      <c r="A1084" s="15" t="str">
        <f t="shared" si="49"/>
        <v/>
      </c>
      <c r="G1084" s="17" t="str">
        <f t="shared" si="50"/>
        <v/>
      </c>
      <c r="I1084" s="17" t="str">
        <f t="shared" si="51"/>
        <v/>
      </c>
    </row>
    <row r="1085" spans="1:9">
      <c r="A1085" s="15" t="str">
        <f t="shared" si="49"/>
        <v/>
      </c>
      <c r="G1085" s="17" t="str">
        <f t="shared" si="50"/>
        <v/>
      </c>
      <c r="I1085" s="17" t="str">
        <f t="shared" si="51"/>
        <v/>
      </c>
    </row>
    <row r="1086" spans="1:9">
      <c r="A1086" s="15" t="str">
        <f t="shared" si="49"/>
        <v/>
      </c>
      <c r="G1086" s="17" t="str">
        <f t="shared" si="50"/>
        <v/>
      </c>
      <c r="I1086" s="17" t="str">
        <f t="shared" si="51"/>
        <v/>
      </c>
    </row>
    <row r="1087" spans="1:9">
      <c r="A1087" s="15" t="str">
        <f t="shared" si="49"/>
        <v/>
      </c>
      <c r="G1087" s="17" t="str">
        <f t="shared" si="50"/>
        <v/>
      </c>
      <c r="I1087" s="17" t="str">
        <f t="shared" si="51"/>
        <v/>
      </c>
    </row>
    <row r="1088" spans="1:9">
      <c r="A1088" s="15" t="str">
        <f t="shared" si="49"/>
        <v/>
      </c>
      <c r="G1088" s="17" t="str">
        <f t="shared" si="50"/>
        <v/>
      </c>
      <c r="I1088" s="17" t="str">
        <f t="shared" si="51"/>
        <v/>
      </c>
    </row>
    <row r="1089" spans="1:9">
      <c r="A1089" s="15" t="str">
        <f t="shared" si="49"/>
        <v/>
      </c>
      <c r="G1089" s="17" t="str">
        <f t="shared" si="50"/>
        <v/>
      </c>
      <c r="I1089" s="17" t="str">
        <f t="shared" si="51"/>
        <v/>
      </c>
    </row>
    <row r="1090" spans="1:9">
      <c r="A1090" s="15" t="str">
        <f t="shared" si="49"/>
        <v/>
      </c>
      <c r="G1090" s="17" t="str">
        <f t="shared" si="50"/>
        <v/>
      </c>
      <c r="I1090" s="17" t="str">
        <f t="shared" si="51"/>
        <v/>
      </c>
    </row>
    <row r="1091" spans="1:9">
      <c r="A1091" s="15" t="str">
        <f t="shared" si="49"/>
        <v/>
      </c>
      <c r="G1091" s="17" t="str">
        <f t="shared" si="50"/>
        <v/>
      </c>
      <c r="I1091" s="17" t="str">
        <f t="shared" si="51"/>
        <v/>
      </c>
    </row>
    <row r="1092" spans="1:9">
      <c r="A1092" s="15" t="str">
        <f t="shared" si="49"/>
        <v/>
      </c>
      <c r="G1092" s="17" t="str">
        <f t="shared" si="50"/>
        <v/>
      </c>
      <c r="I1092" s="17" t="str">
        <f t="shared" si="51"/>
        <v/>
      </c>
    </row>
    <row r="1093" spans="1:9">
      <c r="A1093" s="15" t="str">
        <f t="shared" si="49"/>
        <v/>
      </c>
      <c r="G1093" s="17" t="str">
        <f t="shared" si="50"/>
        <v/>
      </c>
      <c r="I1093" s="17" t="str">
        <f t="shared" si="51"/>
        <v/>
      </c>
    </row>
    <row r="1094" spans="1:9">
      <c r="A1094" s="15" t="str">
        <f t="shared" si="49"/>
        <v/>
      </c>
      <c r="G1094" s="17" t="str">
        <f t="shared" si="50"/>
        <v/>
      </c>
      <c r="I1094" s="17" t="str">
        <f t="shared" si="51"/>
        <v/>
      </c>
    </row>
    <row r="1095" spans="1:9">
      <c r="A1095" s="15" t="str">
        <f t="shared" si="49"/>
        <v/>
      </c>
      <c r="G1095" s="17" t="str">
        <f t="shared" si="50"/>
        <v/>
      </c>
      <c r="I1095" s="17" t="str">
        <f t="shared" si="51"/>
        <v/>
      </c>
    </row>
    <row r="1096" spans="1:9">
      <c r="A1096" s="15" t="str">
        <f t="shared" si="49"/>
        <v/>
      </c>
      <c r="G1096" s="17" t="str">
        <f t="shared" si="50"/>
        <v/>
      </c>
      <c r="I1096" s="17" t="str">
        <f t="shared" si="51"/>
        <v/>
      </c>
    </row>
    <row r="1097" spans="1:9">
      <c r="A1097" s="15" t="str">
        <f t="shared" si="49"/>
        <v/>
      </c>
      <c r="G1097" s="17" t="str">
        <f t="shared" si="50"/>
        <v/>
      </c>
      <c r="I1097" s="17" t="str">
        <f t="shared" si="51"/>
        <v/>
      </c>
    </row>
    <row r="1098" spans="1:9">
      <c r="A1098" s="15" t="str">
        <f t="shared" si="49"/>
        <v/>
      </c>
      <c r="G1098" s="17" t="str">
        <f t="shared" si="50"/>
        <v/>
      </c>
      <c r="I1098" s="17" t="str">
        <f t="shared" si="51"/>
        <v/>
      </c>
    </row>
    <row r="1099" spans="1:9">
      <c r="A1099" s="15" t="str">
        <f t="shared" si="49"/>
        <v/>
      </c>
      <c r="G1099" s="17" t="str">
        <f t="shared" si="50"/>
        <v/>
      </c>
      <c r="I1099" s="17" t="str">
        <f t="shared" si="51"/>
        <v/>
      </c>
    </row>
    <row r="1100" spans="1:9">
      <c r="A1100" s="15" t="str">
        <f t="shared" si="49"/>
        <v/>
      </c>
      <c r="G1100" s="17" t="str">
        <f t="shared" si="50"/>
        <v/>
      </c>
      <c r="I1100" s="17" t="str">
        <f t="shared" si="51"/>
        <v/>
      </c>
    </row>
    <row r="1101" spans="1:9">
      <c r="A1101" s="15" t="str">
        <f t="shared" si="49"/>
        <v/>
      </c>
      <c r="G1101" s="17" t="str">
        <f t="shared" si="50"/>
        <v/>
      </c>
      <c r="I1101" s="17" t="str">
        <f t="shared" si="51"/>
        <v/>
      </c>
    </row>
    <row r="1102" spans="1:9">
      <c r="A1102" s="15" t="str">
        <f t="shared" si="49"/>
        <v/>
      </c>
      <c r="G1102" s="17" t="str">
        <f t="shared" si="50"/>
        <v/>
      </c>
      <c r="I1102" s="17" t="str">
        <f t="shared" si="51"/>
        <v/>
      </c>
    </row>
    <row r="1103" spans="1:9">
      <c r="A1103" s="15" t="str">
        <f t="shared" si="49"/>
        <v/>
      </c>
      <c r="G1103" s="17" t="str">
        <f t="shared" si="50"/>
        <v/>
      </c>
      <c r="I1103" s="17" t="str">
        <f t="shared" si="51"/>
        <v/>
      </c>
    </row>
    <row r="1104" spans="1:9">
      <c r="A1104" s="15" t="str">
        <f t="shared" si="49"/>
        <v/>
      </c>
      <c r="G1104" s="17" t="str">
        <f t="shared" si="50"/>
        <v/>
      </c>
      <c r="I1104" s="17" t="str">
        <f t="shared" si="51"/>
        <v/>
      </c>
    </row>
    <row r="1105" spans="1:9">
      <c r="A1105" s="15" t="str">
        <f t="shared" si="49"/>
        <v/>
      </c>
      <c r="G1105" s="17" t="str">
        <f t="shared" si="50"/>
        <v/>
      </c>
      <c r="I1105" s="17" t="str">
        <f t="shared" si="51"/>
        <v/>
      </c>
    </row>
    <row r="1106" spans="1:9">
      <c r="A1106" s="15" t="str">
        <f t="shared" si="49"/>
        <v/>
      </c>
      <c r="G1106" s="17" t="str">
        <f t="shared" si="50"/>
        <v/>
      </c>
      <c r="I1106" s="17" t="str">
        <f t="shared" si="51"/>
        <v/>
      </c>
    </row>
    <row r="1107" spans="1:9">
      <c r="A1107" s="15" t="str">
        <f t="shared" si="49"/>
        <v/>
      </c>
      <c r="G1107" s="17" t="str">
        <f t="shared" si="50"/>
        <v/>
      </c>
      <c r="I1107" s="17" t="str">
        <f t="shared" si="51"/>
        <v/>
      </c>
    </row>
    <row r="1108" spans="1:9">
      <c r="A1108" s="15" t="str">
        <f t="shared" si="49"/>
        <v/>
      </c>
      <c r="G1108" s="17" t="str">
        <f t="shared" si="50"/>
        <v/>
      </c>
      <c r="I1108" s="17" t="str">
        <f t="shared" si="51"/>
        <v/>
      </c>
    </row>
    <row r="1109" spans="1:9">
      <c r="A1109" s="15" t="str">
        <f t="shared" si="49"/>
        <v/>
      </c>
      <c r="G1109" s="17" t="str">
        <f t="shared" si="50"/>
        <v/>
      </c>
      <c r="I1109" s="17" t="str">
        <f t="shared" si="51"/>
        <v/>
      </c>
    </row>
    <row r="1110" spans="1:9">
      <c r="A1110" s="15" t="str">
        <f t="shared" si="49"/>
        <v/>
      </c>
      <c r="G1110" s="17" t="str">
        <f t="shared" si="50"/>
        <v/>
      </c>
      <c r="I1110" s="17" t="str">
        <f t="shared" si="51"/>
        <v/>
      </c>
    </row>
    <row r="1111" spans="1:9">
      <c r="A1111" s="15" t="str">
        <f t="shared" si="49"/>
        <v/>
      </c>
      <c r="G1111" s="17" t="str">
        <f t="shared" si="50"/>
        <v/>
      </c>
      <c r="I1111" s="17" t="str">
        <f t="shared" si="51"/>
        <v/>
      </c>
    </row>
    <row r="1112" spans="1:9">
      <c r="A1112" s="15" t="str">
        <f t="shared" ref="A1112:A1175" si="52">IF(B1112&lt;&gt;"",ROW()-2,"")</f>
        <v/>
      </c>
      <c r="G1112" s="17" t="str">
        <f t="shared" si="50"/>
        <v/>
      </c>
      <c r="I1112" s="17" t="str">
        <f t="shared" si="51"/>
        <v/>
      </c>
    </row>
    <row r="1113" spans="1:9">
      <c r="A1113" s="15" t="str">
        <f t="shared" si="52"/>
        <v/>
      </c>
      <c r="G1113" s="17" t="str">
        <f t="shared" si="50"/>
        <v/>
      </c>
      <c r="I1113" s="17" t="str">
        <f t="shared" si="51"/>
        <v/>
      </c>
    </row>
    <row r="1114" spans="1:9">
      <c r="A1114" s="15" t="str">
        <f t="shared" si="52"/>
        <v/>
      </c>
      <c r="G1114" s="17" t="str">
        <f t="shared" si="50"/>
        <v/>
      </c>
      <c r="I1114" s="17" t="str">
        <f t="shared" si="51"/>
        <v/>
      </c>
    </row>
    <row r="1115" spans="1:9">
      <c r="A1115" s="15" t="str">
        <f t="shared" si="52"/>
        <v/>
      </c>
      <c r="G1115" s="17" t="str">
        <f t="shared" si="50"/>
        <v/>
      </c>
      <c r="I1115" s="17" t="str">
        <f t="shared" si="51"/>
        <v/>
      </c>
    </row>
    <row r="1116" spans="1:9">
      <c r="A1116" s="15" t="str">
        <f t="shared" si="52"/>
        <v/>
      </c>
      <c r="G1116" s="17" t="str">
        <f t="shared" si="50"/>
        <v/>
      </c>
      <c r="I1116" s="17" t="str">
        <f t="shared" si="51"/>
        <v/>
      </c>
    </row>
    <row r="1117" spans="1:9">
      <c r="A1117" s="15" t="str">
        <f t="shared" si="52"/>
        <v/>
      </c>
      <c r="G1117" s="17" t="str">
        <f t="shared" si="50"/>
        <v/>
      </c>
      <c r="I1117" s="17" t="str">
        <f t="shared" si="51"/>
        <v/>
      </c>
    </row>
    <row r="1118" spans="1:9">
      <c r="A1118" s="15" t="str">
        <f t="shared" si="52"/>
        <v/>
      </c>
      <c r="G1118" s="17" t="str">
        <f t="shared" si="50"/>
        <v/>
      </c>
      <c r="I1118" s="17" t="str">
        <f t="shared" si="51"/>
        <v/>
      </c>
    </row>
    <row r="1119" spans="1:9">
      <c r="A1119" s="15" t="str">
        <f t="shared" si="52"/>
        <v/>
      </c>
      <c r="G1119" s="17" t="str">
        <f t="shared" si="50"/>
        <v/>
      </c>
      <c r="I1119" s="17" t="str">
        <f t="shared" si="51"/>
        <v/>
      </c>
    </row>
    <row r="1120" spans="1:9">
      <c r="A1120" s="15" t="str">
        <f t="shared" si="52"/>
        <v/>
      </c>
      <c r="G1120" s="17" t="str">
        <f t="shared" si="50"/>
        <v/>
      </c>
      <c r="I1120" s="17" t="str">
        <f t="shared" si="51"/>
        <v/>
      </c>
    </row>
    <row r="1121" spans="1:9">
      <c r="A1121" s="15" t="str">
        <f t="shared" si="52"/>
        <v/>
      </c>
      <c r="G1121" s="17" t="str">
        <f t="shared" si="50"/>
        <v/>
      </c>
      <c r="I1121" s="17" t="str">
        <f t="shared" si="51"/>
        <v/>
      </c>
    </row>
    <row r="1122" spans="1:9">
      <c r="A1122" s="15" t="str">
        <f t="shared" si="52"/>
        <v/>
      </c>
      <c r="G1122" s="17" t="str">
        <f t="shared" si="50"/>
        <v/>
      </c>
      <c r="I1122" s="17" t="str">
        <f t="shared" si="51"/>
        <v/>
      </c>
    </row>
    <row r="1123" spans="1:9">
      <c r="A1123" s="15" t="str">
        <f t="shared" si="52"/>
        <v/>
      </c>
      <c r="G1123" s="17" t="str">
        <f t="shared" si="50"/>
        <v/>
      </c>
      <c r="I1123" s="17" t="str">
        <f t="shared" si="51"/>
        <v/>
      </c>
    </row>
    <row r="1124" spans="1:9">
      <c r="A1124" s="15" t="str">
        <f t="shared" si="52"/>
        <v/>
      </c>
      <c r="G1124" s="17" t="str">
        <f t="shared" si="50"/>
        <v/>
      </c>
      <c r="I1124" s="17" t="str">
        <f t="shared" si="51"/>
        <v/>
      </c>
    </row>
    <row r="1125" spans="1:9">
      <c r="A1125" s="15" t="str">
        <f t="shared" si="52"/>
        <v/>
      </c>
      <c r="G1125" s="17" t="str">
        <f t="shared" si="50"/>
        <v/>
      </c>
      <c r="I1125" s="17" t="str">
        <f t="shared" si="51"/>
        <v/>
      </c>
    </row>
    <row r="1126" spans="1:9">
      <c r="A1126" s="15" t="str">
        <f t="shared" si="52"/>
        <v/>
      </c>
      <c r="G1126" s="17" t="str">
        <f t="shared" si="50"/>
        <v/>
      </c>
      <c r="I1126" s="17" t="str">
        <f t="shared" si="51"/>
        <v/>
      </c>
    </row>
    <row r="1127" spans="1:9">
      <c r="A1127" s="15" t="str">
        <f t="shared" si="52"/>
        <v/>
      </c>
      <c r="G1127" s="17" t="str">
        <f t="shared" si="50"/>
        <v/>
      </c>
      <c r="I1127" s="17" t="str">
        <f t="shared" si="51"/>
        <v/>
      </c>
    </row>
    <row r="1128" spans="1:9">
      <c r="A1128" s="15" t="str">
        <f t="shared" si="52"/>
        <v/>
      </c>
      <c r="G1128" s="17" t="str">
        <f t="shared" si="50"/>
        <v/>
      </c>
      <c r="I1128" s="17" t="str">
        <f t="shared" si="51"/>
        <v/>
      </c>
    </row>
    <row r="1129" spans="1:9">
      <c r="A1129" s="15" t="str">
        <f t="shared" si="52"/>
        <v/>
      </c>
      <c r="G1129" s="17" t="str">
        <f t="shared" si="50"/>
        <v/>
      </c>
      <c r="I1129" s="17" t="str">
        <f t="shared" si="51"/>
        <v/>
      </c>
    </row>
    <row r="1130" spans="1:9">
      <c r="A1130" s="15" t="str">
        <f t="shared" si="52"/>
        <v/>
      </c>
      <c r="G1130" s="17" t="str">
        <f t="shared" si="50"/>
        <v/>
      </c>
      <c r="I1130" s="17" t="str">
        <f t="shared" si="51"/>
        <v/>
      </c>
    </row>
    <row r="1131" spans="1:9">
      <c r="A1131" s="15" t="str">
        <f t="shared" si="52"/>
        <v/>
      </c>
      <c r="G1131" s="17" t="str">
        <f t="shared" si="50"/>
        <v/>
      </c>
      <c r="I1131" s="17" t="str">
        <f t="shared" si="51"/>
        <v/>
      </c>
    </row>
    <row r="1132" spans="1:9">
      <c r="A1132" s="15" t="str">
        <f t="shared" si="52"/>
        <v/>
      </c>
      <c r="G1132" s="17" t="str">
        <f t="shared" si="50"/>
        <v/>
      </c>
      <c r="I1132" s="17" t="str">
        <f t="shared" si="51"/>
        <v/>
      </c>
    </row>
    <row r="1133" spans="1:9">
      <c r="A1133" s="15" t="str">
        <f t="shared" si="52"/>
        <v/>
      </c>
      <c r="G1133" s="17" t="str">
        <f t="shared" si="50"/>
        <v/>
      </c>
      <c r="I1133" s="17" t="str">
        <f t="shared" si="51"/>
        <v/>
      </c>
    </row>
    <row r="1134" spans="1:9">
      <c r="A1134" s="15" t="str">
        <f t="shared" si="52"/>
        <v/>
      </c>
      <c r="G1134" s="17" t="str">
        <f t="shared" si="50"/>
        <v/>
      </c>
      <c r="I1134" s="17" t="str">
        <f t="shared" si="51"/>
        <v/>
      </c>
    </row>
    <row r="1135" spans="1:9">
      <c r="A1135" s="15" t="str">
        <f t="shared" si="52"/>
        <v/>
      </c>
      <c r="G1135" s="17" t="str">
        <f t="shared" ref="G1135:G1198" si="53">IFERROR(VLOOKUP(C1135,$U$3:$W$19,2,),"")</f>
        <v/>
      </c>
      <c r="I1135" s="17" t="str">
        <f t="shared" ref="I1135:I1198" si="54">IFERROR(VLOOKUP(C1135,$U$3:$W$19,3,),"")</f>
        <v/>
      </c>
    </row>
    <row r="1136" spans="1:9">
      <c r="A1136" s="15" t="str">
        <f t="shared" si="52"/>
        <v/>
      </c>
      <c r="G1136" s="17" t="str">
        <f t="shared" si="53"/>
        <v/>
      </c>
      <c r="I1136" s="17" t="str">
        <f t="shared" si="54"/>
        <v/>
      </c>
    </row>
    <row r="1137" spans="1:9">
      <c r="A1137" s="15" t="str">
        <f t="shared" si="52"/>
        <v/>
      </c>
      <c r="G1137" s="17" t="str">
        <f t="shared" si="53"/>
        <v/>
      </c>
      <c r="I1137" s="17" t="str">
        <f t="shared" si="54"/>
        <v/>
      </c>
    </row>
    <row r="1138" spans="1:9">
      <c r="A1138" s="15" t="str">
        <f t="shared" si="52"/>
        <v/>
      </c>
      <c r="G1138" s="17" t="str">
        <f t="shared" si="53"/>
        <v/>
      </c>
      <c r="I1138" s="17" t="str">
        <f t="shared" si="54"/>
        <v/>
      </c>
    </row>
    <row r="1139" spans="1:9">
      <c r="A1139" s="15" t="str">
        <f t="shared" si="52"/>
        <v/>
      </c>
      <c r="G1139" s="17" t="str">
        <f t="shared" si="53"/>
        <v/>
      </c>
      <c r="I1139" s="17" t="str">
        <f t="shared" si="54"/>
        <v/>
      </c>
    </row>
    <row r="1140" spans="1:9">
      <c r="A1140" s="15" t="str">
        <f t="shared" si="52"/>
        <v/>
      </c>
      <c r="G1140" s="17" t="str">
        <f t="shared" si="53"/>
        <v/>
      </c>
      <c r="I1140" s="17" t="str">
        <f t="shared" si="54"/>
        <v/>
      </c>
    </row>
    <row r="1141" spans="1:9">
      <c r="A1141" s="15" t="str">
        <f t="shared" si="52"/>
        <v/>
      </c>
      <c r="G1141" s="17" t="str">
        <f t="shared" si="53"/>
        <v/>
      </c>
      <c r="I1141" s="17" t="str">
        <f t="shared" si="54"/>
        <v/>
      </c>
    </row>
    <row r="1142" spans="1:9">
      <c r="A1142" s="15" t="str">
        <f t="shared" si="52"/>
        <v/>
      </c>
      <c r="G1142" s="17" t="str">
        <f t="shared" si="53"/>
        <v/>
      </c>
      <c r="I1142" s="17" t="str">
        <f t="shared" si="54"/>
        <v/>
      </c>
    </row>
    <row r="1143" spans="1:9">
      <c r="A1143" s="15" t="str">
        <f t="shared" si="52"/>
        <v/>
      </c>
      <c r="G1143" s="17" t="str">
        <f t="shared" si="53"/>
        <v/>
      </c>
      <c r="I1143" s="17" t="str">
        <f t="shared" si="54"/>
        <v/>
      </c>
    </row>
    <row r="1144" spans="1:9">
      <c r="A1144" s="15" t="str">
        <f t="shared" si="52"/>
        <v/>
      </c>
      <c r="G1144" s="17" t="str">
        <f t="shared" si="53"/>
        <v/>
      </c>
      <c r="I1144" s="17" t="str">
        <f t="shared" si="54"/>
        <v/>
      </c>
    </row>
    <row r="1145" spans="1:9">
      <c r="A1145" s="15" t="str">
        <f t="shared" si="52"/>
        <v/>
      </c>
      <c r="G1145" s="17" t="str">
        <f t="shared" si="53"/>
        <v/>
      </c>
      <c r="I1145" s="17" t="str">
        <f t="shared" si="54"/>
        <v/>
      </c>
    </row>
    <row r="1146" spans="1:9">
      <c r="A1146" s="15" t="str">
        <f t="shared" si="52"/>
        <v/>
      </c>
      <c r="G1146" s="17" t="str">
        <f t="shared" si="53"/>
        <v/>
      </c>
      <c r="I1146" s="17" t="str">
        <f t="shared" si="54"/>
        <v/>
      </c>
    </row>
    <row r="1147" spans="1:9">
      <c r="A1147" s="15" t="str">
        <f t="shared" si="52"/>
        <v/>
      </c>
      <c r="G1147" s="17" t="str">
        <f t="shared" si="53"/>
        <v/>
      </c>
      <c r="I1147" s="17" t="str">
        <f t="shared" si="54"/>
        <v/>
      </c>
    </row>
    <row r="1148" spans="1:9">
      <c r="A1148" s="15" t="str">
        <f t="shared" si="52"/>
        <v/>
      </c>
      <c r="G1148" s="17" t="str">
        <f t="shared" si="53"/>
        <v/>
      </c>
      <c r="I1148" s="17" t="str">
        <f t="shared" si="54"/>
        <v/>
      </c>
    </row>
    <row r="1149" spans="1:9">
      <c r="A1149" s="15" t="str">
        <f t="shared" si="52"/>
        <v/>
      </c>
      <c r="G1149" s="17" t="str">
        <f t="shared" si="53"/>
        <v/>
      </c>
      <c r="I1149" s="17" t="str">
        <f t="shared" si="54"/>
        <v/>
      </c>
    </row>
    <row r="1150" spans="1:9">
      <c r="A1150" s="15" t="str">
        <f t="shared" si="52"/>
        <v/>
      </c>
      <c r="G1150" s="17" t="str">
        <f t="shared" si="53"/>
        <v/>
      </c>
      <c r="I1150" s="17" t="str">
        <f t="shared" si="54"/>
        <v/>
      </c>
    </row>
    <row r="1151" spans="1:9">
      <c r="A1151" s="15" t="str">
        <f t="shared" si="52"/>
        <v/>
      </c>
      <c r="G1151" s="17" t="str">
        <f t="shared" si="53"/>
        <v/>
      </c>
      <c r="I1151" s="17" t="str">
        <f t="shared" si="54"/>
        <v/>
      </c>
    </row>
    <row r="1152" spans="1:9">
      <c r="A1152" s="15" t="str">
        <f t="shared" si="52"/>
        <v/>
      </c>
      <c r="G1152" s="17" t="str">
        <f t="shared" si="53"/>
        <v/>
      </c>
      <c r="I1152" s="17" t="str">
        <f t="shared" si="54"/>
        <v/>
      </c>
    </row>
    <row r="1153" spans="1:9">
      <c r="A1153" s="15" t="str">
        <f t="shared" si="52"/>
        <v/>
      </c>
      <c r="G1153" s="17" t="str">
        <f t="shared" si="53"/>
        <v/>
      </c>
      <c r="I1153" s="17" t="str">
        <f t="shared" si="54"/>
        <v/>
      </c>
    </row>
    <row r="1154" spans="1:9">
      <c r="A1154" s="15" t="str">
        <f t="shared" si="52"/>
        <v/>
      </c>
      <c r="G1154" s="17" t="str">
        <f t="shared" si="53"/>
        <v/>
      </c>
      <c r="I1154" s="17" t="str">
        <f t="shared" si="54"/>
        <v/>
      </c>
    </row>
    <row r="1155" spans="1:9">
      <c r="A1155" s="15" t="str">
        <f t="shared" si="52"/>
        <v/>
      </c>
      <c r="G1155" s="17" t="str">
        <f t="shared" si="53"/>
        <v/>
      </c>
      <c r="I1155" s="17" t="str">
        <f t="shared" si="54"/>
        <v/>
      </c>
    </row>
    <row r="1156" spans="1:9">
      <c r="A1156" s="15" t="str">
        <f t="shared" si="52"/>
        <v/>
      </c>
      <c r="G1156" s="17" t="str">
        <f t="shared" si="53"/>
        <v/>
      </c>
      <c r="I1156" s="17" t="str">
        <f t="shared" si="54"/>
        <v/>
      </c>
    </row>
    <row r="1157" spans="1:9">
      <c r="A1157" s="15" t="str">
        <f t="shared" si="52"/>
        <v/>
      </c>
      <c r="G1157" s="17" t="str">
        <f t="shared" si="53"/>
        <v/>
      </c>
      <c r="I1157" s="17" t="str">
        <f t="shared" si="54"/>
        <v/>
      </c>
    </row>
    <row r="1158" spans="1:9">
      <c r="A1158" s="15" t="str">
        <f t="shared" si="52"/>
        <v/>
      </c>
      <c r="G1158" s="17" t="str">
        <f t="shared" si="53"/>
        <v/>
      </c>
      <c r="I1158" s="17" t="str">
        <f t="shared" si="54"/>
        <v/>
      </c>
    </row>
    <row r="1159" spans="1:9">
      <c r="A1159" s="15" t="str">
        <f t="shared" si="52"/>
        <v/>
      </c>
      <c r="G1159" s="17" t="str">
        <f t="shared" si="53"/>
        <v/>
      </c>
      <c r="I1159" s="17" t="str">
        <f t="shared" si="54"/>
        <v/>
      </c>
    </row>
    <row r="1160" spans="1:9">
      <c r="A1160" s="15" t="str">
        <f t="shared" si="52"/>
        <v/>
      </c>
      <c r="G1160" s="17" t="str">
        <f t="shared" si="53"/>
        <v/>
      </c>
      <c r="I1160" s="17" t="str">
        <f t="shared" si="54"/>
        <v/>
      </c>
    </row>
    <row r="1161" spans="1:9">
      <c r="A1161" s="15" t="str">
        <f t="shared" si="52"/>
        <v/>
      </c>
      <c r="G1161" s="17" t="str">
        <f t="shared" si="53"/>
        <v/>
      </c>
      <c r="I1161" s="17" t="str">
        <f t="shared" si="54"/>
        <v/>
      </c>
    </row>
    <row r="1162" spans="1:9">
      <c r="A1162" s="15" t="str">
        <f t="shared" si="52"/>
        <v/>
      </c>
      <c r="G1162" s="17" t="str">
        <f t="shared" si="53"/>
        <v/>
      </c>
      <c r="I1162" s="17" t="str">
        <f t="shared" si="54"/>
        <v/>
      </c>
    </row>
    <row r="1163" spans="1:9">
      <c r="A1163" s="15" t="str">
        <f t="shared" si="52"/>
        <v/>
      </c>
      <c r="G1163" s="17" t="str">
        <f t="shared" si="53"/>
        <v/>
      </c>
      <c r="I1163" s="17" t="str">
        <f t="shared" si="54"/>
        <v/>
      </c>
    </row>
    <row r="1164" spans="1:9">
      <c r="A1164" s="15" t="str">
        <f t="shared" si="52"/>
        <v/>
      </c>
      <c r="G1164" s="17" t="str">
        <f t="shared" si="53"/>
        <v/>
      </c>
      <c r="I1164" s="17" t="str">
        <f t="shared" si="54"/>
        <v/>
      </c>
    </row>
    <row r="1165" spans="1:9">
      <c r="A1165" s="15" t="str">
        <f t="shared" si="52"/>
        <v/>
      </c>
      <c r="G1165" s="17" t="str">
        <f t="shared" si="53"/>
        <v/>
      </c>
      <c r="I1165" s="17" t="str">
        <f t="shared" si="54"/>
        <v/>
      </c>
    </row>
    <row r="1166" spans="1:9">
      <c r="A1166" s="15" t="str">
        <f t="shared" si="52"/>
        <v/>
      </c>
      <c r="G1166" s="17" t="str">
        <f t="shared" si="53"/>
        <v/>
      </c>
      <c r="I1166" s="17" t="str">
        <f t="shared" si="54"/>
        <v/>
      </c>
    </row>
    <row r="1167" spans="1:9">
      <c r="A1167" s="15" t="str">
        <f t="shared" si="52"/>
        <v/>
      </c>
      <c r="G1167" s="17" t="str">
        <f t="shared" si="53"/>
        <v/>
      </c>
      <c r="I1167" s="17" t="str">
        <f t="shared" si="54"/>
        <v/>
      </c>
    </row>
    <row r="1168" spans="1:9">
      <c r="A1168" s="15" t="str">
        <f t="shared" si="52"/>
        <v/>
      </c>
      <c r="G1168" s="17" t="str">
        <f t="shared" si="53"/>
        <v/>
      </c>
      <c r="I1168" s="17" t="str">
        <f t="shared" si="54"/>
        <v/>
      </c>
    </row>
    <row r="1169" spans="1:9">
      <c r="A1169" s="15" t="str">
        <f t="shared" si="52"/>
        <v/>
      </c>
      <c r="G1169" s="17" t="str">
        <f t="shared" si="53"/>
        <v/>
      </c>
      <c r="I1169" s="17" t="str">
        <f t="shared" si="54"/>
        <v/>
      </c>
    </row>
    <row r="1170" spans="1:9">
      <c r="A1170" s="15" t="str">
        <f t="shared" si="52"/>
        <v/>
      </c>
      <c r="G1170" s="17" t="str">
        <f t="shared" si="53"/>
        <v/>
      </c>
      <c r="I1170" s="17" t="str">
        <f t="shared" si="54"/>
        <v/>
      </c>
    </row>
    <row r="1171" spans="1:9">
      <c r="A1171" s="15" t="str">
        <f t="shared" si="52"/>
        <v/>
      </c>
      <c r="G1171" s="17" t="str">
        <f t="shared" si="53"/>
        <v/>
      </c>
      <c r="I1171" s="17" t="str">
        <f t="shared" si="54"/>
        <v/>
      </c>
    </row>
    <row r="1172" spans="1:9">
      <c r="A1172" s="15" t="str">
        <f t="shared" si="52"/>
        <v/>
      </c>
      <c r="G1172" s="17" t="str">
        <f t="shared" si="53"/>
        <v/>
      </c>
      <c r="I1172" s="17" t="str">
        <f t="shared" si="54"/>
        <v/>
      </c>
    </row>
    <row r="1173" spans="1:9">
      <c r="A1173" s="15" t="str">
        <f t="shared" si="52"/>
        <v/>
      </c>
      <c r="G1173" s="17" t="str">
        <f t="shared" si="53"/>
        <v/>
      </c>
      <c r="I1173" s="17" t="str">
        <f t="shared" si="54"/>
        <v/>
      </c>
    </row>
    <row r="1174" spans="1:9">
      <c r="A1174" s="15" t="str">
        <f t="shared" si="52"/>
        <v/>
      </c>
      <c r="G1174" s="17" t="str">
        <f t="shared" si="53"/>
        <v/>
      </c>
      <c r="I1174" s="17" t="str">
        <f t="shared" si="54"/>
        <v/>
      </c>
    </row>
    <row r="1175" spans="1:9">
      <c r="A1175" s="15" t="str">
        <f t="shared" si="52"/>
        <v/>
      </c>
      <c r="G1175" s="17" t="str">
        <f t="shared" si="53"/>
        <v/>
      </c>
      <c r="I1175" s="17" t="str">
        <f t="shared" si="54"/>
        <v/>
      </c>
    </row>
    <row r="1176" spans="1:9">
      <c r="A1176" s="15" t="str">
        <f t="shared" ref="A1176:A1239" si="55">IF(B1176&lt;&gt;"",ROW()-2,"")</f>
        <v/>
      </c>
      <c r="G1176" s="17" t="str">
        <f t="shared" si="53"/>
        <v/>
      </c>
      <c r="I1176" s="17" t="str">
        <f t="shared" si="54"/>
        <v/>
      </c>
    </row>
    <row r="1177" spans="1:9">
      <c r="A1177" s="15" t="str">
        <f t="shared" si="55"/>
        <v/>
      </c>
      <c r="G1177" s="17" t="str">
        <f t="shared" si="53"/>
        <v/>
      </c>
      <c r="I1177" s="17" t="str">
        <f t="shared" si="54"/>
        <v/>
      </c>
    </row>
    <row r="1178" spans="1:9">
      <c r="A1178" s="15" t="str">
        <f t="shared" si="55"/>
        <v/>
      </c>
      <c r="G1178" s="17" t="str">
        <f t="shared" si="53"/>
        <v/>
      </c>
      <c r="I1178" s="17" t="str">
        <f t="shared" si="54"/>
        <v/>
      </c>
    </row>
    <row r="1179" spans="1:9">
      <c r="A1179" s="15" t="str">
        <f t="shared" si="55"/>
        <v/>
      </c>
      <c r="G1179" s="17" t="str">
        <f t="shared" si="53"/>
        <v/>
      </c>
      <c r="I1179" s="17" t="str">
        <f t="shared" si="54"/>
        <v/>
      </c>
    </row>
    <row r="1180" spans="1:9">
      <c r="A1180" s="15" t="str">
        <f t="shared" si="55"/>
        <v/>
      </c>
      <c r="G1180" s="17" t="str">
        <f t="shared" si="53"/>
        <v/>
      </c>
      <c r="I1180" s="17" t="str">
        <f t="shared" si="54"/>
        <v/>
      </c>
    </row>
    <row r="1181" spans="1:9">
      <c r="A1181" s="15" t="str">
        <f t="shared" si="55"/>
        <v/>
      </c>
      <c r="G1181" s="17" t="str">
        <f t="shared" si="53"/>
        <v/>
      </c>
      <c r="I1181" s="17" t="str">
        <f t="shared" si="54"/>
        <v/>
      </c>
    </row>
    <row r="1182" spans="1:9">
      <c r="A1182" s="15" t="str">
        <f t="shared" si="55"/>
        <v/>
      </c>
      <c r="G1182" s="17" t="str">
        <f t="shared" si="53"/>
        <v/>
      </c>
      <c r="I1182" s="17" t="str">
        <f t="shared" si="54"/>
        <v/>
      </c>
    </row>
    <row r="1183" spans="1:9">
      <c r="A1183" s="15" t="str">
        <f t="shared" si="55"/>
        <v/>
      </c>
      <c r="G1183" s="17" t="str">
        <f t="shared" si="53"/>
        <v/>
      </c>
      <c r="I1183" s="17" t="str">
        <f t="shared" si="54"/>
        <v/>
      </c>
    </row>
    <row r="1184" spans="1:9">
      <c r="A1184" s="15" t="str">
        <f t="shared" si="55"/>
        <v/>
      </c>
      <c r="G1184" s="17" t="str">
        <f t="shared" si="53"/>
        <v/>
      </c>
      <c r="I1184" s="17" t="str">
        <f t="shared" si="54"/>
        <v/>
      </c>
    </row>
    <row r="1185" spans="1:9">
      <c r="A1185" s="15" t="str">
        <f t="shared" si="55"/>
        <v/>
      </c>
      <c r="G1185" s="17" t="str">
        <f t="shared" si="53"/>
        <v/>
      </c>
      <c r="I1185" s="17" t="str">
        <f t="shared" si="54"/>
        <v/>
      </c>
    </row>
    <row r="1186" spans="1:9">
      <c r="A1186" s="15" t="str">
        <f t="shared" si="55"/>
        <v/>
      </c>
      <c r="G1186" s="17" t="str">
        <f t="shared" si="53"/>
        <v/>
      </c>
      <c r="I1186" s="17" t="str">
        <f t="shared" si="54"/>
        <v/>
      </c>
    </row>
    <row r="1187" spans="1:9">
      <c r="A1187" s="15" t="str">
        <f t="shared" si="55"/>
        <v/>
      </c>
      <c r="G1187" s="17" t="str">
        <f t="shared" si="53"/>
        <v/>
      </c>
      <c r="I1187" s="17" t="str">
        <f t="shared" si="54"/>
        <v/>
      </c>
    </row>
    <row r="1188" spans="1:9">
      <c r="A1188" s="15" t="str">
        <f t="shared" si="55"/>
        <v/>
      </c>
      <c r="G1188" s="17" t="str">
        <f t="shared" si="53"/>
        <v/>
      </c>
      <c r="I1188" s="17" t="str">
        <f t="shared" si="54"/>
        <v/>
      </c>
    </row>
    <row r="1189" spans="1:9">
      <c r="A1189" s="15" t="str">
        <f t="shared" si="55"/>
        <v/>
      </c>
      <c r="G1189" s="17" t="str">
        <f t="shared" si="53"/>
        <v/>
      </c>
      <c r="I1189" s="17" t="str">
        <f t="shared" si="54"/>
        <v/>
      </c>
    </row>
    <row r="1190" spans="1:9">
      <c r="A1190" s="15" t="str">
        <f t="shared" si="55"/>
        <v/>
      </c>
      <c r="G1190" s="17" t="str">
        <f t="shared" si="53"/>
        <v/>
      </c>
      <c r="I1190" s="17" t="str">
        <f t="shared" si="54"/>
        <v/>
      </c>
    </row>
    <row r="1191" spans="1:9">
      <c r="A1191" s="15" t="str">
        <f t="shared" si="55"/>
        <v/>
      </c>
      <c r="G1191" s="17" t="str">
        <f t="shared" si="53"/>
        <v/>
      </c>
      <c r="I1191" s="17" t="str">
        <f t="shared" si="54"/>
        <v/>
      </c>
    </row>
    <row r="1192" spans="1:9">
      <c r="A1192" s="15" t="str">
        <f t="shared" si="55"/>
        <v/>
      </c>
      <c r="G1192" s="17" t="str">
        <f t="shared" si="53"/>
        <v/>
      </c>
      <c r="I1192" s="17" t="str">
        <f t="shared" si="54"/>
        <v/>
      </c>
    </row>
    <row r="1193" spans="1:9">
      <c r="A1193" s="15" t="str">
        <f t="shared" si="55"/>
        <v/>
      </c>
      <c r="G1193" s="17" t="str">
        <f t="shared" si="53"/>
        <v/>
      </c>
      <c r="I1193" s="17" t="str">
        <f t="shared" si="54"/>
        <v/>
      </c>
    </row>
    <row r="1194" spans="1:9">
      <c r="A1194" s="15" t="str">
        <f t="shared" si="55"/>
        <v/>
      </c>
      <c r="G1194" s="17" t="str">
        <f t="shared" si="53"/>
        <v/>
      </c>
      <c r="I1194" s="17" t="str">
        <f t="shared" si="54"/>
        <v/>
      </c>
    </row>
    <row r="1195" spans="1:9">
      <c r="A1195" s="15" t="str">
        <f t="shared" si="55"/>
        <v/>
      </c>
      <c r="G1195" s="17" t="str">
        <f t="shared" si="53"/>
        <v/>
      </c>
      <c r="I1195" s="17" t="str">
        <f t="shared" si="54"/>
        <v/>
      </c>
    </row>
    <row r="1196" spans="1:9">
      <c r="A1196" s="15" t="str">
        <f t="shared" si="55"/>
        <v/>
      </c>
      <c r="G1196" s="17" t="str">
        <f t="shared" si="53"/>
        <v/>
      </c>
      <c r="I1196" s="17" t="str">
        <f t="shared" si="54"/>
        <v/>
      </c>
    </row>
    <row r="1197" spans="1:9">
      <c r="A1197" s="15" t="str">
        <f t="shared" si="55"/>
        <v/>
      </c>
      <c r="G1197" s="17" t="str">
        <f t="shared" si="53"/>
        <v/>
      </c>
      <c r="I1197" s="17" t="str">
        <f t="shared" si="54"/>
        <v/>
      </c>
    </row>
    <row r="1198" spans="1:9">
      <c r="A1198" s="15" t="str">
        <f t="shared" si="55"/>
        <v/>
      </c>
      <c r="G1198" s="17" t="str">
        <f t="shared" si="53"/>
        <v/>
      </c>
      <c r="I1198" s="17" t="str">
        <f t="shared" si="54"/>
        <v/>
      </c>
    </row>
    <row r="1199" spans="1:9">
      <c r="A1199" s="15" t="str">
        <f t="shared" si="55"/>
        <v/>
      </c>
      <c r="G1199" s="17" t="str">
        <f t="shared" ref="G1199:G1262" si="56">IFERROR(VLOOKUP(C1199,$U$3:$W$19,2,),"")</f>
        <v/>
      </c>
      <c r="I1199" s="17" t="str">
        <f t="shared" ref="I1199:I1262" si="57">IFERROR(VLOOKUP(C1199,$U$3:$W$19,3,),"")</f>
        <v/>
      </c>
    </row>
    <row r="1200" spans="1:9">
      <c r="A1200" s="15" t="str">
        <f t="shared" si="55"/>
        <v/>
      </c>
      <c r="G1200" s="17" t="str">
        <f t="shared" si="56"/>
        <v/>
      </c>
      <c r="I1200" s="17" t="str">
        <f t="shared" si="57"/>
        <v/>
      </c>
    </row>
    <row r="1201" spans="1:9">
      <c r="A1201" s="15" t="str">
        <f t="shared" si="55"/>
        <v/>
      </c>
      <c r="G1201" s="17" t="str">
        <f t="shared" si="56"/>
        <v/>
      </c>
      <c r="I1201" s="17" t="str">
        <f t="shared" si="57"/>
        <v/>
      </c>
    </row>
    <row r="1202" spans="1:9">
      <c r="A1202" s="15" t="str">
        <f t="shared" si="55"/>
        <v/>
      </c>
      <c r="G1202" s="17" t="str">
        <f t="shared" si="56"/>
        <v/>
      </c>
      <c r="I1202" s="17" t="str">
        <f t="shared" si="57"/>
        <v/>
      </c>
    </row>
    <row r="1203" spans="1:9">
      <c r="A1203" s="15" t="str">
        <f t="shared" si="55"/>
        <v/>
      </c>
      <c r="G1203" s="17" t="str">
        <f t="shared" si="56"/>
        <v/>
      </c>
      <c r="I1203" s="17" t="str">
        <f t="shared" si="57"/>
        <v/>
      </c>
    </row>
    <row r="1204" spans="1:9">
      <c r="A1204" s="15" t="str">
        <f t="shared" si="55"/>
        <v/>
      </c>
      <c r="G1204" s="17" t="str">
        <f t="shared" si="56"/>
        <v/>
      </c>
      <c r="I1204" s="17" t="str">
        <f t="shared" si="57"/>
        <v/>
      </c>
    </row>
    <row r="1205" spans="1:9">
      <c r="A1205" s="15" t="str">
        <f t="shared" si="55"/>
        <v/>
      </c>
      <c r="G1205" s="17" t="str">
        <f t="shared" si="56"/>
        <v/>
      </c>
      <c r="I1205" s="17" t="str">
        <f t="shared" si="57"/>
        <v/>
      </c>
    </row>
    <row r="1206" spans="1:9">
      <c r="A1206" s="15" t="str">
        <f t="shared" si="55"/>
        <v/>
      </c>
      <c r="G1206" s="17" t="str">
        <f t="shared" si="56"/>
        <v/>
      </c>
      <c r="I1206" s="17" t="str">
        <f t="shared" si="57"/>
        <v/>
      </c>
    </row>
    <row r="1207" spans="1:9">
      <c r="A1207" s="15" t="str">
        <f t="shared" si="55"/>
        <v/>
      </c>
      <c r="G1207" s="17" t="str">
        <f t="shared" si="56"/>
        <v/>
      </c>
      <c r="I1207" s="17" t="str">
        <f t="shared" si="57"/>
        <v/>
      </c>
    </row>
    <row r="1208" spans="1:9">
      <c r="A1208" s="15" t="str">
        <f t="shared" si="55"/>
        <v/>
      </c>
      <c r="G1208" s="17" t="str">
        <f t="shared" si="56"/>
        <v/>
      </c>
      <c r="I1208" s="17" t="str">
        <f t="shared" si="57"/>
        <v/>
      </c>
    </row>
    <row r="1209" spans="1:9">
      <c r="A1209" s="15" t="str">
        <f t="shared" si="55"/>
        <v/>
      </c>
      <c r="G1209" s="17" t="str">
        <f t="shared" si="56"/>
        <v/>
      </c>
      <c r="I1209" s="17" t="str">
        <f t="shared" si="57"/>
        <v/>
      </c>
    </row>
    <row r="1210" spans="1:9">
      <c r="A1210" s="15" t="str">
        <f t="shared" si="55"/>
        <v/>
      </c>
      <c r="G1210" s="17" t="str">
        <f t="shared" si="56"/>
        <v/>
      </c>
      <c r="I1210" s="17" t="str">
        <f t="shared" si="57"/>
        <v/>
      </c>
    </row>
    <row r="1211" spans="1:9">
      <c r="A1211" s="15" t="str">
        <f t="shared" si="55"/>
        <v/>
      </c>
      <c r="G1211" s="17" t="str">
        <f t="shared" si="56"/>
        <v/>
      </c>
      <c r="I1211" s="17" t="str">
        <f t="shared" si="57"/>
        <v/>
      </c>
    </row>
    <row r="1212" spans="1:9">
      <c r="A1212" s="15" t="str">
        <f t="shared" si="55"/>
        <v/>
      </c>
      <c r="G1212" s="17" t="str">
        <f t="shared" si="56"/>
        <v/>
      </c>
      <c r="I1212" s="17" t="str">
        <f t="shared" si="57"/>
        <v/>
      </c>
    </row>
    <row r="1213" spans="1:9">
      <c r="A1213" s="15" t="str">
        <f t="shared" si="55"/>
        <v/>
      </c>
      <c r="G1213" s="17" t="str">
        <f t="shared" si="56"/>
        <v/>
      </c>
      <c r="I1213" s="17" t="str">
        <f t="shared" si="57"/>
        <v/>
      </c>
    </row>
    <row r="1214" spans="1:9">
      <c r="A1214" s="15" t="str">
        <f t="shared" si="55"/>
        <v/>
      </c>
      <c r="G1214" s="17" t="str">
        <f t="shared" si="56"/>
        <v/>
      </c>
      <c r="I1214" s="17" t="str">
        <f t="shared" si="57"/>
        <v/>
      </c>
    </row>
    <row r="1215" spans="1:9">
      <c r="A1215" s="15" t="str">
        <f t="shared" si="55"/>
        <v/>
      </c>
      <c r="G1215" s="17" t="str">
        <f t="shared" si="56"/>
        <v/>
      </c>
      <c r="I1215" s="17" t="str">
        <f t="shared" si="57"/>
        <v/>
      </c>
    </row>
    <row r="1216" spans="1:9">
      <c r="A1216" s="15" t="str">
        <f t="shared" si="55"/>
        <v/>
      </c>
      <c r="G1216" s="17" t="str">
        <f t="shared" si="56"/>
        <v/>
      </c>
      <c r="I1216" s="17" t="str">
        <f t="shared" si="57"/>
        <v/>
      </c>
    </row>
    <row r="1217" spans="1:9">
      <c r="A1217" s="15" t="str">
        <f t="shared" si="55"/>
        <v/>
      </c>
      <c r="G1217" s="17" t="str">
        <f t="shared" si="56"/>
        <v/>
      </c>
      <c r="I1217" s="17" t="str">
        <f t="shared" si="57"/>
        <v/>
      </c>
    </row>
    <row r="1218" spans="1:9">
      <c r="A1218" s="15" t="str">
        <f t="shared" si="55"/>
        <v/>
      </c>
      <c r="G1218" s="17" t="str">
        <f t="shared" si="56"/>
        <v/>
      </c>
      <c r="I1218" s="17" t="str">
        <f t="shared" si="57"/>
        <v/>
      </c>
    </row>
    <row r="1219" spans="1:9">
      <c r="A1219" s="15" t="str">
        <f t="shared" si="55"/>
        <v/>
      </c>
      <c r="G1219" s="17" t="str">
        <f t="shared" si="56"/>
        <v/>
      </c>
      <c r="I1219" s="17" t="str">
        <f t="shared" si="57"/>
        <v/>
      </c>
    </row>
    <row r="1220" spans="1:9">
      <c r="A1220" s="15" t="str">
        <f t="shared" si="55"/>
        <v/>
      </c>
      <c r="G1220" s="17" t="str">
        <f t="shared" si="56"/>
        <v/>
      </c>
      <c r="I1220" s="17" t="str">
        <f t="shared" si="57"/>
        <v/>
      </c>
    </row>
    <row r="1221" spans="1:9">
      <c r="A1221" s="15" t="str">
        <f t="shared" si="55"/>
        <v/>
      </c>
      <c r="G1221" s="17" t="str">
        <f t="shared" si="56"/>
        <v/>
      </c>
      <c r="I1221" s="17" t="str">
        <f t="shared" si="57"/>
        <v/>
      </c>
    </row>
    <row r="1222" spans="1:9">
      <c r="A1222" s="15" t="str">
        <f t="shared" si="55"/>
        <v/>
      </c>
      <c r="G1222" s="17" t="str">
        <f t="shared" si="56"/>
        <v/>
      </c>
      <c r="I1222" s="17" t="str">
        <f t="shared" si="57"/>
        <v/>
      </c>
    </row>
    <row r="1223" spans="1:9">
      <c r="A1223" s="15" t="str">
        <f t="shared" si="55"/>
        <v/>
      </c>
      <c r="G1223" s="17" t="str">
        <f t="shared" si="56"/>
        <v/>
      </c>
      <c r="I1223" s="17" t="str">
        <f t="shared" si="57"/>
        <v/>
      </c>
    </row>
    <row r="1224" spans="1:9">
      <c r="A1224" s="15" t="str">
        <f t="shared" si="55"/>
        <v/>
      </c>
      <c r="G1224" s="17" t="str">
        <f t="shared" si="56"/>
        <v/>
      </c>
      <c r="I1224" s="17" t="str">
        <f t="shared" si="57"/>
        <v/>
      </c>
    </row>
    <row r="1225" spans="1:9">
      <c r="A1225" s="15" t="str">
        <f t="shared" si="55"/>
        <v/>
      </c>
      <c r="G1225" s="17" t="str">
        <f t="shared" si="56"/>
        <v/>
      </c>
      <c r="I1225" s="17" t="str">
        <f t="shared" si="57"/>
        <v/>
      </c>
    </row>
    <row r="1226" spans="1:9">
      <c r="A1226" s="15" t="str">
        <f t="shared" si="55"/>
        <v/>
      </c>
      <c r="G1226" s="17" t="str">
        <f t="shared" si="56"/>
        <v/>
      </c>
      <c r="I1226" s="17" t="str">
        <f t="shared" si="57"/>
        <v/>
      </c>
    </row>
    <row r="1227" spans="1:9">
      <c r="A1227" s="15" t="str">
        <f t="shared" si="55"/>
        <v/>
      </c>
      <c r="G1227" s="17" t="str">
        <f t="shared" si="56"/>
        <v/>
      </c>
      <c r="I1227" s="17" t="str">
        <f t="shared" si="57"/>
        <v/>
      </c>
    </row>
    <row r="1228" spans="1:9">
      <c r="A1228" s="15" t="str">
        <f t="shared" si="55"/>
        <v/>
      </c>
      <c r="G1228" s="17" t="str">
        <f t="shared" si="56"/>
        <v/>
      </c>
      <c r="I1228" s="17" t="str">
        <f t="shared" si="57"/>
        <v/>
      </c>
    </row>
    <row r="1229" spans="1:9">
      <c r="A1229" s="15" t="str">
        <f t="shared" si="55"/>
        <v/>
      </c>
      <c r="G1229" s="17" t="str">
        <f t="shared" si="56"/>
        <v/>
      </c>
      <c r="I1229" s="17" t="str">
        <f t="shared" si="57"/>
        <v/>
      </c>
    </row>
    <row r="1230" spans="1:9">
      <c r="A1230" s="15" t="str">
        <f t="shared" si="55"/>
        <v/>
      </c>
      <c r="G1230" s="17" t="str">
        <f t="shared" si="56"/>
        <v/>
      </c>
      <c r="I1230" s="17" t="str">
        <f t="shared" si="57"/>
        <v/>
      </c>
    </row>
    <row r="1231" spans="1:9">
      <c r="A1231" s="15" t="str">
        <f t="shared" si="55"/>
        <v/>
      </c>
      <c r="G1231" s="17" t="str">
        <f t="shared" si="56"/>
        <v/>
      </c>
      <c r="I1231" s="17" t="str">
        <f t="shared" si="57"/>
        <v/>
      </c>
    </row>
    <row r="1232" spans="1:9">
      <c r="A1232" s="15" t="str">
        <f t="shared" si="55"/>
        <v/>
      </c>
      <c r="G1232" s="17" t="str">
        <f t="shared" si="56"/>
        <v/>
      </c>
      <c r="I1232" s="17" t="str">
        <f t="shared" si="57"/>
        <v/>
      </c>
    </row>
    <row r="1233" spans="1:9">
      <c r="A1233" s="15" t="str">
        <f t="shared" si="55"/>
        <v/>
      </c>
      <c r="G1233" s="17" t="str">
        <f t="shared" si="56"/>
        <v/>
      </c>
      <c r="I1233" s="17" t="str">
        <f t="shared" si="57"/>
        <v/>
      </c>
    </row>
    <row r="1234" spans="1:9">
      <c r="A1234" s="15" t="str">
        <f t="shared" si="55"/>
        <v/>
      </c>
      <c r="G1234" s="17" t="str">
        <f t="shared" si="56"/>
        <v/>
      </c>
      <c r="I1234" s="17" t="str">
        <f t="shared" si="57"/>
        <v/>
      </c>
    </row>
    <row r="1235" spans="1:9">
      <c r="A1235" s="15" t="str">
        <f t="shared" si="55"/>
        <v/>
      </c>
      <c r="G1235" s="17" t="str">
        <f t="shared" si="56"/>
        <v/>
      </c>
      <c r="I1235" s="17" t="str">
        <f t="shared" si="57"/>
        <v/>
      </c>
    </row>
    <row r="1236" spans="1:9">
      <c r="A1236" s="15" t="str">
        <f t="shared" si="55"/>
        <v/>
      </c>
      <c r="G1236" s="17" t="str">
        <f t="shared" si="56"/>
        <v/>
      </c>
      <c r="I1236" s="17" t="str">
        <f t="shared" si="57"/>
        <v/>
      </c>
    </row>
    <row r="1237" spans="1:9">
      <c r="A1237" s="15" t="str">
        <f t="shared" si="55"/>
        <v/>
      </c>
      <c r="G1237" s="17" t="str">
        <f t="shared" si="56"/>
        <v/>
      </c>
      <c r="I1237" s="17" t="str">
        <f t="shared" si="57"/>
        <v/>
      </c>
    </row>
    <row r="1238" spans="1:9">
      <c r="A1238" s="15" t="str">
        <f t="shared" si="55"/>
        <v/>
      </c>
      <c r="G1238" s="17" t="str">
        <f t="shared" si="56"/>
        <v/>
      </c>
      <c r="I1238" s="17" t="str">
        <f t="shared" si="57"/>
        <v/>
      </c>
    </row>
    <row r="1239" spans="1:9">
      <c r="A1239" s="15" t="str">
        <f t="shared" si="55"/>
        <v/>
      </c>
      <c r="G1239" s="17" t="str">
        <f t="shared" si="56"/>
        <v/>
      </c>
      <c r="I1239" s="17" t="str">
        <f t="shared" si="57"/>
        <v/>
      </c>
    </row>
    <row r="1240" spans="1:9">
      <c r="A1240" s="15" t="str">
        <f t="shared" ref="A1240:A1303" si="58">IF(B1240&lt;&gt;"",ROW()-2,"")</f>
        <v/>
      </c>
      <c r="G1240" s="17" t="str">
        <f t="shared" si="56"/>
        <v/>
      </c>
      <c r="I1240" s="17" t="str">
        <f t="shared" si="57"/>
        <v/>
      </c>
    </row>
    <row r="1241" spans="1:9">
      <c r="A1241" s="15" t="str">
        <f t="shared" si="58"/>
        <v/>
      </c>
      <c r="G1241" s="17" t="str">
        <f t="shared" si="56"/>
        <v/>
      </c>
      <c r="I1241" s="17" t="str">
        <f t="shared" si="57"/>
        <v/>
      </c>
    </row>
    <row r="1242" spans="1:9">
      <c r="A1242" s="15" t="str">
        <f t="shared" si="58"/>
        <v/>
      </c>
      <c r="G1242" s="17" t="str">
        <f t="shared" si="56"/>
        <v/>
      </c>
      <c r="I1242" s="17" t="str">
        <f t="shared" si="57"/>
        <v/>
      </c>
    </row>
    <row r="1243" spans="1:9">
      <c r="A1243" s="15" t="str">
        <f t="shared" si="58"/>
        <v/>
      </c>
      <c r="G1243" s="17" t="str">
        <f t="shared" si="56"/>
        <v/>
      </c>
      <c r="I1243" s="17" t="str">
        <f t="shared" si="57"/>
        <v/>
      </c>
    </row>
    <row r="1244" spans="1:9">
      <c r="A1244" s="15" t="str">
        <f t="shared" si="58"/>
        <v/>
      </c>
      <c r="G1244" s="17" t="str">
        <f t="shared" si="56"/>
        <v/>
      </c>
      <c r="I1244" s="17" t="str">
        <f t="shared" si="57"/>
        <v/>
      </c>
    </row>
    <row r="1245" spans="1:9">
      <c r="A1245" s="15" t="str">
        <f t="shared" si="58"/>
        <v/>
      </c>
      <c r="G1245" s="17" t="str">
        <f t="shared" si="56"/>
        <v/>
      </c>
      <c r="I1245" s="17" t="str">
        <f t="shared" si="57"/>
        <v/>
      </c>
    </row>
    <row r="1246" spans="1:9">
      <c r="A1246" s="15" t="str">
        <f t="shared" si="58"/>
        <v/>
      </c>
      <c r="G1246" s="17" t="str">
        <f t="shared" si="56"/>
        <v/>
      </c>
      <c r="I1246" s="17" t="str">
        <f t="shared" si="57"/>
        <v/>
      </c>
    </row>
    <row r="1247" spans="1:9">
      <c r="A1247" s="15" t="str">
        <f t="shared" si="58"/>
        <v/>
      </c>
      <c r="G1247" s="17" t="str">
        <f t="shared" si="56"/>
        <v/>
      </c>
      <c r="I1247" s="17" t="str">
        <f t="shared" si="57"/>
        <v/>
      </c>
    </row>
    <row r="1248" spans="1:9">
      <c r="A1248" s="15" t="str">
        <f t="shared" si="58"/>
        <v/>
      </c>
      <c r="G1248" s="17" t="str">
        <f t="shared" si="56"/>
        <v/>
      </c>
      <c r="I1248" s="17" t="str">
        <f t="shared" si="57"/>
        <v/>
      </c>
    </row>
    <row r="1249" spans="1:9">
      <c r="A1249" s="15" t="str">
        <f t="shared" si="58"/>
        <v/>
      </c>
      <c r="G1249" s="17" t="str">
        <f t="shared" si="56"/>
        <v/>
      </c>
      <c r="I1249" s="17" t="str">
        <f t="shared" si="57"/>
        <v/>
      </c>
    </row>
    <row r="1250" spans="1:9">
      <c r="A1250" s="15" t="str">
        <f t="shared" si="58"/>
        <v/>
      </c>
      <c r="G1250" s="17" t="str">
        <f t="shared" si="56"/>
        <v/>
      </c>
      <c r="I1250" s="17" t="str">
        <f t="shared" si="57"/>
        <v/>
      </c>
    </row>
    <row r="1251" spans="1:9">
      <c r="A1251" s="15" t="str">
        <f t="shared" si="58"/>
        <v/>
      </c>
      <c r="G1251" s="17" t="str">
        <f t="shared" si="56"/>
        <v/>
      </c>
      <c r="I1251" s="17" t="str">
        <f t="shared" si="57"/>
        <v/>
      </c>
    </row>
    <row r="1252" spans="1:9">
      <c r="A1252" s="15" t="str">
        <f t="shared" si="58"/>
        <v/>
      </c>
      <c r="G1252" s="17" t="str">
        <f t="shared" si="56"/>
        <v/>
      </c>
      <c r="I1252" s="17" t="str">
        <f t="shared" si="57"/>
        <v/>
      </c>
    </row>
    <row r="1253" spans="1:9">
      <c r="A1253" s="15" t="str">
        <f t="shared" si="58"/>
        <v/>
      </c>
      <c r="G1253" s="17" t="str">
        <f t="shared" si="56"/>
        <v/>
      </c>
      <c r="I1253" s="17" t="str">
        <f t="shared" si="57"/>
        <v/>
      </c>
    </row>
    <row r="1254" spans="1:9">
      <c r="A1254" s="15" t="str">
        <f t="shared" si="58"/>
        <v/>
      </c>
      <c r="G1254" s="17" t="str">
        <f t="shared" si="56"/>
        <v/>
      </c>
      <c r="I1254" s="17" t="str">
        <f t="shared" si="57"/>
        <v/>
      </c>
    </row>
    <row r="1255" spans="1:9">
      <c r="A1255" s="15" t="str">
        <f t="shared" si="58"/>
        <v/>
      </c>
      <c r="G1255" s="17" t="str">
        <f t="shared" si="56"/>
        <v/>
      </c>
      <c r="I1255" s="17" t="str">
        <f t="shared" si="57"/>
        <v/>
      </c>
    </row>
    <row r="1256" spans="1:9">
      <c r="A1256" s="15" t="str">
        <f t="shared" si="58"/>
        <v/>
      </c>
      <c r="G1256" s="17" t="str">
        <f t="shared" si="56"/>
        <v/>
      </c>
      <c r="I1256" s="17" t="str">
        <f t="shared" si="57"/>
        <v/>
      </c>
    </row>
    <row r="1257" spans="1:9">
      <c r="A1257" s="15" t="str">
        <f t="shared" si="58"/>
        <v/>
      </c>
      <c r="G1257" s="17" t="str">
        <f t="shared" si="56"/>
        <v/>
      </c>
      <c r="I1257" s="17" t="str">
        <f t="shared" si="57"/>
        <v/>
      </c>
    </row>
    <row r="1258" spans="1:9">
      <c r="A1258" s="15" t="str">
        <f t="shared" si="58"/>
        <v/>
      </c>
      <c r="G1258" s="17" t="str">
        <f t="shared" si="56"/>
        <v/>
      </c>
      <c r="I1258" s="17" t="str">
        <f t="shared" si="57"/>
        <v/>
      </c>
    </row>
    <row r="1259" spans="1:9">
      <c r="A1259" s="15" t="str">
        <f t="shared" si="58"/>
        <v/>
      </c>
      <c r="G1259" s="17" t="str">
        <f t="shared" si="56"/>
        <v/>
      </c>
      <c r="I1259" s="17" t="str">
        <f t="shared" si="57"/>
        <v/>
      </c>
    </row>
    <row r="1260" spans="1:9">
      <c r="A1260" s="15" t="str">
        <f t="shared" si="58"/>
        <v/>
      </c>
      <c r="G1260" s="17" t="str">
        <f t="shared" si="56"/>
        <v/>
      </c>
      <c r="I1260" s="17" t="str">
        <f t="shared" si="57"/>
        <v/>
      </c>
    </row>
    <row r="1261" spans="1:9">
      <c r="A1261" s="15" t="str">
        <f t="shared" si="58"/>
        <v/>
      </c>
      <c r="G1261" s="17" t="str">
        <f t="shared" si="56"/>
        <v/>
      </c>
      <c r="I1261" s="17" t="str">
        <f t="shared" si="57"/>
        <v/>
      </c>
    </row>
    <row r="1262" spans="1:9">
      <c r="A1262" s="15" t="str">
        <f t="shared" si="58"/>
        <v/>
      </c>
      <c r="G1262" s="17" t="str">
        <f t="shared" si="56"/>
        <v/>
      </c>
      <c r="I1262" s="17" t="str">
        <f t="shared" si="57"/>
        <v/>
      </c>
    </row>
    <row r="1263" spans="1:9">
      <c r="A1263" s="15" t="str">
        <f t="shared" si="58"/>
        <v/>
      </c>
      <c r="G1263" s="17" t="str">
        <f t="shared" ref="G1263:G1326" si="59">IFERROR(VLOOKUP(C1263,$U$3:$W$19,2,),"")</f>
        <v/>
      </c>
      <c r="I1263" s="17" t="str">
        <f t="shared" ref="I1263:I1326" si="60">IFERROR(VLOOKUP(C1263,$U$3:$W$19,3,),"")</f>
        <v/>
      </c>
    </row>
    <row r="1264" spans="1:9">
      <c r="A1264" s="15" t="str">
        <f t="shared" si="58"/>
        <v/>
      </c>
      <c r="G1264" s="17" t="str">
        <f t="shared" si="59"/>
        <v/>
      </c>
      <c r="I1264" s="17" t="str">
        <f t="shared" si="60"/>
        <v/>
      </c>
    </row>
    <row r="1265" spans="1:9">
      <c r="A1265" s="15" t="str">
        <f t="shared" si="58"/>
        <v/>
      </c>
      <c r="G1265" s="17" t="str">
        <f t="shared" si="59"/>
        <v/>
      </c>
      <c r="I1265" s="17" t="str">
        <f t="shared" si="60"/>
        <v/>
      </c>
    </row>
    <row r="1266" spans="1:9">
      <c r="A1266" s="15" t="str">
        <f t="shared" si="58"/>
        <v/>
      </c>
      <c r="G1266" s="17" t="str">
        <f t="shared" si="59"/>
        <v/>
      </c>
      <c r="I1266" s="17" t="str">
        <f t="shared" si="60"/>
        <v/>
      </c>
    </row>
    <row r="1267" spans="1:9">
      <c r="A1267" s="15" t="str">
        <f t="shared" si="58"/>
        <v/>
      </c>
      <c r="G1267" s="17" t="str">
        <f t="shared" si="59"/>
        <v/>
      </c>
      <c r="I1267" s="17" t="str">
        <f t="shared" si="60"/>
        <v/>
      </c>
    </row>
    <row r="1268" spans="1:9">
      <c r="A1268" s="15" t="str">
        <f t="shared" si="58"/>
        <v/>
      </c>
      <c r="G1268" s="17" t="str">
        <f t="shared" si="59"/>
        <v/>
      </c>
      <c r="I1268" s="17" t="str">
        <f t="shared" si="60"/>
        <v/>
      </c>
    </row>
    <row r="1269" spans="1:9">
      <c r="A1269" s="15" t="str">
        <f t="shared" si="58"/>
        <v/>
      </c>
      <c r="G1269" s="17" t="str">
        <f t="shared" si="59"/>
        <v/>
      </c>
      <c r="I1269" s="17" t="str">
        <f t="shared" si="60"/>
        <v/>
      </c>
    </row>
    <row r="1270" spans="1:9">
      <c r="A1270" s="15" t="str">
        <f t="shared" si="58"/>
        <v/>
      </c>
      <c r="G1270" s="17" t="str">
        <f t="shared" si="59"/>
        <v/>
      </c>
      <c r="I1270" s="17" t="str">
        <f t="shared" si="60"/>
        <v/>
      </c>
    </row>
    <row r="1271" spans="1:9">
      <c r="A1271" s="15" t="str">
        <f t="shared" si="58"/>
        <v/>
      </c>
      <c r="G1271" s="17" t="str">
        <f t="shared" si="59"/>
        <v/>
      </c>
      <c r="I1271" s="17" t="str">
        <f t="shared" si="60"/>
        <v/>
      </c>
    </row>
    <row r="1272" spans="1:9">
      <c r="A1272" s="15" t="str">
        <f t="shared" si="58"/>
        <v/>
      </c>
      <c r="G1272" s="17" t="str">
        <f t="shared" si="59"/>
        <v/>
      </c>
      <c r="I1272" s="17" t="str">
        <f t="shared" si="60"/>
        <v/>
      </c>
    </row>
    <row r="1273" spans="1:9">
      <c r="A1273" s="15" t="str">
        <f t="shared" si="58"/>
        <v/>
      </c>
      <c r="G1273" s="17" t="str">
        <f t="shared" si="59"/>
        <v/>
      </c>
      <c r="I1273" s="17" t="str">
        <f t="shared" si="60"/>
        <v/>
      </c>
    </row>
    <row r="1274" spans="1:9">
      <c r="A1274" s="15" t="str">
        <f t="shared" si="58"/>
        <v/>
      </c>
      <c r="G1274" s="17" t="str">
        <f t="shared" si="59"/>
        <v/>
      </c>
      <c r="I1274" s="17" t="str">
        <f t="shared" si="60"/>
        <v/>
      </c>
    </row>
    <row r="1275" spans="1:9">
      <c r="A1275" s="15" t="str">
        <f t="shared" si="58"/>
        <v/>
      </c>
      <c r="G1275" s="17" t="str">
        <f t="shared" si="59"/>
        <v/>
      </c>
      <c r="I1275" s="17" t="str">
        <f t="shared" si="60"/>
        <v/>
      </c>
    </row>
    <row r="1276" spans="1:9">
      <c r="A1276" s="15" t="str">
        <f t="shared" si="58"/>
        <v/>
      </c>
      <c r="G1276" s="17" t="str">
        <f t="shared" si="59"/>
        <v/>
      </c>
      <c r="I1276" s="17" t="str">
        <f t="shared" si="60"/>
        <v/>
      </c>
    </row>
    <row r="1277" spans="1:9">
      <c r="A1277" s="15" t="str">
        <f t="shared" si="58"/>
        <v/>
      </c>
      <c r="G1277" s="17" t="str">
        <f t="shared" si="59"/>
        <v/>
      </c>
      <c r="I1277" s="17" t="str">
        <f t="shared" si="60"/>
        <v/>
      </c>
    </row>
    <row r="1278" spans="1:9">
      <c r="A1278" s="15" t="str">
        <f t="shared" si="58"/>
        <v/>
      </c>
      <c r="G1278" s="17" t="str">
        <f t="shared" si="59"/>
        <v/>
      </c>
      <c r="I1278" s="17" t="str">
        <f t="shared" si="60"/>
        <v/>
      </c>
    </row>
    <row r="1279" spans="1:9">
      <c r="A1279" s="15" t="str">
        <f t="shared" si="58"/>
        <v/>
      </c>
      <c r="G1279" s="17" t="str">
        <f t="shared" si="59"/>
        <v/>
      </c>
      <c r="I1279" s="17" t="str">
        <f t="shared" si="60"/>
        <v/>
      </c>
    </row>
    <row r="1280" spans="1:9">
      <c r="A1280" s="15" t="str">
        <f t="shared" si="58"/>
        <v/>
      </c>
      <c r="G1280" s="17" t="str">
        <f t="shared" si="59"/>
        <v/>
      </c>
      <c r="I1280" s="17" t="str">
        <f t="shared" si="60"/>
        <v/>
      </c>
    </row>
    <row r="1281" spans="1:9">
      <c r="A1281" s="15" t="str">
        <f t="shared" si="58"/>
        <v/>
      </c>
      <c r="G1281" s="17" t="str">
        <f t="shared" si="59"/>
        <v/>
      </c>
      <c r="I1281" s="17" t="str">
        <f t="shared" si="60"/>
        <v/>
      </c>
    </row>
    <row r="1282" spans="1:9">
      <c r="A1282" s="15" t="str">
        <f t="shared" si="58"/>
        <v/>
      </c>
      <c r="G1282" s="17" t="str">
        <f t="shared" si="59"/>
        <v/>
      </c>
      <c r="I1282" s="17" t="str">
        <f t="shared" si="60"/>
        <v/>
      </c>
    </row>
    <row r="1283" spans="1:9">
      <c r="A1283" s="15" t="str">
        <f t="shared" si="58"/>
        <v/>
      </c>
      <c r="G1283" s="17" t="str">
        <f t="shared" si="59"/>
        <v/>
      </c>
      <c r="I1283" s="17" t="str">
        <f t="shared" si="60"/>
        <v/>
      </c>
    </row>
    <row r="1284" spans="1:9">
      <c r="A1284" s="15" t="str">
        <f t="shared" si="58"/>
        <v/>
      </c>
      <c r="G1284" s="17" t="str">
        <f t="shared" si="59"/>
        <v/>
      </c>
      <c r="I1284" s="17" t="str">
        <f t="shared" si="60"/>
        <v/>
      </c>
    </row>
    <row r="1285" spans="1:9">
      <c r="A1285" s="15" t="str">
        <f t="shared" si="58"/>
        <v/>
      </c>
      <c r="G1285" s="17" t="str">
        <f t="shared" si="59"/>
        <v/>
      </c>
      <c r="I1285" s="17" t="str">
        <f t="shared" si="60"/>
        <v/>
      </c>
    </row>
    <row r="1286" spans="1:9">
      <c r="A1286" s="15" t="str">
        <f t="shared" si="58"/>
        <v/>
      </c>
      <c r="G1286" s="17" t="str">
        <f t="shared" si="59"/>
        <v/>
      </c>
      <c r="I1286" s="17" t="str">
        <f t="shared" si="60"/>
        <v/>
      </c>
    </row>
    <row r="1287" spans="1:9">
      <c r="A1287" s="15" t="str">
        <f t="shared" si="58"/>
        <v/>
      </c>
      <c r="G1287" s="17" t="str">
        <f t="shared" si="59"/>
        <v/>
      </c>
      <c r="I1287" s="17" t="str">
        <f t="shared" si="60"/>
        <v/>
      </c>
    </row>
    <row r="1288" spans="1:9">
      <c r="A1288" s="15" t="str">
        <f t="shared" si="58"/>
        <v/>
      </c>
      <c r="G1288" s="17" t="str">
        <f t="shared" si="59"/>
        <v/>
      </c>
      <c r="I1288" s="17" t="str">
        <f t="shared" si="60"/>
        <v/>
      </c>
    </row>
    <row r="1289" spans="1:9">
      <c r="A1289" s="15" t="str">
        <f t="shared" si="58"/>
        <v/>
      </c>
      <c r="G1289" s="17" t="str">
        <f t="shared" si="59"/>
        <v/>
      </c>
      <c r="I1289" s="17" t="str">
        <f t="shared" si="60"/>
        <v/>
      </c>
    </row>
    <row r="1290" spans="1:9">
      <c r="A1290" s="15" t="str">
        <f t="shared" si="58"/>
        <v/>
      </c>
      <c r="G1290" s="17" t="str">
        <f t="shared" si="59"/>
        <v/>
      </c>
      <c r="I1290" s="17" t="str">
        <f t="shared" si="60"/>
        <v/>
      </c>
    </row>
    <row r="1291" spans="1:9">
      <c r="A1291" s="15" t="str">
        <f t="shared" si="58"/>
        <v/>
      </c>
      <c r="G1291" s="17" t="str">
        <f t="shared" si="59"/>
        <v/>
      </c>
      <c r="I1291" s="17" t="str">
        <f t="shared" si="60"/>
        <v/>
      </c>
    </row>
    <row r="1292" spans="1:9">
      <c r="A1292" s="15" t="str">
        <f t="shared" si="58"/>
        <v/>
      </c>
      <c r="G1292" s="17" t="str">
        <f t="shared" si="59"/>
        <v/>
      </c>
      <c r="I1292" s="17" t="str">
        <f t="shared" si="60"/>
        <v/>
      </c>
    </row>
    <row r="1293" spans="1:9">
      <c r="A1293" s="15" t="str">
        <f t="shared" si="58"/>
        <v/>
      </c>
      <c r="G1293" s="17" t="str">
        <f t="shared" si="59"/>
        <v/>
      </c>
      <c r="I1293" s="17" t="str">
        <f t="shared" si="60"/>
        <v/>
      </c>
    </row>
    <row r="1294" spans="1:9">
      <c r="A1294" s="15" t="str">
        <f t="shared" si="58"/>
        <v/>
      </c>
      <c r="G1294" s="17" t="str">
        <f t="shared" si="59"/>
        <v/>
      </c>
      <c r="I1294" s="17" t="str">
        <f t="shared" si="60"/>
        <v/>
      </c>
    </row>
    <row r="1295" spans="1:9">
      <c r="A1295" s="15" t="str">
        <f t="shared" si="58"/>
        <v/>
      </c>
      <c r="G1295" s="17" t="str">
        <f t="shared" si="59"/>
        <v/>
      </c>
      <c r="I1295" s="17" t="str">
        <f t="shared" si="60"/>
        <v/>
      </c>
    </row>
    <row r="1296" spans="1:9">
      <c r="A1296" s="15" t="str">
        <f t="shared" si="58"/>
        <v/>
      </c>
      <c r="G1296" s="17" t="str">
        <f t="shared" si="59"/>
        <v/>
      </c>
      <c r="I1296" s="17" t="str">
        <f t="shared" si="60"/>
        <v/>
      </c>
    </row>
    <row r="1297" spans="1:9">
      <c r="A1297" s="15" t="str">
        <f t="shared" si="58"/>
        <v/>
      </c>
      <c r="G1297" s="17" t="str">
        <f t="shared" si="59"/>
        <v/>
      </c>
      <c r="I1297" s="17" t="str">
        <f t="shared" si="60"/>
        <v/>
      </c>
    </row>
    <row r="1298" spans="1:9">
      <c r="A1298" s="15" t="str">
        <f t="shared" si="58"/>
        <v/>
      </c>
      <c r="G1298" s="17" t="str">
        <f t="shared" si="59"/>
        <v/>
      </c>
      <c r="I1298" s="17" t="str">
        <f t="shared" si="60"/>
        <v/>
      </c>
    </row>
    <row r="1299" spans="1:9">
      <c r="A1299" s="15" t="str">
        <f t="shared" si="58"/>
        <v/>
      </c>
      <c r="G1299" s="17" t="str">
        <f t="shared" si="59"/>
        <v/>
      </c>
      <c r="I1299" s="17" t="str">
        <f t="shared" si="60"/>
        <v/>
      </c>
    </row>
    <row r="1300" spans="1:9">
      <c r="A1300" s="15" t="str">
        <f t="shared" si="58"/>
        <v/>
      </c>
      <c r="G1300" s="17" t="str">
        <f t="shared" si="59"/>
        <v/>
      </c>
      <c r="I1300" s="17" t="str">
        <f t="shared" si="60"/>
        <v/>
      </c>
    </row>
    <row r="1301" spans="1:9">
      <c r="A1301" s="15" t="str">
        <f t="shared" si="58"/>
        <v/>
      </c>
      <c r="G1301" s="17" t="str">
        <f t="shared" si="59"/>
        <v/>
      </c>
      <c r="I1301" s="17" t="str">
        <f t="shared" si="60"/>
        <v/>
      </c>
    </row>
    <row r="1302" spans="1:9">
      <c r="A1302" s="15" t="str">
        <f t="shared" si="58"/>
        <v/>
      </c>
      <c r="G1302" s="17" t="str">
        <f t="shared" si="59"/>
        <v/>
      </c>
      <c r="I1302" s="17" t="str">
        <f t="shared" si="60"/>
        <v/>
      </c>
    </row>
    <row r="1303" spans="1:9">
      <c r="A1303" s="15" t="str">
        <f t="shared" si="58"/>
        <v/>
      </c>
      <c r="G1303" s="17" t="str">
        <f t="shared" si="59"/>
        <v/>
      </c>
      <c r="I1303" s="17" t="str">
        <f t="shared" si="60"/>
        <v/>
      </c>
    </row>
    <row r="1304" spans="1:9">
      <c r="A1304" s="15" t="str">
        <f t="shared" ref="A1304:A1367" si="61">IF(B1304&lt;&gt;"",ROW()-2,"")</f>
        <v/>
      </c>
      <c r="G1304" s="17" t="str">
        <f t="shared" si="59"/>
        <v/>
      </c>
      <c r="I1304" s="17" t="str">
        <f t="shared" si="60"/>
        <v/>
      </c>
    </row>
    <row r="1305" spans="1:9">
      <c r="A1305" s="15" t="str">
        <f t="shared" si="61"/>
        <v/>
      </c>
      <c r="G1305" s="17" t="str">
        <f t="shared" si="59"/>
        <v/>
      </c>
      <c r="I1305" s="17" t="str">
        <f t="shared" si="60"/>
        <v/>
      </c>
    </row>
    <row r="1306" spans="1:9">
      <c r="A1306" s="15" t="str">
        <f t="shared" si="61"/>
        <v/>
      </c>
      <c r="G1306" s="17" t="str">
        <f t="shared" si="59"/>
        <v/>
      </c>
      <c r="I1306" s="17" t="str">
        <f t="shared" si="60"/>
        <v/>
      </c>
    </row>
    <row r="1307" spans="1:9">
      <c r="A1307" s="15" t="str">
        <f t="shared" si="61"/>
        <v/>
      </c>
      <c r="G1307" s="17" t="str">
        <f t="shared" si="59"/>
        <v/>
      </c>
      <c r="I1307" s="17" t="str">
        <f t="shared" si="60"/>
        <v/>
      </c>
    </row>
    <row r="1308" spans="1:9">
      <c r="A1308" s="15" t="str">
        <f t="shared" si="61"/>
        <v/>
      </c>
      <c r="G1308" s="17" t="str">
        <f t="shared" si="59"/>
        <v/>
      </c>
      <c r="I1308" s="17" t="str">
        <f t="shared" si="60"/>
        <v/>
      </c>
    </row>
    <row r="1309" spans="1:9">
      <c r="A1309" s="15" t="str">
        <f t="shared" si="61"/>
        <v/>
      </c>
      <c r="G1309" s="17" t="str">
        <f t="shared" si="59"/>
        <v/>
      </c>
      <c r="I1309" s="17" t="str">
        <f t="shared" si="60"/>
        <v/>
      </c>
    </row>
    <row r="1310" spans="1:9">
      <c r="A1310" s="15" t="str">
        <f t="shared" si="61"/>
        <v/>
      </c>
      <c r="G1310" s="17" t="str">
        <f t="shared" si="59"/>
        <v/>
      </c>
      <c r="I1310" s="17" t="str">
        <f t="shared" si="60"/>
        <v/>
      </c>
    </row>
    <row r="1311" spans="1:9">
      <c r="A1311" s="15" t="str">
        <f t="shared" si="61"/>
        <v/>
      </c>
      <c r="G1311" s="17" t="str">
        <f t="shared" si="59"/>
        <v/>
      </c>
      <c r="I1311" s="17" t="str">
        <f t="shared" si="60"/>
        <v/>
      </c>
    </row>
    <row r="1312" spans="1:9">
      <c r="A1312" s="15" t="str">
        <f t="shared" si="61"/>
        <v/>
      </c>
      <c r="G1312" s="17" t="str">
        <f t="shared" si="59"/>
        <v/>
      </c>
      <c r="I1312" s="17" t="str">
        <f t="shared" si="60"/>
        <v/>
      </c>
    </row>
    <row r="1313" spans="1:9">
      <c r="A1313" s="15" t="str">
        <f t="shared" si="61"/>
        <v/>
      </c>
      <c r="G1313" s="17" t="str">
        <f t="shared" si="59"/>
        <v/>
      </c>
      <c r="I1313" s="17" t="str">
        <f t="shared" si="60"/>
        <v/>
      </c>
    </row>
    <row r="1314" spans="1:9">
      <c r="A1314" s="15" t="str">
        <f t="shared" si="61"/>
        <v/>
      </c>
      <c r="G1314" s="17" t="str">
        <f t="shared" si="59"/>
        <v/>
      </c>
      <c r="I1314" s="17" t="str">
        <f t="shared" si="60"/>
        <v/>
      </c>
    </row>
    <row r="1315" spans="1:9">
      <c r="A1315" s="15" t="str">
        <f t="shared" si="61"/>
        <v/>
      </c>
      <c r="G1315" s="17" t="str">
        <f t="shared" si="59"/>
        <v/>
      </c>
      <c r="I1315" s="17" t="str">
        <f t="shared" si="60"/>
        <v/>
      </c>
    </row>
    <row r="1316" spans="1:9">
      <c r="A1316" s="15" t="str">
        <f t="shared" si="61"/>
        <v/>
      </c>
      <c r="G1316" s="17" t="str">
        <f t="shared" si="59"/>
        <v/>
      </c>
      <c r="I1316" s="17" t="str">
        <f t="shared" si="60"/>
        <v/>
      </c>
    </row>
    <row r="1317" spans="1:9">
      <c r="A1317" s="15" t="str">
        <f t="shared" si="61"/>
        <v/>
      </c>
      <c r="G1317" s="17" t="str">
        <f t="shared" si="59"/>
        <v/>
      </c>
      <c r="I1317" s="17" t="str">
        <f t="shared" si="60"/>
        <v/>
      </c>
    </row>
    <row r="1318" spans="1:9">
      <c r="A1318" s="15" t="str">
        <f t="shared" si="61"/>
        <v/>
      </c>
      <c r="G1318" s="17" t="str">
        <f t="shared" si="59"/>
        <v/>
      </c>
      <c r="I1318" s="17" t="str">
        <f t="shared" si="60"/>
        <v/>
      </c>
    </row>
    <row r="1319" spans="1:9">
      <c r="A1319" s="15" t="str">
        <f t="shared" si="61"/>
        <v/>
      </c>
      <c r="G1319" s="17" t="str">
        <f t="shared" si="59"/>
        <v/>
      </c>
      <c r="I1319" s="17" t="str">
        <f t="shared" si="60"/>
        <v/>
      </c>
    </row>
    <row r="1320" spans="1:9">
      <c r="A1320" s="15" t="str">
        <f t="shared" si="61"/>
        <v/>
      </c>
      <c r="G1320" s="17" t="str">
        <f t="shared" si="59"/>
        <v/>
      </c>
      <c r="I1320" s="17" t="str">
        <f t="shared" si="60"/>
        <v/>
      </c>
    </row>
    <row r="1321" spans="1:9">
      <c r="A1321" s="15" t="str">
        <f t="shared" si="61"/>
        <v/>
      </c>
      <c r="G1321" s="17" t="str">
        <f t="shared" si="59"/>
        <v/>
      </c>
      <c r="I1321" s="17" t="str">
        <f t="shared" si="60"/>
        <v/>
      </c>
    </row>
    <row r="1322" spans="1:9">
      <c r="A1322" s="15" t="str">
        <f t="shared" si="61"/>
        <v/>
      </c>
      <c r="G1322" s="17" t="str">
        <f t="shared" si="59"/>
        <v/>
      </c>
      <c r="I1322" s="17" t="str">
        <f t="shared" si="60"/>
        <v/>
      </c>
    </row>
    <row r="1323" spans="1:9">
      <c r="A1323" s="15" t="str">
        <f t="shared" si="61"/>
        <v/>
      </c>
      <c r="G1323" s="17" t="str">
        <f t="shared" si="59"/>
        <v/>
      </c>
      <c r="I1323" s="17" t="str">
        <f t="shared" si="60"/>
        <v/>
      </c>
    </row>
    <row r="1324" spans="1:9">
      <c r="A1324" s="15" t="str">
        <f t="shared" si="61"/>
        <v/>
      </c>
      <c r="G1324" s="17" t="str">
        <f t="shared" si="59"/>
        <v/>
      </c>
      <c r="I1324" s="17" t="str">
        <f t="shared" si="60"/>
        <v/>
      </c>
    </row>
    <row r="1325" spans="1:9">
      <c r="A1325" s="15" t="str">
        <f t="shared" si="61"/>
        <v/>
      </c>
      <c r="G1325" s="17" t="str">
        <f t="shared" si="59"/>
        <v/>
      </c>
      <c r="I1325" s="17" t="str">
        <f t="shared" si="60"/>
        <v/>
      </c>
    </row>
    <row r="1326" spans="1:9">
      <c r="A1326" s="15" t="str">
        <f t="shared" si="61"/>
        <v/>
      </c>
      <c r="G1326" s="17" t="str">
        <f t="shared" si="59"/>
        <v/>
      </c>
      <c r="I1326" s="17" t="str">
        <f t="shared" si="60"/>
        <v/>
      </c>
    </row>
    <row r="1327" spans="1:9">
      <c r="A1327" s="15" t="str">
        <f t="shared" si="61"/>
        <v/>
      </c>
      <c r="G1327" s="17" t="str">
        <f t="shared" ref="G1327:G1390" si="62">IFERROR(VLOOKUP(C1327,$U$3:$W$19,2,),"")</f>
        <v/>
      </c>
      <c r="I1327" s="17" t="str">
        <f t="shared" ref="I1327:I1390" si="63">IFERROR(VLOOKUP(C1327,$U$3:$W$19,3,),"")</f>
        <v/>
      </c>
    </row>
    <row r="1328" spans="1:9">
      <c r="A1328" s="15" t="str">
        <f t="shared" si="61"/>
        <v/>
      </c>
      <c r="G1328" s="17" t="str">
        <f t="shared" si="62"/>
        <v/>
      </c>
      <c r="I1328" s="17" t="str">
        <f t="shared" si="63"/>
        <v/>
      </c>
    </row>
    <row r="1329" spans="1:9">
      <c r="A1329" s="15" t="str">
        <f t="shared" si="61"/>
        <v/>
      </c>
      <c r="G1329" s="17" t="str">
        <f t="shared" si="62"/>
        <v/>
      </c>
      <c r="I1329" s="17" t="str">
        <f t="shared" si="63"/>
        <v/>
      </c>
    </row>
    <row r="1330" spans="1:9">
      <c r="A1330" s="15" t="str">
        <f t="shared" si="61"/>
        <v/>
      </c>
      <c r="G1330" s="17" t="str">
        <f t="shared" si="62"/>
        <v/>
      </c>
      <c r="I1330" s="17" t="str">
        <f t="shared" si="63"/>
        <v/>
      </c>
    </row>
    <row r="1331" spans="1:9">
      <c r="A1331" s="15" t="str">
        <f t="shared" si="61"/>
        <v/>
      </c>
      <c r="G1331" s="17" t="str">
        <f t="shared" si="62"/>
        <v/>
      </c>
      <c r="I1331" s="17" t="str">
        <f t="shared" si="63"/>
        <v/>
      </c>
    </row>
    <row r="1332" spans="1:9">
      <c r="A1332" s="15" t="str">
        <f t="shared" si="61"/>
        <v/>
      </c>
      <c r="G1332" s="17" t="str">
        <f t="shared" si="62"/>
        <v/>
      </c>
      <c r="I1332" s="17" t="str">
        <f t="shared" si="63"/>
        <v/>
      </c>
    </row>
    <row r="1333" spans="1:9">
      <c r="A1333" s="15" t="str">
        <f t="shared" si="61"/>
        <v/>
      </c>
      <c r="G1333" s="17" t="str">
        <f t="shared" si="62"/>
        <v/>
      </c>
      <c r="I1333" s="17" t="str">
        <f t="shared" si="63"/>
        <v/>
      </c>
    </row>
    <row r="1334" spans="1:9">
      <c r="A1334" s="15" t="str">
        <f t="shared" si="61"/>
        <v/>
      </c>
      <c r="G1334" s="17" t="str">
        <f t="shared" si="62"/>
        <v/>
      </c>
      <c r="I1334" s="17" t="str">
        <f t="shared" si="63"/>
        <v/>
      </c>
    </row>
    <row r="1335" spans="1:9">
      <c r="A1335" s="15" t="str">
        <f t="shared" si="61"/>
        <v/>
      </c>
      <c r="G1335" s="17" t="str">
        <f t="shared" si="62"/>
        <v/>
      </c>
      <c r="I1335" s="17" t="str">
        <f t="shared" si="63"/>
        <v/>
      </c>
    </row>
    <row r="1336" spans="1:9">
      <c r="A1336" s="15" t="str">
        <f t="shared" si="61"/>
        <v/>
      </c>
      <c r="G1336" s="17" t="str">
        <f t="shared" si="62"/>
        <v/>
      </c>
      <c r="I1336" s="17" t="str">
        <f t="shared" si="63"/>
        <v/>
      </c>
    </row>
    <row r="1337" spans="1:9">
      <c r="A1337" s="15" t="str">
        <f t="shared" si="61"/>
        <v/>
      </c>
      <c r="G1337" s="17" t="str">
        <f t="shared" si="62"/>
        <v/>
      </c>
      <c r="I1337" s="17" t="str">
        <f t="shared" si="63"/>
        <v/>
      </c>
    </row>
    <row r="1338" spans="1:9">
      <c r="A1338" s="15" t="str">
        <f t="shared" si="61"/>
        <v/>
      </c>
      <c r="G1338" s="17" t="str">
        <f t="shared" si="62"/>
        <v/>
      </c>
      <c r="I1338" s="17" t="str">
        <f t="shared" si="63"/>
        <v/>
      </c>
    </row>
    <row r="1339" spans="1:9">
      <c r="A1339" s="15" t="str">
        <f t="shared" si="61"/>
        <v/>
      </c>
      <c r="G1339" s="17" t="str">
        <f t="shared" si="62"/>
        <v/>
      </c>
      <c r="I1339" s="17" t="str">
        <f t="shared" si="63"/>
        <v/>
      </c>
    </row>
    <row r="1340" spans="1:9">
      <c r="A1340" s="15" t="str">
        <f t="shared" si="61"/>
        <v/>
      </c>
      <c r="G1340" s="17" t="str">
        <f t="shared" si="62"/>
        <v/>
      </c>
      <c r="I1340" s="17" t="str">
        <f t="shared" si="63"/>
        <v/>
      </c>
    </row>
    <row r="1341" spans="1:9">
      <c r="A1341" s="15" t="str">
        <f t="shared" si="61"/>
        <v/>
      </c>
      <c r="G1341" s="17" t="str">
        <f t="shared" si="62"/>
        <v/>
      </c>
      <c r="I1341" s="17" t="str">
        <f t="shared" si="63"/>
        <v/>
      </c>
    </row>
    <row r="1342" spans="1:9">
      <c r="A1342" s="15" t="str">
        <f t="shared" si="61"/>
        <v/>
      </c>
      <c r="G1342" s="17" t="str">
        <f t="shared" si="62"/>
        <v/>
      </c>
      <c r="I1342" s="17" t="str">
        <f t="shared" si="63"/>
        <v/>
      </c>
    </row>
    <row r="1343" spans="1:9">
      <c r="A1343" s="15" t="str">
        <f t="shared" si="61"/>
        <v/>
      </c>
      <c r="G1343" s="17" t="str">
        <f t="shared" si="62"/>
        <v/>
      </c>
      <c r="I1343" s="17" t="str">
        <f t="shared" si="63"/>
        <v/>
      </c>
    </row>
    <row r="1344" spans="1:9">
      <c r="A1344" s="15" t="str">
        <f t="shared" si="61"/>
        <v/>
      </c>
      <c r="G1344" s="17" t="str">
        <f t="shared" si="62"/>
        <v/>
      </c>
      <c r="I1344" s="17" t="str">
        <f t="shared" si="63"/>
        <v/>
      </c>
    </row>
    <row r="1345" spans="1:9">
      <c r="A1345" s="15" t="str">
        <f t="shared" si="61"/>
        <v/>
      </c>
      <c r="G1345" s="17" t="str">
        <f t="shared" si="62"/>
        <v/>
      </c>
      <c r="I1345" s="17" t="str">
        <f t="shared" si="63"/>
        <v/>
      </c>
    </row>
    <row r="1346" spans="1:9">
      <c r="A1346" s="15" t="str">
        <f t="shared" si="61"/>
        <v/>
      </c>
      <c r="G1346" s="17" t="str">
        <f t="shared" si="62"/>
        <v/>
      </c>
      <c r="I1346" s="17" t="str">
        <f t="shared" si="63"/>
        <v/>
      </c>
    </row>
    <row r="1347" spans="1:9">
      <c r="A1347" s="15" t="str">
        <f t="shared" si="61"/>
        <v/>
      </c>
      <c r="G1347" s="17" t="str">
        <f t="shared" si="62"/>
        <v/>
      </c>
      <c r="I1347" s="17" t="str">
        <f t="shared" si="63"/>
        <v/>
      </c>
    </row>
    <row r="1348" spans="1:9">
      <c r="A1348" s="15" t="str">
        <f t="shared" si="61"/>
        <v/>
      </c>
      <c r="G1348" s="17" t="str">
        <f t="shared" si="62"/>
        <v/>
      </c>
      <c r="I1348" s="17" t="str">
        <f t="shared" si="63"/>
        <v/>
      </c>
    </row>
    <row r="1349" spans="1:9">
      <c r="A1349" s="15" t="str">
        <f t="shared" si="61"/>
        <v/>
      </c>
      <c r="G1349" s="17" t="str">
        <f t="shared" si="62"/>
        <v/>
      </c>
      <c r="I1349" s="17" t="str">
        <f t="shared" si="63"/>
        <v/>
      </c>
    </row>
    <row r="1350" spans="1:9">
      <c r="A1350" s="15" t="str">
        <f t="shared" si="61"/>
        <v/>
      </c>
      <c r="G1350" s="17" t="str">
        <f t="shared" si="62"/>
        <v/>
      </c>
      <c r="I1350" s="17" t="str">
        <f t="shared" si="63"/>
        <v/>
      </c>
    </row>
    <row r="1351" spans="1:9">
      <c r="A1351" s="15" t="str">
        <f t="shared" si="61"/>
        <v/>
      </c>
      <c r="G1351" s="17" t="str">
        <f t="shared" si="62"/>
        <v/>
      </c>
      <c r="I1351" s="17" t="str">
        <f t="shared" si="63"/>
        <v/>
      </c>
    </row>
    <row r="1352" spans="1:9">
      <c r="A1352" s="15" t="str">
        <f t="shared" si="61"/>
        <v/>
      </c>
      <c r="G1352" s="17" t="str">
        <f t="shared" si="62"/>
        <v/>
      </c>
      <c r="I1352" s="17" t="str">
        <f t="shared" si="63"/>
        <v/>
      </c>
    </row>
    <row r="1353" spans="1:9">
      <c r="A1353" s="15" t="str">
        <f t="shared" si="61"/>
        <v/>
      </c>
      <c r="G1353" s="17" t="str">
        <f t="shared" si="62"/>
        <v/>
      </c>
      <c r="I1353" s="17" t="str">
        <f t="shared" si="63"/>
        <v/>
      </c>
    </row>
    <row r="1354" spans="1:9">
      <c r="A1354" s="15" t="str">
        <f t="shared" si="61"/>
        <v/>
      </c>
      <c r="G1354" s="17" t="str">
        <f t="shared" si="62"/>
        <v/>
      </c>
      <c r="I1354" s="17" t="str">
        <f t="shared" si="63"/>
        <v/>
      </c>
    </row>
    <row r="1355" spans="1:9">
      <c r="A1355" s="15" t="str">
        <f t="shared" si="61"/>
        <v/>
      </c>
      <c r="G1355" s="17" t="str">
        <f t="shared" si="62"/>
        <v/>
      </c>
      <c r="I1355" s="17" t="str">
        <f t="shared" si="63"/>
        <v/>
      </c>
    </row>
    <row r="1356" spans="1:9">
      <c r="A1356" s="15" t="str">
        <f t="shared" si="61"/>
        <v/>
      </c>
      <c r="G1356" s="17" t="str">
        <f t="shared" si="62"/>
        <v/>
      </c>
      <c r="I1356" s="17" t="str">
        <f t="shared" si="63"/>
        <v/>
      </c>
    </row>
    <row r="1357" spans="1:9">
      <c r="A1357" s="15" t="str">
        <f t="shared" si="61"/>
        <v/>
      </c>
      <c r="G1357" s="17" t="str">
        <f t="shared" si="62"/>
        <v/>
      </c>
      <c r="I1357" s="17" t="str">
        <f t="shared" si="63"/>
        <v/>
      </c>
    </row>
    <row r="1358" spans="1:9">
      <c r="A1358" s="15" t="str">
        <f t="shared" si="61"/>
        <v/>
      </c>
      <c r="G1358" s="17" t="str">
        <f t="shared" si="62"/>
        <v/>
      </c>
      <c r="I1358" s="17" t="str">
        <f t="shared" si="63"/>
        <v/>
      </c>
    </row>
    <row r="1359" spans="1:9">
      <c r="A1359" s="15" t="str">
        <f t="shared" si="61"/>
        <v/>
      </c>
      <c r="G1359" s="17" t="str">
        <f t="shared" si="62"/>
        <v/>
      </c>
      <c r="I1359" s="17" t="str">
        <f t="shared" si="63"/>
        <v/>
      </c>
    </row>
    <row r="1360" spans="1:9">
      <c r="A1360" s="15" t="str">
        <f t="shared" si="61"/>
        <v/>
      </c>
      <c r="G1360" s="17" t="str">
        <f t="shared" si="62"/>
        <v/>
      </c>
      <c r="I1360" s="17" t="str">
        <f t="shared" si="63"/>
        <v/>
      </c>
    </row>
    <row r="1361" spans="1:9">
      <c r="A1361" s="15" t="str">
        <f t="shared" si="61"/>
        <v/>
      </c>
      <c r="G1361" s="17" t="str">
        <f t="shared" si="62"/>
        <v/>
      </c>
      <c r="I1361" s="17" t="str">
        <f t="shared" si="63"/>
        <v/>
      </c>
    </row>
    <row r="1362" spans="1:9">
      <c r="A1362" s="15" t="str">
        <f t="shared" si="61"/>
        <v/>
      </c>
      <c r="G1362" s="17" t="str">
        <f t="shared" si="62"/>
        <v/>
      </c>
      <c r="I1362" s="17" t="str">
        <f t="shared" si="63"/>
        <v/>
      </c>
    </row>
    <row r="1363" spans="1:9">
      <c r="A1363" s="15" t="str">
        <f t="shared" si="61"/>
        <v/>
      </c>
      <c r="G1363" s="17" t="str">
        <f t="shared" si="62"/>
        <v/>
      </c>
      <c r="I1363" s="17" t="str">
        <f t="shared" si="63"/>
        <v/>
      </c>
    </row>
    <row r="1364" spans="1:9">
      <c r="A1364" s="15" t="str">
        <f t="shared" si="61"/>
        <v/>
      </c>
      <c r="G1364" s="17" t="str">
        <f t="shared" si="62"/>
        <v/>
      </c>
      <c r="I1364" s="17" t="str">
        <f t="shared" si="63"/>
        <v/>
      </c>
    </row>
    <row r="1365" spans="1:9">
      <c r="A1365" s="15" t="str">
        <f t="shared" si="61"/>
        <v/>
      </c>
      <c r="G1365" s="17" t="str">
        <f t="shared" si="62"/>
        <v/>
      </c>
      <c r="I1365" s="17" t="str">
        <f t="shared" si="63"/>
        <v/>
      </c>
    </row>
    <row r="1366" spans="1:9">
      <c r="A1366" s="15" t="str">
        <f t="shared" si="61"/>
        <v/>
      </c>
      <c r="G1366" s="17" t="str">
        <f t="shared" si="62"/>
        <v/>
      </c>
      <c r="I1366" s="17" t="str">
        <f t="shared" si="63"/>
        <v/>
      </c>
    </row>
    <row r="1367" spans="1:9">
      <c r="A1367" s="15" t="str">
        <f t="shared" si="61"/>
        <v/>
      </c>
      <c r="G1367" s="17" t="str">
        <f t="shared" si="62"/>
        <v/>
      </c>
      <c r="I1367" s="17" t="str">
        <f t="shared" si="63"/>
        <v/>
      </c>
    </row>
    <row r="1368" spans="1:9">
      <c r="A1368" s="15" t="str">
        <f t="shared" ref="A1368:A1431" si="64">IF(B1368&lt;&gt;"",ROW()-2,"")</f>
        <v/>
      </c>
      <c r="G1368" s="17" t="str">
        <f t="shared" si="62"/>
        <v/>
      </c>
      <c r="I1368" s="17" t="str">
        <f t="shared" si="63"/>
        <v/>
      </c>
    </row>
    <row r="1369" spans="1:9">
      <c r="A1369" s="15" t="str">
        <f t="shared" si="64"/>
        <v/>
      </c>
      <c r="G1369" s="17" t="str">
        <f t="shared" si="62"/>
        <v/>
      </c>
      <c r="I1369" s="17" t="str">
        <f t="shared" si="63"/>
        <v/>
      </c>
    </row>
    <row r="1370" spans="1:9">
      <c r="A1370" s="15" t="str">
        <f t="shared" si="64"/>
        <v/>
      </c>
      <c r="G1370" s="17" t="str">
        <f t="shared" si="62"/>
        <v/>
      </c>
      <c r="I1370" s="17" t="str">
        <f t="shared" si="63"/>
        <v/>
      </c>
    </row>
    <row r="1371" spans="1:9">
      <c r="A1371" s="15" t="str">
        <f t="shared" si="64"/>
        <v/>
      </c>
      <c r="G1371" s="17" t="str">
        <f t="shared" si="62"/>
        <v/>
      </c>
      <c r="I1371" s="17" t="str">
        <f t="shared" si="63"/>
        <v/>
      </c>
    </row>
    <row r="1372" spans="1:9">
      <c r="A1372" s="15" t="str">
        <f t="shared" si="64"/>
        <v/>
      </c>
      <c r="G1372" s="17" t="str">
        <f t="shared" si="62"/>
        <v/>
      </c>
      <c r="I1372" s="17" t="str">
        <f t="shared" si="63"/>
        <v/>
      </c>
    </row>
    <row r="1373" spans="1:9">
      <c r="A1373" s="15" t="str">
        <f t="shared" si="64"/>
        <v/>
      </c>
      <c r="G1373" s="17" t="str">
        <f t="shared" si="62"/>
        <v/>
      </c>
      <c r="I1373" s="17" t="str">
        <f t="shared" si="63"/>
        <v/>
      </c>
    </row>
    <row r="1374" spans="1:9">
      <c r="A1374" s="15" t="str">
        <f t="shared" si="64"/>
        <v/>
      </c>
      <c r="G1374" s="17" t="str">
        <f t="shared" si="62"/>
        <v/>
      </c>
      <c r="I1374" s="17" t="str">
        <f t="shared" si="63"/>
        <v/>
      </c>
    </row>
    <row r="1375" spans="1:9">
      <c r="A1375" s="15" t="str">
        <f t="shared" si="64"/>
        <v/>
      </c>
      <c r="G1375" s="17" t="str">
        <f t="shared" si="62"/>
        <v/>
      </c>
      <c r="I1375" s="17" t="str">
        <f t="shared" si="63"/>
        <v/>
      </c>
    </row>
    <row r="1376" spans="1:9">
      <c r="A1376" s="15" t="str">
        <f t="shared" si="64"/>
        <v/>
      </c>
      <c r="G1376" s="17" t="str">
        <f t="shared" si="62"/>
        <v/>
      </c>
      <c r="I1376" s="17" t="str">
        <f t="shared" si="63"/>
        <v/>
      </c>
    </row>
    <row r="1377" spans="1:9">
      <c r="A1377" s="15" t="str">
        <f t="shared" si="64"/>
        <v/>
      </c>
      <c r="G1377" s="17" t="str">
        <f t="shared" si="62"/>
        <v/>
      </c>
      <c r="I1377" s="17" t="str">
        <f t="shared" si="63"/>
        <v/>
      </c>
    </row>
    <row r="1378" spans="1:9">
      <c r="A1378" s="15" t="str">
        <f t="shared" si="64"/>
        <v/>
      </c>
      <c r="G1378" s="17" t="str">
        <f t="shared" si="62"/>
        <v/>
      </c>
      <c r="I1378" s="17" t="str">
        <f t="shared" si="63"/>
        <v/>
      </c>
    </row>
    <row r="1379" spans="1:9">
      <c r="A1379" s="15" t="str">
        <f t="shared" si="64"/>
        <v/>
      </c>
      <c r="G1379" s="17" t="str">
        <f t="shared" si="62"/>
        <v/>
      </c>
      <c r="I1379" s="17" t="str">
        <f t="shared" si="63"/>
        <v/>
      </c>
    </row>
    <row r="1380" spans="1:9">
      <c r="A1380" s="15" t="str">
        <f t="shared" si="64"/>
        <v/>
      </c>
      <c r="G1380" s="17" t="str">
        <f t="shared" si="62"/>
        <v/>
      </c>
      <c r="I1380" s="17" t="str">
        <f t="shared" si="63"/>
        <v/>
      </c>
    </row>
    <row r="1381" spans="1:9">
      <c r="A1381" s="15" t="str">
        <f t="shared" si="64"/>
        <v/>
      </c>
      <c r="G1381" s="17" t="str">
        <f t="shared" si="62"/>
        <v/>
      </c>
      <c r="I1381" s="17" t="str">
        <f t="shared" si="63"/>
        <v/>
      </c>
    </row>
    <row r="1382" spans="1:9">
      <c r="A1382" s="15" t="str">
        <f t="shared" si="64"/>
        <v/>
      </c>
      <c r="G1382" s="17" t="str">
        <f t="shared" si="62"/>
        <v/>
      </c>
      <c r="I1382" s="17" t="str">
        <f t="shared" si="63"/>
        <v/>
      </c>
    </row>
    <row r="1383" spans="1:9">
      <c r="A1383" s="15" t="str">
        <f t="shared" si="64"/>
        <v/>
      </c>
      <c r="G1383" s="17" t="str">
        <f t="shared" si="62"/>
        <v/>
      </c>
      <c r="I1383" s="17" t="str">
        <f t="shared" si="63"/>
        <v/>
      </c>
    </row>
    <row r="1384" spans="1:9">
      <c r="A1384" s="15" t="str">
        <f t="shared" si="64"/>
        <v/>
      </c>
      <c r="G1384" s="17" t="str">
        <f t="shared" si="62"/>
        <v/>
      </c>
      <c r="I1384" s="17" t="str">
        <f t="shared" si="63"/>
        <v/>
      </c>
    </row>
    <row r="1385" spans="1:9">
      <c r="A1385" s="15" t="str">
        <f t="shared" si="64"/>
        <v/>
      </c>
      <c r="G1385" s="17" t="str">
        <f t="shared" si="62"/>
        <v/>
      </c>
      <c r="I1385" s="17" t="str">
        <f t="shared" si="63"/>
        <v/>
      </c>
    </row>
    <row r="1386" spans="1:9">
      <c r="A1386" s="15" t="str">
        <f t="shared" si="64"/>
        <v/>
      </c>
      <c r="G1386" s="17" t="str">
        <f t="shared" si="62"/>
        <v/>
      </c>
      <c r="I1386" s="17" t="str">
        <f t="shared" si="63"/>
        <v/>
      </c>
    </row>
    <row r="1387" spans="1:9">
      <c r="A1387" s="15" t="str">
        <f t="shared" si="64"/>
        <v/>
      </c>
      <c r="G1387" s="17" t="str">
        <f t="shared" si="62"/>
        <v/>
      </c>
      <c r="I1387" s="17" t="str">
        <f t="shared" si="63"/>
        <v/>
      </c>
    </row>
    <row r="1388" spans="1:9">
      <c r="A1388" s="15" t="str">
        <f t="shared" si="64"/>
        <v/>
      </c>
      <c r="G1388" s="17" t="str">
        <f t="shared" si="62"/>
        <v/>
      </c>
      <c r="I1388" s="17" t="str">
        <f t="shared" si="63"/>
        <v/>
      </c>
    </row>
    <row r="1389" spans="1:9">
      <c r="A1389" s="15" t="str">
        <f t="shared" si="64"/>
        <v/>
      </c>
      <c r="G1389" s="17" t="str">
        <f t="shared" si="62"/>
        <v/>
      </c>
      <c r="I1389" s="17" t="str">
        <f t="shared" si="63"/>
        <v/>
      </c>
    </row>
    <row r="1390" spans="1:9">
      <c r="A1390" s="15" t="str">
        <f t="shared" si="64"/>
        <v/>
      </c>
      <c r="G1390" s="17" t="str">
        <f t="shared" si="62"/>
        <v/>
      </c>
      <c r="I1390" s="17" t="str">
        <f t="shared" si="63"/>
        <v/>
      </c>
    </row>
    <row r="1391" spans="1:9">
      <c r="A1391" s="15" t="str">
        <f t="shared" si="64"/>
        <v/>
      </c>
      <c r="G1391" s="17" t="str">
        <f t="shared" ref="G1391:G1454" si="65">IFERROR(VLOOKUP(C1391,$U$3:$W$19,2,),"")</f>
        <v/>
      </c>
      <c r="I1391" s="17" t="str">
        <f t="shared" ref="I1391:I1454" si="66">IFERROR(VLOOKUP(C1391,$U$3:$W$19,3,),"")</f>
        <v/>
      </c>
    </row>
    <row r="1392" spans="1:9">
      <c r="A1392" s="15" t="str">
        <f t="shared" si="64"/>
        <v/>
      </c>
      <c r="G1392" s="17" t="str">
        <f t="shared" si="65"/>
        <v/>
      </c>
      <c r="I1392" s="17" t="str">
        <f t="shared" si="66"/>
        <v/>
      </c>
    </row>
    <row r="1393" spans="1:9">
      <c r="A1393" s="15" t="str">
        <f t="shared" si="64"/>
        <v/>
      </c>
      <c r="G1393" s="17" t="str">
        <f t="shared" si="65"/>
        <v/>
      </c>
      <c r="I1393" s="17" t="str">
        <f t="shared" si="66"/>
        <v/>
      </c>
    </row>
    <row r="1394" spans="1:9">
      <c r="A1394" s="15" t="str">
        <f t="shared" si="64"/>
        <v/>
      </c>
      <c r="G1394" s="17" t="str">
        <f t="shared" si="65"/>
        <v/>
      </c>
      <c r="I1394" s="17" t="str">
        <f t="shared" si="66"/>
        <v/>
      </c>
    </row>
    <row r="1395" spans="1:9">
      <c r="A1395" s="15" t="str">
        <f t="shared" si="64"/>
        <v/>
      </c>
      <c r="G1395" s="17" t="str">
        <f t="shared" si="65"/>
        <v/>
      </c>
      <c r="I1395" s="17" t="str">
        <f t="shared" si="66"/>
        <v/>
      </c>
    </row>
    <row r="1396" spans="1:9">
      <c r="A1396" s="15" t="str">
        <f t="shared" si="64"/>
        <v/>
      </c>
      <c r="G1396" s="17" t="str">
        <f t="shared" si="65"/>
        <v/>
      </c>
      <c r="I1396" s="17" t="str">
        <f t="shared" si="66"/>
        <v/>
      </c>
    </row>
    <row r="1397" spans="1:9">
      <c r="A1397" s="15" t="str">
        <f t="shared" si="64"/>
        <v/>
      </c>
      <c r="G1397" s="17" t="str">
        <f t="shared" si="65"/>
        <v/>
      </c>
      <c r="I1397" s="17" t="str">
        <f t="shared" si="66"/>
        <v/>
      </c>
    </row>
    <row r="1398" spans="1:9">
      <c r="A1398" s="15" t="str">
        <f t="shared" si="64"/>
        <v/>
      </c>
      <c r="G1398" s="17" t="str">
        <f t="shared" si="65"/>
        <v/>
      </c>
      <c r="I1398" s="17" t="str">
        <f t="shared" si="66"/>
        <v/>
      </c>
    </row>
    <row r="1399" spans="1:9">
      <c r="A1399" s="15" t="str">
        <f t="shared" si="64"/>
        <v/>
      </c>
      <c r="G1399" s="17" t="str">
        <f t="shared" si="65"/>
        <v/>
      </c>
      <c r="I1399" s="17" t="str">
        <f t="shared" si="66"/>
        <v/>
      </c>
    </row>
    <row r="1400" spans="1:9">
      <c r="A1400" s="15" t="str">
        <f t="shared" si="64"/>
        <v/>
      </c>
      <c r="G1400" s="17" t="str">
        <f t="shared" si="65"/>
        <v/>
      </c>
      <c r="I1400" s="17" t="str">
        <f t="shared" si="66"/>
        <v/>
      </c>
    </row>
    <row r="1401" spans="1:9">
      <c r="A1401" s="15" t="str">
        <f t="shared" si="64"/>
        <v/>
      </c>
      <c r="G1401" s="17" t="str">
        <f t="shared" si="65"/>
        <v/>
      </c>
      <c r="I1401" s="17" t="str">
        <f t="shared" si="66"/>
        <v/>
      </c>
    </row>
    <row r="1402" spans="1:9">
      <c r="A1402" s="15" t="str">
        <f t="shared" si="64"/>
        <v/>
      </c>
      <c r="G1402" s="17" t="str">
        <f t="shared" si="65"/>
        <v/>
      </c>
      <c r="I1402" s="17" t="str">
        <f t="shared" si="66"/>
        <v/>
      </c>
    </row>
    <row r="1403" spans="1:9">
      <c r="A1403" s="15" t="str">
        <f t="shared" si="64"/>
        <v/>
      </c>
      <c r="G1403" s="17" t="str">
        <f t="shared" si="65"/>
        <v/>
      </c>
      <c r="I1403" s="17" t="str">
        <f t="shared" si="66"/>
        <v/>
      </c>
    </row>
    <row r="1404" spans="1:9">
      <c r="A1404" s="15" t="str">
        <f t="shared" si="64"/>
        <v/>
      </c>
      <c r="G1404" s="17" t="str">
        <f t="shared" si="65"/>
        <v/>
      </c>
      <c r="I1404" s="17" t="str">
        <f t="shared" si="66"/>
        <v/>
      </c>
    </row>
    <row r="1405" spans="1:9">
      <c r="A1405" s="15" t="str">
        <f t="shared" si="64"/>
        <v/>
      </c>
      <c r="G1405" s="17" t="str">
        <f t="shared" si="65"/>
        <v/>
      </c>
      <c r="I1405" s="17" t="str">
        <f t="shared" si="66"/>
        <v/>
      </c>
    </row>
    <row r="1406" spans="1:9">
      <c r="A1406" s="15" t="str">
        <f t="shared" si="64"/>
        <v/>
      </c>
      <c r="G1406" s="17" t="str">
        <f t="shared" si="65"/>
        <v/>
      </c>
      <c r="I1406" s="17" t="str">
        <f t="shared" si="66"/>
        <v/>
      </c>
    </row>
    <row r="1407" spans="1:9">
      <c r="A1407" s="15" t="str">
        <f t="shared" si="64"/>
        <v/>
      </c>
      <c r="G1407" s="17" t="str">
        <f t="shared" si="65"/>
        <v/>
      </c>
      <c r="I1407" s="17" t="str">
        <f t="shared" si="66"/>
        <v/>
      </c>
    </row>
    <row r="1408" spans="1:9">
      <c r="A1408" s="15" t="str">
        <f t="shared" si="64"/>
        <v/>
      </c>
      <c r="G1408" s="17" t="str">
        <f t="shared" si="65"/>
        <v/>
      </c>
      <c r="I1408" s="17" t="str">
        <f t="shared" si="66"/>
        <v/>
      </c>
    </row>
    <row r="1409" spans="1:9">
      <c r="A1409" s="15" t="str">
        <f t="shared" si="64"/>
        <v/>
      </c>
      <c r="G1409" s="17" t="str">
        <f t="shared" si="65"/>
        <v/>
      </c>
      <c r="I1409" s="17" t="str">
        <f t="shared" si="66"/>
        <v/>
      </c>
    </row>
    <row r="1410" spans="1:9">
      <c r="A1410" s="15" t="str">
        <f t="shared" si="64"/>
        <v/>
      </c>
      <c r="G1410" s="17" t="str">
        <f t="shared" si="65"/>
        <v/>
      </c>
      <c r="I1410" s="17" t="str">
        <f t="shared" si="66"/>
        <v/>
      </c>
    </row>
    <row r="1411" spans="1:9">
      <c r="A1411" s="15" t="str">
        <f t="shared" si="64"/>
        <v/>
      </c>
      <c r="G1411" s="17" t="str">
        <f t="shared" si="65"/>
        <v/>
      </c>
      <c r="I1411" s="17" t="str">
        <f t="shared" si="66"/>
        <v/>
      </c>
    </row>
    <row r="1412" spans="1:9">
      <c r="A1412" s="15" t="str">
        <f t="shared" si="64"/>
        <v/>
      </c>
      <c r="G1412" s="17" t="str">
        <f t="shared" si="65"/>
        <v/>
      </c>
      <c r="I1412" s="17" t="str">
        <f t="shared" si="66"/>
        <v/>
      </c>
    </row>
    <row r="1413" spans="1:9">
      <c r="A1413" s="15" t="str">
        <f t="shared" si="64"/>
        <v/>
      </c>
      <c r="G1413" s="17" t="str">
        <f t="shared" si="65"/>
        <v/>
      </c>
      <c r="I1413" s="17" t="str">
        <f t="shared" si="66"/>
        <v/>
      </c>
    </row>
    <row r="1414" spans="1:9">
      <c r="A1414" s="15" t="str">
        <f t="shared" si="64"/>
        <v/>
      </c>
      <c r="G1414" s="17" t="str">
        <f t="shared" si="65"/>
        <v/>
      </c>
      <c r="I1414" s="17" t="str">
        <f t="shared" si="66"/>
        <v/>
      </c>
    </row>
    <row r="1415" spans="1:9">
      <c r="A1415" s="15" t="str">
        <f t="shared" si="64"/>
        <v/>
      </c>
      <c r="G1415" s="17" t="str">
        <f t="shared" si="65"/>
        <v/>
      </c>
      <c r="I1415" s="17" t="str">
        <f t="shared" si="66"/>
        <v/>
      </c>
    </row>
    <row r="1416" spans="1:9">
      <c r="A1416" s="15" t="str">
        <f t="shared" si="64"/>
        <v/>
      </c>
      <c r="G1416" s="17" t="str">
        <f t="shared" si="65"/>
        <v/>
      </c>
      <c r="I1416" s="17" t="str">
        <f t="shared" si="66"/>
        <v/>
      </c>
    </row>
    <row r="1417" spans="1:9">
      <c r="A1417" s="15" t="str">
        <f t="shared" si="64"/>
        <v/>
      </c>
      <c r="G1417" s="17" t="str">
        <f t="shared" si="65"/>
        <v/>
      </c>
      <c r="I1417" s="17" t="str">
        <f t="shared" si="66"/>
        <v/>
      </c>
    </row>
    <row r="1418" spans="1:9">
      <c r="A1418" s="15" t="str">
        <f t="shared" si="64"/>
        <v/>
      </c>
      <c r="G1418" s="17" t="str">
        <f t="shared" si="65"/>
        <v/>
      </c>
      <c r="I1418" s="17" t="str">
        <f t="shared" si="66"/>
        <v/>
      </c>
    </row>
    <row r="1419" spans="1:9">
      <c r="A1419" s="15" t="str">
        <f t="shared" si="64"/>
        <v/>
      </c>
      <c r="G1419" s="17" t="str">
        <f t="shared" si="65"/>
        <v/>
      </c>
      <c r="I1419" s="17" t="str">
        <f t="shared" si="66"/>
        <v/>
      </c>
    </row>
    <row r="1420" spans="1:9">
      <c r="A1420" s="15" t="str">
        <f t="shared" si="64"/>
        <v/>
      </c>
      <c r="G1420" s="17" t="str">
        <f t="shared" si="65"/>
        <v/>
      </c>
      <c r="I1420" s="17" t="str">
        <f t="shared" si="66"/>
        <v/>
      </c>
    </row>
    <row r="1421" spans="1:9">
      <c r="A1421" s="15" t="str">
        <f t="shared" si="64"/>
        <v/>
      </c>
      <c r="G1421" s="17" t="str">
        <f t="shared" si="65"/>
        <v/>
      </c>
      <c r="I1421" s="17" t="str">
        <f t="shared" si="66"/>
        <v/>
      </c>
    </row>
    <row r="1422" spans="1:9">
      <c r="A1422" s="15" t="str">
        <f t="shared" si="64"/>
        <v/>
      </c>
      <c r="G1422" s="17" t="str">
        <f t="shared" si="65"/>
        <v/>
      </c>
      <c r="I1422" s="17" t="str">
        <f t="shared" si="66"/>
        <v/>
      </c>
    </row>
    <row r="1423" spans="1:9">
      <c r="A1423" s="15" t="str">
        <f t="shared" si="64"/>
        <v/>
      </c>
      <c r="G1423" s="17" t="str">
        <f t="shared" si="65"/>
        <v/>
      </c>
      <c r="I1423" s="17" t="str">
        <f t="shared" si="66"/>
        <v/>
      </c>
    </row>
    <row r="1424" spans="1:9">
      <c r="A1424" s="15" t="str">
        <f t="shared" si="64"/>
        <v/>
      </c>
      <c r="G1424" s="17" t="str">
        <f t="shared" si="65"/>
        <v/>
      </c>
      <c r="I1424" s="17" t="str">
        <f t="shared" si="66"/>
        <v/>
      </c>
    </row>
    <row r="1425" spans="1:9">
      <c r="A1425" s="15" t="str">
        <f t="shared" si="64"/>
        <v/>
      </c>
      <c r="G1425" s="17" t="str">
        <f t="shared" si="65"/>
        <v/>
      </c>
      <c r="I1425" s="17" t="str">
        <f t="shared" si="66"/>
        <v/>
      </c>
    </row>
    <row r="1426" spans="1:9">
      <c r="A1426" s="15" t="str">
        <f t="shared" si="64"/>
        <v/>
      </c>
      <c r="G1426" s="17" t="str">
        <f t="shared" si="65"/>
        <v/>
      </c>
      <c r="I1426" s="17" t="str">
        <f t="shared" si="66"/>
        <v/>
      </c>
    </row>
    <row r="1427" spans="1:9">
      <c r="A1427" s="15" t="str">
        <f t="shared" si="64"/>
        <v/>
      </c>
      <c r="G1427" s="17" t="str">
        <f t="shared" si="65"/>
        <v/>
      </c>
      <c r="I1427" s="17" t="str">
        <f t="shared" si="66"/>
        <v/>
      </c>
    </row>
    <row r="1428" spans="1:9">
      <c r="A1428" s="15" t="str">
        <f t="shared" si="64"/>
        <v/>
      </c>
      <c r="G1428" s="17" t="str">
        <f t="shared" si="65"/>
        <v/>
      </c>
      <c r="I1428" s="17" t="str">
        <f t="shared" si="66"/>
        <v/>
      </c>
    </row>
    <row r="1429" spans="1:9">
      <c r="A1429" s="15" t="str">
        <f t="shared" si="64"/>
        <v/>
      </c>
      <c r="G1429" s="17" t="str">
        <f t="shared" si="65"/>
        <v/>
      </c>
      <c r="I1429" s="17" t="str">
        <f t="shared" si="66"/>
        <v/>
      </c>
    </row>
    <row r="1430" spans="1:9">
      <c r="A1430" s="15" t="str">
        <f t="shared" si="64"/>
        <v/>
      </c>
      <c r="G1430" s="17" t="str">
        <f t="shared" si="65"/>
        <v/>
      </c>
      <c r="I1430" s="17" t="str">
        <f t="shared" si="66"/>
        <v/>
      </c>
    </row>
    <row r="1431" spans="1:9">
      <c r="A1431" s="15" t="str">
        <f t="shared" si="64"/>
        <v/>
      </c>
      <c r="G1431" s="17" t="str">
        <f t="shared" si="65"/>
        <v/>
      </c>
      <c r="I1431" s="17" t="str">
        <f t="shared" si="66"/>
        <v/>
      </c>
    </row>
    <row r="1432" spans="1:9">
      <c r="A1432" s="15" t="str">
        <f t="shared" ref="A1432:A1495" si="67">IF(B1432&lt;&gt;"",ROW()-2,"")</f>
        <v/>
      </c>
      <c r="G1432" s="17" t="str">
        <f t="shared" si="65"/>
        <v/>
      </c>
      <c r="I1432" s="17" t="str">
        <f t="shared" si="66"/>
        <v/>
      </c>
    </row>
    <row r="1433" spans="1:9">
      <c r="A1433" s="15" t="str">
        <f t="shared" si="67"/>
        <v/>
      </c>
      <c r="G1433" s="17" t="str">
        <f t="shared" si="65"/>
        <v/>
      </c>
      <c r="I1433" s="17" t="str">
        <f t="shared" si="66"/>
        <v/>
      </c>
    </row>
    <row r="1434" spans="1:9">
      <c r="A1434" s="15" t="str">
        <f t="shared" si="67"/>
        <v/>
      </c>
      <c r="G1434" s="17" t="str">
        <f t="shared" si="65"/>
        <v/>
      </c>
      <c r="I1434" s="17" t="str">
        <f t="shared" si="66"/>
        <v/>
      </c>
    </row>
    <row r="1435" spans="1:9">
      <c r="A1435" s="15" t="str">
        <f t="shared" si="67"/>
        <v/>
      </c>
      <c r="G1435" s="17" t="str">
        <f t="shared" si="65"/>
        <v/>
      </c>
      <c r="I1435" s="17" t="str">
        <f t="shared" si="66"/>
        <v/>
      </c>
    </row>
    <row r="1436" spans="1:9">
      <c r="A1436" s="15" t="str">
        <f t="shared" si="67"/>
        <v/>
      </c>
      <c r="G1436" s="17" t="str">
        <f t="shared" si="65"/>
        <v/>
      </c>
      <c r="I1436" s="17" t="str">
        <f t="shared" si="66"/>
        <v/>
      </c>
    </row>
    <row r="1437" spans="1:9">
      <c r="A1437" s="15" t="str">
        <f t="shared" si="67"/>
        <v/>
      </c>
      <c r="G1437" s="17" t="str">
        <f t="shared" si="65"/>
        <v/>
      </c>
      <c r="I1437" s="17" t="str">
        <f t="shared" si="66"/>
        <v/>
      </c>
    </row>
    <row r="1438" spans="1:9">
      <c r="A1438" s="15" t="str">
        <f t="shared" si="67"/>
        <v/>
      </c>
      <c r="G1438" s="17" t="str">
        <f t="shared" si="65"/>
        <v/>
      </c>
      <c r="I1438" s="17" t="str">
        <f t="shared" si="66"/>
        <v/>
      </c>
    </row>
    <row r="1439" spans="1:9">
      <c r="A1439" s="15" t="str">
        <f t="shared" si="67"/>
        <v/>
      </c>
      <c r="G1439" s="17" t="str">
        <f t="shared" si="65"/>
        <v/>
      </c>
      <c r="I1439" s="17" t="str">
        <f t="shared" si="66"/>
        <v/>
      </c>
    </row>
    <row r="1440" spans="1:9">
      <c r="A1440" s="15" t="str">
        <f t="shared" si="67"/>
        <v/>
      </c>
      <c r="G1440" s="17" t="str">
        <f t="shared" si="65"/>
        <v/>
      </c>
      <c r="I1440" s="17" t="str">
        <f t="shared" si="66"/>
        <v/>
      </c>
    </row>
    <row r="1441" spans="1:9">
      <c r="A1441" s="15" t="str">
        <f t="shared" si="67"/>
        <v/>
      </c>
      <c r="G1441" s="17" t="str">
        <f t="shared" si="65"/>
        <v/>
      </c>
      <c r="I1441" s="17" t="str">
        <f t="shared" si="66"/>
        <v/>
      </c>
    </row>
    <row r="1442" spans="1:9">
      <c r="A1442" s="15" t="str">
        <f t="shared" si="67"/>
        <v/>
      </c>
      <c r="G1442" s="17" t="str">
        <f t="shared" si="65"/>
        <v/>
      </c>
      <c r="I1442" s="17" t="str">
        <f t="shared" si="66"/>
        <v/>
      </c>
    </row>
    <row r="1443" spans="1:9">
      <c r="A1443" s="15" t="str">
        <f t="shared" si="67"/>
        <v/>
      </c>
      <c r="G1443" s="17" t="str">
        <f t="shared" si="65"/>
        <v/>
      </c>
      <c r="I1443" s="17" t="str">
        <f t="shared" si="66"/>
        <v/>
      </c>
    </row>
    <row r="1444" spans="1:9">
      <c r="A1444" s="15" t="str">
        <f t="shared" si="67"/>
        <v/>
      </c>
      <c r="G1444" s="17" t="str">
        <f t="shared" si="65"/>
        <v/>
      </c>
      <c r="I1444" s="17" t="str">
        <f t="shared" si="66"/>
        <v/>
      </c>
    </row>
    <row r="1445" spans="1:9">
      <c r="A1445" s="15" t="str">
        <f t="shared" si="67"/>
        <v/>
      </c>
      <c r="G1445" s="17" t="str">
        <f t="shared" si="65"/>
        <v/>
      </c>
      <c r="I1445" s="17" t="str">
        <f t="shared" si="66"/>
        <v/>
      </c>
    </row>
    <row r="1446" spans="1:9">
      <c r="A1446" s="15" t="str">
        <f t="shared" si="67"/>
        <v/>
      </c>
      <c r="G1446" s="17" t="str">
        <f t="shared" si="65"/>
        <v/>
      </c>
      <c r="I1446" s="17" t="str">
        <f t="shared" si="66"/>
        <v/>
      </c>
    </row>
    <row r="1447" spans="1:9">
      <c r="A1447" s="15" t="str">
        <f t="shared" si="67"/>
        <v/>
      </c>
      <c r="G1447" s="17" t="str">
        <f t="shared" si="65"/>
        <v/>
      </c>
      <c r="I1447" s="17" t="str">
        <f t="shared" si="66"/>
        <v/>
      </c>
    </row>
    <row r="1448" spans="1:9">
      <c r="A1448" s="15" t="str">
        <f t="shared" si="67"/>
        <v/>
      </c>
      <c r="G1448" s="17" t="str">
        <f t="shared" si="65"/>
        <v/>
      </c>
      <c r="I1448" s="17" t="str">
        <f t="shared" si="66"/>
        <v/>
      </c>
    </row>
    <row r="1449" spans="1:9">
      <c r="A1449" s="15" t="str">
        <f t="shared" si="67"/>
        <v/>
      </c>
      <c r="G1449" s="17" t="str">
        <f t="shared" si="65"/>
        <v/>
      </c>
      <c r="I1449" s="17" t="str">
        <f t="shared" si="66"/>
        <v/>
      </c>
    </row>
    <row r="1450" spans="1:9">
      <c r="A1450" s="15" t="str">
        <f t="shared" si="67"/>
        <v/>
      </c>
      <c r="G1450" s="17" t="str">
        <f t="shared" si="65"/>
        <v/>
      </c>
      <c r="I1450" s="17" t="str">
        <f t="shared" si="66"/>
        <v/>
      </c>
    </row>
    <row r="1451" spans="1:9">
      <c r="A1451" s="15" t="str">
        <f t="shared" si="67"/>
        <v/>
      </c>
      <c r="G1451" s="17" t="str">
        <f t="shared" si="65"/>
        <v/>
      </c>
      <c r="I1451" s="17" t="str">
        <f t="shared" si="66"/>
        <v/>
      </c>
    </row>
    <row r="1452" spans="1:9">
      <c r="A1452" s="15" t="str">
        <f t="shared" si="67"/>
        <v/>
      </c>
      <c r="G1452" s="17" t="str">
        <f t="shared" si="65"/>
        <v/>
      </c>
      <c r="I1452" s="17" t="str">
        <f t="shared" si="66"/>
        <v/>
      </c>
    </row>
    <row r="1453" spans="1:9">
      <c r="A1453" s="15" t="str">
        <f t="shared" si="67"/>
        <v/>
      </c>
      <c r="G1453" s="17" t="str">
        <f t="shared" si="65"/>
        <v/>
      </c>
      <c r="I1453" s="17" t="str">
        <f t="shared" si="66"/>
        <v/>
      </c>
    </row>
    <row r="1454" spans="1:9">
      <c r="A1454" s="15" t="str">
        <f t="shared" si="67"/>
        <v/>
      </c>
      <c r="G1454" s="17" t="str">
        <f t="shared" si="65"/>
        <v/>
      </c>
      <c r="I1454" s="17" t="str">
        <f t="shared" si="66"/>
        <v/>
      </c>
    </row>
    <row r="1455" spans="1:9">
      <c r="A1455" s="15" t="str">
        <f t="shared" si="67"/>
        <v/>
      </c>
      <c r="G1455" s="17" t="str">
        <f t="shared" ref="G1455:G1518" si="68">IFERROR(VLOOKUP(C1455,$U$3:$W$19,2,),"")</f>
        <v/>
      </c>
      <c r="I1455" s="17" t="str">
        <f t="shared" ref="I1455:I1518" si="69">IFERROR(VLOOKUP(C1455,$U$3:$W$19,3,),"")</f>
        <v/>
      </c>
    </row>
    <row r="1456" spans="1:9">
      <c r="A1456" s="15" t="str">
        <f t="shared" si="67"/>
        <v/>
      </c>
      <c r="G1456" s="17" t="str">
        <f t="shared" si="68"/>
        <v/>
      </c>
      <c r="I1456" s="17" t="str">
        <f t="shared" si="69"/>
        <v/>
      </c>
    </row>
    <row r="1457" spans="1:9">
      <c r="A1457" s="15" t="str">
        <f t="shared" si="67"/>
        <v/>
      </c>
      <c r="G1457" s="17" t="str">
        <f t="shared" si="68"/>
        <v/>
      </c>
      <c r="I1457" s="17" t="str">
        <f t="shared" si="69"/>
        <v/>
      </c>
    </row>
    <row r="1458" spans="1:9">
      <c r="A1458" s="15" t="str">
        <f t="shared" si="67"/>
        <v/>
      </c>
      <c r="G1458" s="17" t="str">
        <f t="shared" si="68"/>
        <v/>
      </c>
      <c r="I1458" s="17" t="str">
        <f t="shared" si="69"/>
        <v/>
      </c>
    </row>
    <row r="1459" spans="1:9">
      <c r="A1459" s="15" t="str">
        <f t="shared" si="67"/>
        <v/>
      </c>
      <c r="G1459" s="17" t="str">
        <f t="shared" si="68"/>
        <v/>
      </c>
      <c r="I1459" s="17" t="str">
        <f t="shared" si="69"/>
        <v/>
      </c>
    </row>
    <row r="1460" spans="1:9">
      <c r="A1460" s="15" t="str">
        <f t="shared" si="67"/>
        <v/>
      </c>
      <c r="G1460" s="17" t="str">
        <f t="shared" si="68"/>
        <v/>
      </c>
      <c r="I1460" s="17" t="str">
        <f t="shared" si="69"/>
        <v/>
      </c>
    </row>
    <row r="1461" spans="1:9">
      <c r="A1461" s="15" t="str">
        <f t="shared" si="67"/>
        <v/>
      </c>
      <c r="G1461" s="17" t="str">
        <f t="shared" si="68"/>
        <v/>
      </c>
      <c r="I1461" s="17" t="str">
        <f t="shared" si="69"/>
        <v/>
      </c>
    </row>
    <row r="1462" spans="1:9">
      <c r="A1462" s="15" t="str">
        <f t="shared" si="67"/>
        <v/>
      </c>
      <c r="G1462" s="17" t="str">
        <f t="shared" si="68"/>
        <v/>
      </c>
      <c r="I1462" s="17" t="str">
        <f t="shared" si="69"/>
        <v/>
      </c>
    </row>
    <row r="1463" spans="1:9">
      <c r="A1463" s="15" t="str">
        <f t="shared" si="67"/>
        <v/>
      </c>
      <c r="G1463" s="17" t="str">
        <f t="shared" si="68"/>
        <v/>
      </c>
      <c r="I1463" s="17" t="str">
        <f t="shared" si="69"/>
        <v/>
      </c>
    </row>
    <row r="1464" spans="1:9">
      <c r="A1464" s="15" t="str">
        <f t="shared" si="67"/>
        <v/>
      </c>
      <c r="G1464" s="17" t="str">
        <f t="shared" si="68"/>
        <v/>
      </c>
      <c r="I1464" s="17" t="str">
        <f t="shared" si="69"/>
        <v/>
      </c>
    </row>
    <row r="1465" spans="1:9">
      <c r="A1465" s="15" t="str">
        <f t="shared" si="67"/>
        <v/>
      </c>
      <c r="G1465" s="17" t="str">
        <f t="shared" si="68"/>
        <v/>
      </c>
      <c r="I1465" s="17" t="str">
        <f t="shared" si="69"/>
        <v/>
      </c>
    </row>
    <row r="1466" spans="1:9">
      <c r="A1466" s="15" t="str">
        <f t="shared" si="67"/>
        <v/>
      </c>
      <c r="G1466" s="17" t="str">
        <f t="shared" si="68"/>
        <v/>
      </c>
      <c r="I1466" s="17" t="str">
        <f t="shared" si="69"/>
        <v/>
      </c>
    </row>
    <row r="1467" spans="1:9">
      <c r="A1467" s="15" t="str">
        <f t="shared" si="67"/>
        <v/>
      </c>
      <c r="G1467" s="17" t="str">
        <f t="shared" si="68"/>
        <v/>
      </c>
      <c r="I1467" s="17" t="str">
        <f t="shared" si="69"/>
        <v/>
      </c>
    </row>
    <row r="1468" spans="1:9">
      <c r="A1468" s="15" t="str">
        <f t="shared" si="67"/>
        <v/>
      </c>
      <c r="G1468" s="17" t="str">
        <f t="shared" si="68"/>
        <v/>
      </c>
      <c r="I1468" s="17" t="str">
        <f t="shared" si="69"/>
        <v/>
      </c>
    </row>
    <row r="1469" spans="1:9">
      <c r="A1469" s="15" t="str">
        <f t="shared" si="67"/>
        <v/>
      </c>
      <c r="G1469" s="17" t="str">
        <f t="shared" si="68"/>
        <v/>
      </c>
      <c r="I1469" s="17" t="str">
        <f t="shared" si="69"/>
        <v/>
      </c>
    </row>
    <row r="1470" spans="1:9">
      <c r="A1470" s="15" t="str">
        <f t="shared" si="67"/>
        <v/>
      </c>
      <c r="G1470" s="17" t="str">
        <f t="shared" si="68"/>
        <v/>
      </c>
      <c r="I1470" s="17" t="str">
        <f t="shared" si="69"/>
        <v/>
      </c>
    </row>
    <row r="1471" spans="1:9">
      <c r="A1471" s="15" t="str">
        <f t="shared" si="67"/>
        <v/>
      </c>
      <c r="G1471" s="17" t="str">
        <f t="shared" si="68"/>
        <v/>
      </c>
      <c r="I1471" s="17" t="str">
        <f t="shared" si="69"/>
        <v/>
      </c>
    </row>
    <row r="1472" spans="1:9">
      <c r="A1472" s="15" t="str">
        <f t="shared" si="67"/>
        <v/>
      </c>
      <c r="G1472" s="17" t="str">
        <f t="shared" si="68"/>
        <v/>
      </c>
      <c r="I1472" s="17" t="str">
        <f t="shared" si="69"/>
        <v/>
      </c>
    </row>
    <row r="1473" spans="1:9">
      <c r="A1473" s="15" t="str">
        <f t="shared" si="67"/>
        <v/>
      </c>
      <c r="G1473" s="17" t="str">
        <f t="shared" si="68"/>
        <v/>
      </c>
      <c r="I1473" s="17" t="str">
        <f t="shared" si="69"/>
        <v/>
      </c>
    </row>
    <row r="1474" spans="1:9">
      <c r="A1474" s="15" t="str">
        <f t="shared" si="67"/>
        <v/>
      </c>
      <c r="G1474" s="17" t="str">
        <f t="shared" si="68"/>
        <v/>
      </c>
      <c r="I1474" s="17" t="str">
        <f t="shared" si="69"/>
        <v/>
      </c>
    </row>
    <row r="1475" spans="1:9">
      <c r="A1475" s="15" t="str">
        <f t="shared" si="67"/>
        <v/>
      </c>
      <c r="G1475" s="17" t="str">
        <f t="shared" si="68"/>
        <v/>
      </c>
      <c r="I1475" s="17" t="str">
        <f t="shared" si="69"/>
        <v/>
      </c>
    </row>
    <row r="1476" spans="1:9">
      <c r="A1476" s="15" t="str">
        <f t="shared" si="67"/>
        <v/>
      </c>
      <c r="G1476" s="17" t="str">
        <f t="shared" si="68"/>
        <v/>
      </c>
      <c r="I1476" s="17" t="str">
        <f t="shared" si="69"/>
        <v/>
      </c>
    </row>
    <row r="1477" spans="1:9">
      <c r="A1477" s="15" t="str">
        <f t="shared" si="67"/>
        <v/>
      </c>
      <c r="G1477" s="17" t="str">
        <f t="shared" si="68"/>
        <v/>
      </c>
      <c r="I1477" s="17" t="str">
        <f t="shared" si="69"/>
        <v/>
      </c>
    </row>
    <row r="1478" spans="1:9">
      <c r="A1478" s="15" t="str">
        <f t="shared" si="67"/>
        <v/>
      </c>
      <c r="G1478" s="17" t="str">
        <f t="shared" si="68"/>
        <v/>
      </c>
      <c r="I1478" s="17" t="str">
        <f t="shared" si="69"/>
        <v/>
      </c>
    </row>
    <row r="1479" spans="1:9">
      <c r="A1479" s="15" t="str">
        <f t="shared" si="67"/>
        <v/>
      </c>
      <c r="G1479" s="17" t="str">
        <f t="shared" si="68"/>
        <v/>
      </c>
      <c r="I1479" s="17" t="str">
        <f t="shared" si="69"/>
        <v/>
      </c>
    </row>
    <row r="1480" spans="1:9">
      <c r="A1480" s="15" t="str">
        <f t="shared" si="67"/>
        <v/>
      </c>
      <c r="G1480" s="17" t="str">
        <f t="shared" si="68"/>
        <v/>
      </c>
      <c r="I1480" s="17" t="str">
        <f t="shared" si="69"/>
        <v/>
      </c>
    </row>
    <row r="1481" spans="1:9">
      <c r="A1481" s="15" t="str">
        <f t="shared" si="67"/>
        <v/>
      </c>
      <c r="G1481" s="17" t="str">
        <f t="shared" si="68"/>
        <v/>
      </c>
      <c r="I1481" s="17" t="str">
        <f t="shared" si="69"/>
        <v/>
      </c>
    </row>
    <row r="1482" spans="1:9">
      <c r="A1482" s="15" t="str">
        <f t="shared" si="67"/>
        <v/>
      </c>
      <c r="G1482" s="17" t="str">
        <f t="shared" si="68"/>
        <v/>
      </c>
      <c r="I1482" s="17" t="str">
        <f t="shared" si="69"/>
        <v/>
      </c>
    </row>
    <row r="1483" spans="1:9">
      <c r="A1483" s="15" t="str">
        <f t="shared" si="67"/>
        <v/>
      </c>
      <c r="G1483" s="17" t="str">
        <f t="shared" si="68"/>
        <v/>
      </c>
      <c r="I1483" s="17" t="str">
        <f t="shared" si="69"/>
        <v/>
      </c>
    </row>
    <row r="1484" spans="1:9">
      <c r="A1484" s="15" t="str">
        <f t="shared" si="67"/>
        <v/>
      </c>
      <c r="G1484" s="17" t="str">
        <f t="shared" si="68"/>
        <v/>
      </c>
      <c r="I1484" s="17" t="str">
        <f t="shared" si="69"/>
        <v/>
      </c>
    </row>
    <row r="1485" spans="1:9">
      <c r="A1485" s="15" t="str">
        <f t="shared" si="67"/>
        <v/>
      </c>
      <c r="G1485" s="17" t="str">
        <f t="shared" si="68"/>
        <v/>
      </c>
      <c r="I1485" s="17" t="str">
        <f t="shared" si="69"/>
        <v/>
      </c>
    </row>
    <row r="1486" spans="1:9">
      <c r="A1486" s="15" t="str">
        <f t="shared" si="67"/>
        <v/>
      </c>
      <c r="G1486" s="17" t="str">
        <f t="shared" si="68"/>
        <v/>
      </c>
      <c r="I1486" s="17" t="str">
        <f t="shared" si="69"/>
        <v/>
      </c>
    </row>
    <row r="1487" spans="1:9">
      <c r="A1487" s="15" t="str">
        <f t="shared" si="67"/>
        <v/>
      </c>
      <c r="G1487" s="17" t="str">
        <f t="shared" si="68"/>
        <v/>
      </c>
      <c r="I1487" s="17" t="str">
        <f t="shared" si="69"/>
        <v/>
      </c>
    </row>
    <row r="1488" spans="1:9">
      <c r="A1488" s="15" t="str">
        <f t="shared" si="67"/>
        <v/>
      </c>
      <c r="G1488" s="17" t="str">
        <f t="shared" si="68"/>
        <v/>
      </c>
      <c r="I1488" s="17" t="str">
        <f t="shared" si="69"/>
        <v/>
      </c>
    </row>
    <row r="1489" spans="1:9">
      <c r="A1489" s="15" t="str">
        <f t="shared" si="67"/>
        <v/>
      </c>
      <c r="G1489" s="17" t="str">
        <f t="shared" si="68"/>
        <v/>
      </c>
      <c r="I1489" s="17" t="str">
        <f t="shared" si="69"/>
        <v/>
      </c>
    </row>
    <row r="1490" spans="1:9">
      <c r="A1490" s="15" t="str">
        <f t="shared" si="67"/>
        <v/>
      </c>
      <c r="G1490" s="17" t="str">
        <f t="shared" si="68"/>
        <v/>
      </c>
      <c r="I1490" s="17" t="str">
        <f t="shared" si="69"/>
        <v/>
      </c>
    </row>
    <row r="1491" spans="1:9">
      <c r="A1491" s="15" t="str">
        <f t="shared" si="67"/>
        <v/>
      </c>
      <c r="G1491" s="17" t="str">
        <f t="shared" si="68"/>
        <v/>
      </c>
      <c r="I1491" s="17" t="str">
        <f t="shared" si="69"/>
        <v/>
      </c>
    </row>
    <row r="1492" spans="1:9">
      <c r="A1492" s="15" t="str">
        <f t="shared" si="67"/>
        <v/>
      </c>
      <c r="G1492" s="17" t="str">
        <f t="shared" si="68"/>
        <v/>
      </c>
      <c r="I1492" s="17" t="str">
        <f t="shared" si="69"/>
        <v/>
      </c>
    </row>
    <row r="1493" spans="1:9">
      <c r="A1493" s="15" t="str">
        <f t="shared" si="67"/>
        <v/>
      </c>
      <c r="G1493" s="17" t="str">
        <f t="shared" si="68"/>
        <v/>
      </c>
      <c r="I1493" s="17" t="str">
        <f t="shared" si="69"/>
        <v/>
      </c>
    </row>
    <row r="1494" spans="1:9">
      <c r="A1494" s="15" t="str">
        <f t="shared" si="67"/>
        <v/>
      </c>
      <c r="G1494" s="17" t="str">
        <f t="shared" si="68"/>
        <v/>
      </c>
      <c r="I1494" s="17" t="str">
        <f t="shared" si="69"/>
        <v/>
      </c>
    </row>
    <row r="1495" spans="1:9">
      <c r="A1495" s="15" t="str">
        <f t="shared" si="67"/>
        <v/>
      </c>
      <c r="G1495" s="17" t="str">
        <f t="shared" si="68"/>
        <v/>
      </c>
      <c r="I1495" s="17" t="str">
        <f t="shared" si="69"/>
        <v/>
      </c>
    </row>
    <row r="1496" spans="1:9">
      <c r="A1496" s="15" t="str">
        <f t="shared" ref="A1496:A1559" si="70">IF(B1496&lt;&gt;"",ROW()-2,"")</f>
        <v/>
      </c>
      <c r="G1496" s="17" t="str">
        <f t="shared" si="68"/>
        <v/>
      </c>
      <c r="I1496" s="17" t="str">
        <f t="shared" si="69"/>
        <v/>
      </c>
    </row>
    <row r="1497" spans="1:9">
      <c r="A1497" s="15" t="str">
        <f t="shared" si="70"/>
        <v/>
      </c>
      <c r="G1497" s="17" t="str">
        <f t="shared" si="68"/>
        <v/>
      </c>
      <c r="I1497" s="17" t="str">
        <f t="shared" si="69"/>
        <v/>
      </c>
    </row>
    <row r="1498" spans="1:9">
      <c r="A1498" s="15" t="str">
        <f t="shared" si="70"/>
        <v/>
      </c>
      <c r="G1498" s="17" t="str">
        <f t="shared" si="68"/>
        <v/>
      </c>
      <c r="I1498" s="17" t="str">
        <f t="shared" si="69"/>
        <v/>
      </c>
    </row>
    <row r="1499" spans="1:9">
      <c r="A1499" s="15" t="str">
        <f t="shared" si="70"/>
        <v/>
      </c>
      <c r="G1499" s="17" t="str">
        <f t="shared" si="68"/>
        <v/>
      </c>
      <c r="I1499" s="17" t="str">
        <f t="shared" si="69"/>
        <v/>
      </c>
    </row>
    <row r="1500" spans="1:9">
      <c r="A1500" s="15" t="str">
        <f t="shared" si="70"/>
        <v/>
      </c>
      <c r="G1500" s="17" t="str">
        <f t="shared" si="68"/>
        <v/>
      </c>
      <c r="I1500" s="17" t="str">
        <f t="shared" si="69"/>
        <v/>
      </c>
    </row>
    <row r="1501" spans="1:9">
      <c r="A1501" s="15" t="str">
        <f t="shared" si="70"/>
        <v/>
      </c>
      <c r="G1501" s="17" t="str">
        <f t="shared" si="68"/>
        <v/>
      </c>
      <c r="I1501" s="17" t="str">
        <f t="shared" si="69"/>
        <v/>
      </c>
    </row>
    <row r="1502" spans="1:9">
      <c r="A1502" s="15" t="str">
        <f t="shared" si="70"/>
        <v/>
      </c>
      <c r="G1502" s="17" t="str">
        <f t="shared" si="68"/>
        <v/>
      </c>
      <c r="I1502" s="17" t="str">
        <f t="shared" si="69"/>
        <v/>
      </c>
    </row>
    <row r="1503" spans="1:9">
      <c r="A1503" s="15" t="str">
        <f t="shared" si="70"/>
        <v/>
      </c>
      <c r="G1503" s="17" t="str">
        <f t="shared" si="68"/>
        <v/>
      </c>
      <c r="I1503" s="17" t="str">
        <f t="shared" si="69"/>
        <v/>
      </c>
    </row>
    <row r="1504" spans="1:9">
      <c r="A1504" s="15" t="str">
        <f t="shared" si="70"/>
        <v/>
      </c>
      <c r="G1504" s="17" t="str">
        <f t="shared" si="68"/>
        <v/>
      </c>
      <c r="I1504" s="17" t="str">
        <f t="shared" si="69"/>
        <v/>
      </c>
    </row>
    <row r="1505" spans="1:9">
      <c r="A1505" s="15" t="str">
        <f t="shared" si="70"/>
        <v/>
      </c>
      <c r="G1505" s="17" t="str">
        <f t="shared" si="68"/>
        <v/>
      </c>
      <c r="I1505" s="17" t="str">
        <f t="shared" si="69"/>
        <v/>
      </c>
    </row>
    <row r="1506" spans="1:9">
      <c r="A1506" s="15" t="str">
        <f t="shared" si="70"/>
        <v/>
      </c>
      <c r="G1506" s="17" t="str">
        <f t="shared" si="68"/>
        <v/>
      </c>
      <c r="I1506" s="17" t="str">
        <f t="shared" si="69"/>
        <v/>
      </c>
    </row>
    <row r="1507" spans="1:9">
      <c r="A1507" s="15" t="str">
        <f t="shared" si="70"/>
        <v/>
      </c>
      <c r="G1507" s="17" t="str">
        <f t="shared" si="68"/>
        <v/>
      </c>
      <c r="I1507" s="17" t="str">
        <f t="shared" si="69"/>
        <v/>
      </c>
    </row>
    <row r="1508" spans="1:9">
      <c r="A1508" s="15" t="str">
        <f t="shared" si="70"/>
        <v/>
      </c>
      <c r="G1508" s="17" t="str">
        <f t="shared" si="68"/>
        <v/>
      </c>
      <c r="I1508" s="17" t="str">
        <f t="shared" si="69"/>
        <v/>
      </c>
    </row>
    <row r="1509" spans="1:9">
      <c r="A1509" s="15" t="str">
        <f t="shared" si="70"/>
        <v/>
      </c>
      <c r="G1509" s="17" t="str">
        <f t="shared" si="68"/>
        <v/>
      </c>
      <c r="I1509" s="17" t="str">
        <f t="shared" si="69"/>
        <v/>
      </c>
    </row>
    <row r="1510" spans="1:9">
      <c r="A1510" s="15" t="str">
        <f t="shared" si="70"/>
        <v/>
      </c>
      <c r="G1510" s="17" t="str">
        <f t="shared" si="68"/>
        <v/>
      </c>
      <c r="I1510" s="17" t="str">
        <f t="shared" si="69"/>
        <v/>
      </c>
    </row>
    <row r="1511" spans="1:9">
      <c r="A1511" s="15" t="str">
        <f t="shared" si="70"/>
        <v/>
      </c>
      <c r="G1511" s="17" t="str">
        <f t="shared" si="68"/>
        <v/>
      </c>
      <c r="I1511" s="17" t="str">
        <f t="shared" si="69"/>
        <v/>
      </c>
    </row>
    <row r="1512" spans="1:9">
      <c r="A1512" s="15" t="str">
        <f t="shared" si="70"/>
        <v/>
      </c>
      <c r="G1512" s="17" t="str">
        <f t="shared" si="68"/>
        <v/>
      </c>
      <c r="I1512" s="17" t="str">
        <f t="shared" si="69"/>
        <v/>
      </c>
    </row>
    <row r="1513" spans="1:9">
      <c r="A1513" s="15" t="str">
        <f t="shared" si="70"/>
        <v/>
      </c>
      <c r="G1513" s="17" t="str">
        <f t="shared" si="68"/>
        <v/>
      </c>
      <c r="I1513" s="17" t="str">
        <f t="shared" si="69"/>
        <v/>
      </c>
    </row>
    <row r="1514" spans="1:9">
      <c r="A1514" s="15" t="str">
        <f t="shared" si="70"/>
        <v/>
      </c>
      <c r="G1514" s="17" t="str">
        <f t="shared" si="68"/>
        <v/>
      </c>
      <c r="I1514" s="17" t="str">
        <f t="shared" si="69"/>
        <v/>
      </c>
    </row>
    <row r="1515" spans="1:9">
      <c r="A1515" s="15" t="str">
        <f t="shared" si="70"/>
        <v/>
      </c>
      <c r="G1515" s="17" t="str">
        <f t="shared" si="68"/>
        <v/>
      </c>
      <c r="I1515" s="17" t="str">
        <f t="shared" si="69"/>
        <v/>
      </c>
    </row>
    <row r="1516" spans="1:9">
      <c r="A1516" s="15" t="str">
        <f t="shared" si="70"/>
        <v/>
      </c>
      <c r="G1516" s="17" t="str">
        <f t="shared" si="68"/>
        <v/>
      </c>
      <c r="I1516" s="17" t="str">
        <f t="shared" si="69"/>
        <v/>
      </c>
    </row>
    <row r="1517" spans="1:9">
      <c r="A1517" s="15" t="str">
        <f t="shared" si="70"/>
        <v/>
      </c>
      <c r="G1517" s="17" t="str">
        <f t="shared" si="68"/>
        <v/>
      </c>
      <c r="I1517" s="17" t="str">
        <f t="shared" si="69"/>
        <v/>
      </c>
    </row>
    <row r="1518" spans="1:9">
      <c r="A1518" s="15" t="str">
        <f t="shared" si="70"/>
        <v/>
      </c>
      <c r="G1518" s="17" t="str">
        <f t="shared" si="68"/>
        <v/>
      </c>
      <c r="I1518" s="17" t="str">
        <f t="shared" si="69"/>
        <v/>
      </c>
    </row>
    <row r="1519" spans="1:9">
      <c r="A1519" s="15" t="str">
        <f t="shared" si="70"/>
        <v/>
      </c>
      <c r="G1519" s="17" t="str">
        <f t="shared" ref="G1519:G1582" si="71">IFERROR(VLOOKUP(C1519,$U$3:$W$19,2,),"")</f>
        <v/>
      </c>
      <c r="I1519" s="17" t="str">
        <f t="shared" ref="I1519:I1582" si="72">IFERROR(VLOOKUP(C1519,$U$3:$W$19,3,),"")</f>
        <v/>
      </c>
    </row>
    <row r="1520" spans="1:9">
      <c r="A1520" s="15" t="str">
        <f t="shared" si="70"/>
        <v/>
      </c>
      <c r="G1520" s="17" t="str">
        <f t="shared" si="71"/>
        <v/>
      </c>
      <c r="I1520" s="17" t="str">
        <f t="shared" si="72"/>
        <v/>
      </c>
    </row>
    <row r="1521" spans="1:9">
      <c r="A1521" s="15" t="str">
        <f t="shared" si="70"/>
        <v/>
      </c>
      <c r="G1521" s="17" t="str">
        <f t="shared" si="71"/>
        <v/>
      </c>
      <c r="I1521" s="17" t="str">
        <f t="shared" si="72"/>
        <v/>
      </c>
    </row>
    <row r="1522" spans="1:9">
      <c r="A1522" s="15" t="str">
        <f t="shared" si="70"/>
        <v/>
      </c>
      <c r="G1522" s="17" t="str">
        <f t="shared" si="71"/>
        <v/>
      </c>
      <c r="I1522" s="17" t="str">
        <f t="shared" si="72"/>
        <v/>
      </c>
    </row>
    <row r="1523" spans="1:9">
      <c r="A1523" s="15" t="str">
        <f t="shared" si="70"/>
        <v/>
      </c>
      <c r="G1523" s="17" t="str">
        <f t="shared" si="71"/>
        <v/>
      </c>
      <c r="I1523" s="17" t="str">
        <f t="shared" si="72"/>
        <v/>
      </c>
    </row>
    <row r="1524" spans="1:9">
      <c r="A1524" s="15" t="str">
        <f t="shared" si="70"/>
        <v/>
      </c>
      <c r="G1524" s="17" t="str">
        <f t="shared" si="71"/>
        <v/>
      </c>
      <c r="I1524" s="17" t="str">
        <f t="shared" si="72"/>
        <v/>
      </c>
    </row>
    <row r="1525" spans="1:9">
      <c r="A1525" s="15" t="str">
        <f t="shared" si="70"/>
        <v/>
      </c>
      <c r="G1525" s="17" t="str">
        <f t="shared" si="71"/>
        <v/>
      </c>
      <c r="I1525" s="17" t="str">
        <f t="shared" si="72"/>
        <v/>
      </c>
    </row>
    <row r="1526" spans="1:9">
      <c r="A1526" s="15" t="str">
        <f t="shared" si="70"/>
        <v/>
      </c>
      <c r="G1526" s="17" t="str">
        <f t="shared" si="71"/>
        <v/>
      </c>
      <c r="I1526" s="17" t="str">
        <f t="shared" si="72"/>
        <v/>
      </c>
    </row>
    <row r="1527" spans="1:9">
      <c r="A1527" s="15" t="str">
        <f t="shared" si="70"/>
        <v/>
      </c>
      <c r="G1527" s="17" t="str">
        <f t="shared" si="71"/>
        <v/>
      </c>
      <c r="I1527" s="17" t="str">
        <f t="shared" si="72"/>
        <v/>
      </c>
    </row>
    <row r="1528" spans="1:9">
      <c r="A1528" s="15" t="str">
        <f t="shared" si="70"/>
        <v/>
      </c>
      <c r="G1528" s="17" t="str">
        <f t="shared" si="71"/>
        <v/>
      </c>
      <c r="I1528" s="17" t="str">
        <f t="shared" si="72"/>
        <v/>
      </c>
    </row>
    <row r="1529" spans="1:9">
      <c r="A1529" s="15" t="str">
        <f t="shared" si="70"/>
        <v/>
      </c>
      <c r="G1529" s="17" t="str">
        <f t="shared" si="71"/>
        <v/>
      </c>
      <c r="I1529" s="17" t="str">
        <f t="shared" si="72"/>
        <v/>
      </c>
    </row>
    <row r="1530" spans="1:9">
      <c r="A1530" s="15" t="str">
        <f t="shared" si="70"/>
        <v/>
      </c>
      <c r="G1530" s="17" t="str">
        <f t="shared" si="71"/>
        <v/>
      </c>
      <c r="I1530" s="17" t="str">
        <f t="shared" si="72"/>
        <v/>
      </c>
    </row>
    <row r="1531" spans="1:9">
      <c r="A1531" s="15" t="str">
        <f t="shared" si="70"/>
        <v/>
      </c>
      <c r="G1531" s="17" t="str">
        <f t="shared" si="71"/>
        <v/>
      </c>
      <c r="I1531" s="17" t="str">
        <f t="shared" si="72"/>
        <v/>
      </c>
    </row>
    <row r="1532" spans="1:9">
      <c r="A1532" s="15" t="str">
        <f t="shared" si="70"/>
        <v/>
      </c>
      <c r="G1532" s="17" t="str">
        <f t="shared" si="71"/>
        <v/>
      </c>
      <c r="I1532" s="17" t="str">
        <f t="shared" si="72"/>
        <v/>
      </c>
    </row>
    <row r="1533" spans="1:9">
      <c r="A1533" s="15" t="str">
        <f t="shared" si="70"/>
        <v/>
      </c>
      <c r="G1533" s="17" t="str">
        <f t="shared" si="71"/>
        <v/>
      </c>
      <c r="I1533" s="17" t="str">
        <f t="shared" si="72"/>
        <v/>
      </c>
    </row>
    <row r="1534" spans="1:9">
      <c r="A1534" s="15" t="str">
        <f t="shared" si="70"/>
        <v/>
      </c>
      <c r="G1534" s="17" t="str">
        <f t="shared" si="71"/>
        <v/>
      </c>
      <c r="I1534" s="17" t="str">
        <f t="shared" si="72"/>
        <v/>
      </c>
    </row>
    <row r="1535" spans="1:9">
      <c r="A1535" s="15" t="str">
        <f t="shared" si="70"/>
        <v/>
      </c>
      <c r="G1535" s="17" t="str">
        <f t="shared" si="71"/>
        <v/>
      </c>
      <c r="I1535" s="17" t="str">
        <f t="shared" si="72"/>
        <v/>
      </c>
    </row>
    <row r="1536" spans="1:9">
      <c r="A1536" s="15" t="str">
        <f t="shared" si="70"/>
        <v/>
      </c>
      <c r="G1536" s="17" t="str">
        <f t="shared" si="71"/>
        <v/>
      </c>
      <c r="I1536" s="17" t="str">
        <f t="shared" si="72"/>
        <v/>
      </c>
    </row>
    <row r="1537" spans="1:9">
      <c r="A1537" s="15" t="str">
        <f t="shared" si="70"/>
        <v/>
      </c>
      <c r="G1537" s="17" t="str">
        <f t="shared" si="71"/>
        <v/>
      </c>
      <c r="I1537" s="17" t="str">
        <f t="shared" si="72"/>
        <v/>
      </c>
    </row>
    <row r="1538" spans="1:9">
      <c r="A1538" s="15" t="str">
        <f t="shared" si="70"/>
        <v/>
      </c>
      <c r="G1538" s="17" t="str">
        <f t="shared" si="71"/>
        <v/>
      </c>
      <c r="I1538" s="17" t="str">
        <f t="shared" si="72"/>
        <v/>
      </c>
    </row>
    <row r="1539" spans="1:9">
      <c r="A1539" s="15" t="str">
        <f t="shared" si="70"/>
        <v/>
      </c>
      <c r="G1539" s="17" t="str">
        <f t="shared" si="71"/>
        <v/>
      </c>
      <c r="I1539" s="17" t="str">
        <f t="shared" si="72"/>
        <v/>
      </c>
    </row>
    <row r="1540" spans="1:9">
      <c r="A1540" s="15" t="str">
        <f t="shared" si="70"/>
        <v/>
      </c>
      <c r="G1540" s="17" t="str">
        <f t="shared" si="71"/>
        <v/>
      </c>
      <c r="I1540" s="17" t="str">
        <f t="shared" si="72"/>
        <v/>
      </c>
    </row>
    <row r="1541" spans="1:9">
      <c r="A1541" s="15" t="str">
        <f t="shared" si="70"/>
        <v/>
      </c>
      <c r="G1541" s="17" t="str">
        <f t="shared" si="71"/>
        <v/>
      </c>
      <c r="I1541" s="17" t="str">
        <f t="shared" si="72"/>
        <v/>
      </c>
    </row>
    <row r="1542" spans="1:9">
      <c r="A1542" s="15" t="str">
        <f t="shared" si="70"/>
        <v/>
      </c>
      <c r="G1542" s="17" t="str">
        <f t="shared" si="71"/>
        <v/>
      </c>
      <c r="I1542" s="17" t="str">
        <f t="shared" si="72"/>
        <v/>
      </c>
    </row>
    <row r="1543" spans="1:9">
      <c r="A1543" s="15" t="str">
        <f t="shared" si="70"/>
        <v/>
      </c>
      <c r="G1543" s="17" t="str">
        <f t="shared" si="71"/>
        <v/>
      </c>
      <c r="I1543" s="17" t="str">
        <f t="shared" si="72"/>
        <v/>
      </c>
    </row>
    <row r="1544" spans="1:9">
      <c r="A1544" s="15" t="str">
        <f t="shared" si="70"/>
        <v/>
      </c>
      <c r="G1544" s="17" t="str">
        <f t="shared" si="71"/>
        <v/>
      </c>
      <c r="I1544" s="17" t="str">
        <f t="shared" si="72"/>
        <v/>
      </c>
    </row>
    <row r="1545" spans="1:9">
      <c r="A1545" s="15" t="str">
        <f t="shared" si="70"/>
        <v/>
      </c>
      <c r="G1545" s="17" t="str">
        <f t="shared" si="71"/>
        <v/>
      </c>
      <c r="I1545" s="17" t="str">
        <f t="shared" si="72"/>
        <v/>
      </c>
    </row>
    <row r="1546" spans="1:9">
      <c r="A1546" s="15" t="str">
        <f t="shared" si="70"/>
        <v/>
      </c>
      <c r="G1546" s="17" t="str">
        <f t="shared" si="71"/>
        <v/>
      </c>
      <c r="I1546" s="17" t="str">
        <f t="shared" si="72"/>
        <v/>
      </c>
    </row>
    <row r="1547" spans="1:9">
      <c r="A1547" s="15" t="str">
        <f t="shared" si="70"/>
        <v/>
      </c>
      <c r="G1547" s="17" t="str">
        <f t="shared" si="71"/>
        <v/>
      </c>
      <c r="I1547" s="17" t="str">
        <f t="shared" si="72"/>
        <v/>
      </c>
    </row>
    <row r="1548" spans="1:9">
      <c r="A1548" s="15" t="str">
        <f t="shared" si="70"/>
        <v/>
      </c>
      <c r="G1548" s="17" t="str">
        <f t="shared" si="71"/>
        <v/>
      </c>
      <c r="I1548" s="17" t="str">
        <f t="shared" si="72"/>
        <v/>
      </c>
    </row>
    <row r="1549" spans="1:9">
      <c r="A1549" s="15" t="str">
        <f t="shared" si="70"/>
        <v/>
      </c>
      <c r="G1549" s="17" t="str">
        <f t="shared" si="71"/>
        <v/>
      </c>
      <c r="I1549" s="17" t="str">
        <f t="shared" si="72"/>
        <v/>
      </c>
    </row>
    <row r="1550" spans="1:9">
      <c r="A1550" s="15" t="str">
        <f t="shared" si="70"/>
        <v/>
      </c>
      <c r="G1550" s="17" t="str">
        <f t="shared" si="71"/>
        <v/>
      </c>
      <c r="I1550" s="17" t="str">
        <f t="shared" si="72"/>
        <v/>
      </c>
    </row>
    <row r="1551" spans="1:9">
      <c r="A1551" s="15" t="str">
        <f t="shared" si="70"/>
        <v/>
      </c>
      <c r="G1551" s="17" t="str">
        <f t="shared" si="71"/>
        <v/>
      </c>
      <c r="I1551" s="17" t="str">
        <f t="shared" si="72"/>
        <v/>
      </c>
    </row>
    <row r="1552" spans="1:9">
      <c r="A1552" s="15" t="str">
        <f t="shared" si="70"/>
        <v/>
      </c>
      <c r="G1552" s="17" t="str">
        <f t="shared" si="71"/>
        <v/>
      </c>
      <c r="I1552" s="17" t="str">
        <f t="shared" si="72"/>
        <v/>
      </c>
    </row>
    <row r="1553" spans="1:9">
      <c r="A1553" s="15" t="str">
        <f t="shared" si="70"/>
        <v/>
      </c>
      <c r="G1553" s="17" t="str">
        <f t="shared" si="71"/>
        <v/>
      </c>
      <c r="I1553" s="17" t="str">
        <f t="shared" si="72"/>
        <v/>
      </c>
    </row>
    <row r="1554" spans="1:9">
      <c r="A1554" s="15" t="str">
        <f t="shared" si="70"/>
        <v/>
      </c>
      <c r="G1554" s="17" t="str">
        <f t="shared" si="71"/>
        <v/>
      </c>
      <c r="I1554" s="17" t="str">
        <f t="shared" si="72"/>
        <v/>
      </c>
    </row>
    <row r="1555" spans="1:9">
      <c r="A1555" s="15" t="str">
        <f t="shared" si="70"/>
        <v/>
      </c>
      <c r="G1555" s="17" t="str">
        <f t="shared" si="71"/>
        <v/>
      </c>
      <c r="I1555" s="17" t="str">
        <f t="shared" si="72"/>
        <v/>
      </c>
    </row>
    <row r="1556" spans="1:9">
      <c r="A1556" s="15" t="str">
        <f t="shared" si="70"/>
        <v/>
      </c>
      <c r="G1556" s="17" t="str">
        <f t="shared" si="71"/>
        <v/>
      </c>
      <c r="I1556" s="17" t="str">
        <f t="shared" si="72"/>
        <v/>
      </c>
    </row>
    <row r="1557" spans="1:9">
      <c r="A1557" s="15" t="str">
        <f t="shared" si="70"/>
        <v/>
      </c>
      <c r="G1557" s="17" t="str">
        <f t="shared" si="71"/>
        <v/>
      </c>
      <c r="I1557" s="17" t="str">
        <f t="shared" si="72"/>
        <v/>
      </c>
    </row>
    <row r="1558" spans="1:9">
      <c r="A1558" s="15" t="str">
        <f t="shared" si="70"/>
        <v/>
      </c>
      <c r="G1558" s="17" t="str">
        <f t="shared" si="71"/>
        <v/>
      </c>
      <c r="I1558" s="17" t="str">
        <f t="shared" si="72"/>
        <v/>
      </c>
    </row>
    <row r="1559" spans="1:9">
      <c r="A1559" s="15" t="str">
        <f t="shared" si="70"/>
        <v/>
      </c>
      <c r="G1559" s="17" t="str">
        <f t="shared" si="71"/>
        <v/>
      </c>
      <c r="I1559" s="17" t="str">
        <f t="shared" si="72"/>
        <v/>
      </c>
    </row>
    <row r="1560" spans="1:9">
      <c r="A1560" s="15" t="str">
        <f t="shared" ref="A1560:A1623" si="73">IF(B1560&lt;&gt;"",ROW()-2,"")</f>
        <v/>
      </c>
      <c r="G1560" s="17" t="str">
        <f t="shared" si="71"/>
        <v/>
      </c>
      <c r="I1560" s="17" t="str">
        <f t="shared" si="72"/>
        <v/>
      </c>
    </row>
    <row r="1561" spans="1:9">
      <c r="A1561" s="15" t="str">
        <f t="shared" si="73"/>
        <v/>
      </c>
      <c r="G1561" s="17" t="str">
        <f t="shared" si="71"/>
        <v/>
      </c>
      <c r="I1561" s="17" t="str">
        <f t="shared" si="72"/>
        <v/>
      </c>
    </row>
    <row r="1562" spans="1:9">
      <c r="A1562" s="15" t="str">
        <f t="shared" si="73"/>
        <v/>
      </c>
      <c r="G1562" s="17" t="str">
        <f t="shared" si="71"/>
        <v/>
      </c>
      <c r="I1562" s="17" t="str">
        <f t="shared" si="72"/>
        <v/>
      </c>
    </row>
    <row r="1563" spans="1:9">
      <c r="A1563" s="15" t="str">
        <f t="shared" si="73"/>
        <v/>
      </c>
      <c r="G1563" s="17" t="str">
        <f t="shared" si="71"/>
        <v/>
      </c>
      <c r="I1563" s="17" t="str">
        <f t="shared" si="72"/>
        <v/>
      </c>
    </row>
    <row r="1564" spans="1:9">
      <c r="A1564" s="15" t="str">
        <f t="shared" si="73"/>
        <v/>
      </c>
      <c r="G1564" s="17" t="str">
        <f t="shared" si="71"/>
        <v/>
      </c>
      <c r="I1564" s="17" t="str">
        <f t="shared" si="72"/>
        <v/>
      </c>
    </row>
    <row r="1565" spans="1:9">
      <c r="A1565" s="15" t="str">
        <f t="shared" si="73"/>
        <v/>
      </c>
      <c r="G1565" s="17" t="str">
        <f t="shared" si="71"/>
        <v/>
      </c>
      <c r="I1565" s="17" t="str">
        <f t="shared" si="72"/>
        <v/>
      </c>
    </row>
    <row r="1566" spans="1:9">
      <c r="A1566" s="15" t="str">
        <f t="shared" si="73"/>
        <v/>
      </c>
      <c r="G1566" s="17" t="str">
        <f t="shared" si="71"/>
        <v/>
      </c>
      <c r="I1566" s="17" t="str">
        <f t="shared" si="72"/>
        <v/>
      </c>
    </row>
    <row r="1567" spans="1:9">
      <c r="A1567" s="15" t="str">
        <f t="shared" si="73"/>
        <v/>
      </c>
      <c r="G1567" s="17" t="str">
        <f t="shared" si="71"/>
        <v/>
      </c>
      <c r="I1567" s="17" t="str">
        <f t="shared" si="72"/>
        <v/>
      </c>
    </row>
    <row r="1568" spans="1:9">
      <c r="A1568" s="15" t="str">
        <f t="shared" si="73"/>
        <v/>
      </c>
      <c r="G1568" s="17" t="str">
        <f t="shared" si="71"/>
        <v/>
      </c>
      <c r="I1568" s="17" t="str">
        <f t="shared" si="72"/>
        <v/>
      </c>
    </row>
    <row r="1569" spans="1:9">
      <c r="A1569" s="15" t="str">
        <f t="shared" si="73"/>
        <v/>
      </c>
      <c r="G1569" s="17" t="str">
        <f t="shared" si="71"/>
        <v/>
      </c>
      <c r="I1569" s="17" t="str">
        <f t="shared" si="72"/>
        <v/>
      </c>
    </row>
    <row r="1570" spans="1:9">
      <c r="A1570" s="15" t="str">
        <f t="shared" si="73"/>
        <v/>
      </c>
      <c r="G1570" s="17" t="str">
        <f t="shared" si="71"/>
        <v/>
      </c>
      <c r="I1570" s="17" t="str">
        <f t="shared" si="72"/>
        <v/>
      </c>
    </row>
    <row r="1571" spans="1:9">
      <c r="A1571" s="15" t="str">
        <f t="shared" si="73"/>
        <v/>
      </c>
      <c r="G1571" s="17" t="str">
        <f t="shared" si="71"/>
        <v/>
      </c>
      <c r="I1571" s="17" t="str">
        <f t="shared" si="72"/>
        <v/>
      </c>
    </row>
    <row r="1572" spans="1:9">
      <c r="A1572" s="15" t="str">
        <f t="shared" si="73"/>
        <v/>
      </c>
      <c r="G1572" s="17" t="str">
        <f t="shared" si="71"/>
        <v/>
      </c>
      <c r="I1572" s="17" t="str">
        <f t="shared" si="72"/>
        <v/>
      </c>
    </row>
    <row r="1573" spans="1:9">
      <c r="A1573" s="15" t="str">
        <f t="shared" si="73"/>
        <v/>
      </c>
      <c r="G1573" s="17" t="str">
        <f t="shared" si="71"/>
        <v/>
      </c>
      <c r="I1573" s="17" t="str">
        <f t="shared" si="72"/>
        <v/>
      </c>
    </row>
    <row r="1574" spans="1:9">
      <c r="A1574" s="15" t="str">
        <f t="shared" si="73"/>
        <v/>
      </c>
      <c r="G1574" s="17" t="str">
        <f t="shared" si="71"/>
        <v/>
      </c>
      <c r="I1574" s="17" t="str">
        <f t="shared" si="72"/>
        <v/>
      </c>
    </row>
    <row r="1575" spans="1:9">
      <c r="A1575" s="15" t="str">
        <f t="shared" si="73"/>
        <v/>
      </c>
      <c r="G1575" s="17" t="str">
        <f t="shared" si="71"/>
        <v/>
      </c>
      <c r="I1575" s="17" t="str">
        <f t="shared" si="72"/>
        <v/>
      </c>
    </row>
    <row r="1576" spans="1:9">
      <c r="A1576" s="15" t="str">
        <f t="shared" si="73"/>
        <v/>
      </c>
      <c r="G1576" s="17" t="str">
        <f t="shared" si="71"/>
        <v/>
      </c>
      <c r="I1576" s="17" t="str">
        <f t="shared" si="72"/>
        <v/>
      </c>
    </row>
    <row r="1577" spans="1:9">
      <c r="A1577" s="15" t="str">
        <f t="shared" si="73"/>
        <v/>
      </c>
      <c r="G1577" s="17" t="str">
        <f t="shared" si="71"/>
        <v/>
      </c>
      <c r="I1577" s="17" t="str">
        <f t="shared" si="72"/>
        <v/>
      </c>
    </row>
    <row r="1578" spans="1:9">
      <c r="A1578" s="15" t="str">
        <f t="shared" si="73"/>
        <v/>
      </c>
      <c r="G1578" s="17" t="str">
        <f t="shared" si="71"/>
        <v/>
      </c>
      <c r="I1578" s="17" t="str">
        <f t="shared" si="72"/>
        <v/>
      </c>
    </row>
    <row r="1579" spans="1:9">
      <c r="A1579" s="15" t="str">
        <f t="shared" si="73"/>
        <v/>
      </c>
      <c r="G1579" s="17" t="str">
        <f t="shared" si="71"/>
        <v/>
      </c>
      <c r="I1579" s="17" t="str">
        <f t="shared" si="72"/>
        <v/>
      </c>
    </row>
    <row r="1580" spans="1:9">
      <c r="A1580" s="15" t="str">
        <f t="shared" si="73"/>
        <v/>
      </c>
      <c r="G1580" s="17" t="str">
        <f t="shared" si="71"/>
        <v/>
      </c>
      <c r="I1580" s="17" t="str">
        <f t="shared" si="72"/>
        <v/>
      </c>
    </row>
    <row r="1581" spans="1:9">
      <c r="A1581" s="15" t="str">
        <f t="shared" si="73"/>
        <v/>
      </c>
      <c r="G1581" s="17" t="str">
        <f t="shared" si="71"/>
        <v/>
      </c>
      <c r="I1581" s="17" t="str">
        <f t="shared" si="72"/>
        <v/>
      </c>
    </row>
    <row r="1582" spans="1:9">
      <c r="A1582" s="15" t="str">
        <f t="shared" si="73"/>
        <v/>
      </c>
      <c r="G1582" s="17" t="str">
        <f t="shared" si="71"/>
        <v/>
      </c>
      <c r="I1582" s="17" t="str">
        <f t="shared" si="72"/>
        <v/>
      </c>
    </row>
    <row r="1583" spans="1:9">
      <c r="A1583" s="15" t="str">
        <f t="shared" si="73"/>
        <v/>
      </c>
      <c r="G1583" s="17" t="str">
        <f t="shared" ref="G1583:G1646" si="74">IFERROR(VLOOKUP(C1583,$U$3:$W$19,2,),"")</f>
        <v/>
      </c>
      <c r="I1583" s="17" t="str">
        <f t="shared" ref="I1583:I1646" si="75">IFERROR(VLOOKUP(C1583,$U$3:$W$19,3,),"")</f>
        <v/>
      </c>
    </row>
    <row r="1584" spans="1:9">
      <c r="A1584" s="15" t="str">
        <f t="shared" si="73"/>
        <v/>
      </c>
      <c r="G1584" s="17" t="str">
        <f t="shared" si="74"/>
        <v/>
      </c>
      <c r="I1584" s="17" t="str">
        <f t="shared" si="75"/>
        <v/>
      </c>
    </row>
    <row r="1585" spans="1:9">
      <c r="A1585" s="15" t="str">
        <f t="shared" si="73"/>
        <v/>
      </c>
      <c r="G1585" s="17" t="str">
        <f t="shared" si="74"/>
        <v/>
      </c>
      <c r="I1585" s="17" t="str">
        <f t="shared" si="75"/>
        <v/>
      </c>
    </row>
    <row r="1586" spans="1:9">
      <c r="A1586" s="15" t="str">
        <f t="shared" si="73"/>
        <v/>
      </c>
      <c r="G1586" s="17" t="str">
        <f t="shared" si="74"/>
        <v/>
      </c>
      <c r="I1586" s="17" t="str">
        <f t="shared" si="75"/>
        <v/>
      </c>
    </row>
    <row r="1587" spans="1:9">
      <c r="A1587" s="15" t="str">
        <f t="shared" si="73"/>
        <v/>
      </c>
      <c r="G1587" s="17" t="str">
        <f t="shared" si="74"/>
        <v/>
      </c>
      <c r="I1587" s="17" t="str">
        <f t="shared" si="75"/>
        <v/>
      </c>
    </row>
    <row r="1588" spans="1:9">
      <c r="A1588" s="15" t="str">
        <f t="shared" si="73"/>
        <v/>
      </c>
      <c r="G1588" s="17" t="str">
        <f t="shared" si="74"/>
        <v/>
      </c>
      <c r="I1588" s="17" t="str">
        <f t="shared" si="75"/>
        <v/>
      </c>
    </row>
    <row r="1589" spans="1:9">
      <c r="A1589" s="15" t="str">
        <f t="shared" si="73"/>
        <v/>
      </c>
      <c r="G1589" s="17" t="str">
        <f t="shared" si="74"/>
        <v/>
      </c>
      <c r="I1589" s="17" t="str">
        <f t="shared" si="75"/>
        <v/>
      </c>
    </row>
    <row r="1590" spans="1:9">
      <c r="A1590" s="15" t="str">
        <f t="shared" si="73"/>
        <v/>
      </c>
      <c r="G1590" s="17" t="str">
        <f t="shared" si="74"/>
        <v/>
      </c>
      <c r="I1590" s="17" t="str">
        <f t="shared" si="75"/>
        <v/>
      </c>
    </row>
    <row r="1591" spans="1:9">
      <c r="A1591" s="15" t="str">
        <f t="shared" si="73"/>
        <v/>
      </c>
      <c r="G1591" s="17" t="str">
        <f t="shared" si="74"/>
        <v/>
      </c>
      <c r="I1591" s="17" t="str">
        <f t="shared" si="75"/>
        <v/>
      </c>
    </row>
    <row r="1592" spans="1:9">
      <c r="A1592" s="15" t="str">
        <f t="shared" si="73"/>
        <v/>
      </c>
      <c r="G1592" s="17" t="str">
        <f t="shared" si="74"/>
        <v/>
      </c>
      <c r="I1592" s="17" t="str">
        <f t="shared" si="75"/>
        <v/>
      </c>
    </row>
    <row r="1593" spans="1:9">
      <c r="A1593" s="15" t="str">
        <f t="shared" si="73"/>
        <v/>
      </c>
      <c r="G1593" s="17" t="str">
        <f t="shared" si="74"/>
        <v/>
      </c>
      <c r="I1593" s="17" t="str">
        <f t="shared" si="75"/>
        <v/>
      </c>
    </row>
    <row r="1594" spans="1:9">
      <c r="A1594" s="15" t="str">
        <f t="shared" si="73"/>
        <v/>
      </c>
      <c r="G1594" s="17" t="str">
        <f t="shared" si="74"/>
        <v/>
      </c>
      <c r="I1594" s="17" t="str">
        <f t="shared" si="75"/>
        <v/>
      </c>
    </row>
    <row r="1595" spans="1:9">
      <c r="A1595" s="15" t="str">
        <f t="shared" si="73"/>
        <v/>
      </c>
      <c r="G1595" s="17" t="str">
        <f t="shared" si="74"/>
        <v/>
      </c>
      <c r="I1595" s="17" t="str">
        <f t="shared" si="75"/>
        <v/>
      </c>
    </row>
    <row r="1596" spans="1:9">
      <c r="A1596" s="15" t="str">
        <f t="shared" si="73"/>
        <v/>
      </c>
      <c r="G1596" s="17" t="str">
        <f t="shared" si="74"/>
        <v/>
      </c>
      <c r="I1596" s="17" t="str">
        <f t="shared" si="75"/>
        <v/>
      </c>
    </row>
    <row r="1597" spans="1:9">
      <c r="A1597" s="15" t="str">
        <f t="shared" si="73"/>
        <v/>
      </c>
      <c r="G1597" s="17" t="str">
        <f t="shared" si="74"/>
        <v/>
      </c>
      <c r="I1597" s="17" t="str">
        <f t="shared" si="75"/>
        <v/>
      </c>
    </row>
    <row r="1598" spans="1:9">
      <c r="A1598" s="15" t="str">
        <f t="shared" si="73"/>
        <v/>
      </c>
      <c r="G1598" s="17" t="str">
        <f t="shared" si="74"/>
        <v/>
      </c>
      <c r="I1598" s="17" t="str">
        <f t="shared" si="75"/>
        <v/>
      </c>
    </row>
    <row r="1599" spans="1:9">
      <c r="A1599" s="15" t="str">
        <f t="shared" si="73"/>
        <v/>
      </c>
      <c r="G1599" s="17" t="str">
        <f t="shared" si="74"/>
        <v/>
      </c>
      <c r="I1599" s="17" t="str">
        <f t="shared" si="75"/>
        <v/>
      </c>
    </row>
    <row r="1600" spans="1:9">
      <c r="A1600" s="15" t="str">
        <f t="shared" si="73"/>
        <v/>
      </c>
      <c r="G1600" s="17" t="str">
        <f t="shared" si="74"/>
        <v/>
      </c>
      <c r="I1600" s="17" t="str">
        <f t="shared" si="75"/>
        <v/>
      </c>
    </row>
    <row r="1601" spans="1:9">
      <c r="A1601" s="15" t="str">
        <f t="shared" si="73"/>
        <v/>
      </c>
      <c r="G1601" s="17" t="str">
        <f t="shared" si="74"/>
        <v/>
      </c>
      <c r="I1601" s="17" t="str">
        <f t="shared" si="75"/>
        <v/>
      </c>
    </row>
    <row r="1602" spans="1:9">
      <c r="A1602" s="15" t="str">
        <f t="shared" si="73"/>
        <v/>
      </c>
      <c r="G1602" s="17" t="str">
        <f t="shared" si="74"/>
        <v/>
      </c>
      <c r="I1602" s="17" t="str">
        <f t="shared" si="75"/>
        <v/>
      </c>
    </row>
    <row r="1603" spans="1:9">
      <c r="A1603" s="15" t="str">
        <f t="shared" si="73"/>
        <v/>
      </c>
      <c r="G1603" s="17" t="str">
        <f t="shared" si="74"/>
        <v/>
      </c>
      <c r="I1603" s="17" t="str">
        <f t="shared" si="75"/>
        <v/>
      </c>
    </row>
    <row r="1604" spans="1:9">
      <c r="A1604" s="15" t="str">
        <f t="shared" si="73"/>
        <v/>
      </c>
      <c r="G1604" s="17" t="str">
        <f t="shared" si="74"/>
        <v/>
      </c>
      <c r="I1604" s="17" t="str">
        <f t="shared" si="75"/>
        <v/>
      </c>
    </row>
    <row r="1605" spans="1:9">
      <c r="A1605" s="15" t="str">
        <f t="shared" si="73"/>
        <v/>
      </c>
      <c r="G1605" s="17" t="str">
        <f t="shared" si="74"/>
        <v/>
      </c>
      <c r="I1605" s="17" t="str">
        <f t="shared" si="75"/>
        <v/>
      </c>
    </row>
    <row r="1606" spans="1:9">
      <c r="A1606" s="15" t="str">
        <f t="shared" si="73"/>
        <v/>
      </c>
      <c r="G1606" s="17" t="str">
        <f t="shared" si="74"/>
        <v/>
      </c>
      <c r="I1606" s="17" t="str">
        <f t="shared" si="75"/>
        <v/>
      </c>
    </row>
    <row r="1607" spans="1:9">
      <c r="A1607" s="15" t="str">
        <f t="shared" si="73"/>
        <v/>
      </c>
      <c r="G1607" s="17" t="str">
        <f t="shared" si="74"/>
        <v/>
      </c>
      <c r="I1607" s="17" t="str">
        <f t="shared" si="75"/>
        <v/>
      </c>
    </row>
    <row r="1608" spans="1:9">
      <c r="A1608" s="15" t="str">
        <f t="shared" si="73"/>
        <v/>
      </c>
      <c r="G1608" s="17" t="str">
        <f t="shared" si="74"/>
        <v/>
      </c>
      <c r="I1608" s="17" t="str">
        <f t="shared" si="75"/>
        <v/>
      </c>
    </row>
    <row r="1609" spans="1:9">
      <c r="A1609" s="15" t="str">
        <f t="shared" si="73"/>
        <v/>
      </c>
      <c r="G1609" s="17" t="str">
        <f t="shared" si="74"/>
        <v/>
      </c>
      <c r="I1609" s="17" t="str">
        <f t="shared" si="75"/>
        <v/>
      </c>
    </row>
    <row r="1610" spans="1:9">
      <c r="A1610" s="15" t="str">
        <f t="shared" si="73"/>
        <v/>
      </c>
      <c r="G1610" s="17" t="str">
        <f t="shared" si="74"/>
        <v/>
      </c>
      <c r="I1610" s="17" t="str">
        <f t="shared" si="75"/>
        <v/>
      </c>
    </row>
    <row r="1611" spans="1:9">
      <c r="A1611" s="15" t="str">
        <f t="shared" si="73"/>
        <v/>
      </c>
      <c r="G1611" s="17" t="str">
        <f t="shared" si="74"/>
        <v/>
      </c>
      <c r="I1611" s="17" t="str">
        <f t="shared" si="75"/>
        <v/>
      </c>
    </row>
    <row r="1612" spans="1:9">
      <c r="A1612" s="15" t="str">
        <f t="shared" si="73"/>
        <v/>
      </c>
      <c r="G1612" s="17" t="str">
        <f t="shared" si="74"/>
        <v/>
      </c>
      <c r="I1612" s="17" t="str">
        <f t="shared" si="75"/>
        <v/>
      </c>
    </row>
    <row r="1613" spans="1:9">
      <c r="A1613" s="15" t="str">
        <f t="shared" si="73"/>
        <v/>
      </c>
      <c r="G1613" s="17" t="str">
        <f t="shared" si="74"/>
        <v/>
      </c>
      <c r="I1613" s="17" t="str">
        <f t="shared" si="75"/>
        <v/>
      </c>
    </row>
    <row r="1614" spans="1:9">
      <c r="A1614" s="15" t="str">
        <f t="shared" si="73"/>
        <v/>
      </c>
      <c r="G1614" s="17" t="str">
        <f t="shared" si="74"/>
        <v/>
      </c>
      <c r="I1614" s="17" t="str">
        <f t="shared" si="75"/>
        <v/>
      </c>
    </row>
    <row r="1615" spans="1:9">
      <c r="A1615" s="15" t="str">
        <f t="shared" si="73"/>
        <v/>
      </c>
      <c r="G1615" s="17" t="str">
        <f t="shared" si="74"/>
        <v/>
      </c>
      <c r="I1615" s="17" t="str">
        <f t="shared" si="75"/>
        <v/>
      </c>
    </row>
    <row r="1616" spans="1:9">
      <c r="A1616" s="15" t="str">
        <f t="shared" si="73"/>
        <v/>
      </c>
      <c r="G1616" s="17" t="str">
        <f t="shared" si="74"/>
        <v/>
      </c>
      <c r="I1616" s="17" t="str">
        <f t="shared" si="75"/>
        <v/>
      </c>
    </row>
    <row r="1617" spans="1:9">
      <c r="A1617" s="15" t="str">
        <f t="shared" si="73"/>
        <v/>
      </c>
      <c r="G1617" s="17" t="str">
        <f t="shared" si="74"/>
        <v/>
      </c>
      <c r="I1617" s="17" t="str">
        <f t="shared" si="75"/>
        <v/>
      </c>
    </row>
    <row r="1618" spans="1:9">
      <c r="A1618" s="15" t="str">
        <f t="shared" si="73"/>
        <v/>
      </c>
      <c r="G1618" s="17" t="str">
        <f t="shared" si="74"/>
        <v/>
      </c>
      <c r="I1618" s="17" t="str">
        <f t="shared" si="75"/>
        <v/>
      </c>
    </row>
    <row r="1619" spans="1:9">
      <c r="A1619" s="15" t="str">
        <f t="shared" si="73"/>
        <v/>
      </c>
      <c r="G1619" s="17" t="str">
        <f t="shared" si="74"/>
        <v/>
      </c>
      <c r="I1619" s="17" t="str">
        <f t="shared" si="75"/>
        <v/>
      </c>
    </row>
    <row r="1620" spans="1:9">
      <c r="A1620" s="15" t="str">
        <f t="shared" si="73"/>
        <v/>
      </c>
      <c r="G1620" s="17" t="str">
        <f t="shared" si="74"/>
        <v/>
      </c>
      <c r="I1620" s="17" t="str">
        <f t="shared" si="75"/>
        <v/>
      </c>
    </row>
    <row r="1621" spans="1:9">
      <c r="A1621" s="15" t="str">
        <f t="shared" si="73"/>
        <v/>
      </c>
      <c r="G1621" s="17" t="str">
        <f t="shared" si="74"/>
        <v/>
      </c>
      <c r="I1621" s="17" t="str">
        <f t="shared" si="75"/>
        <v/>
      </c>
    </row>
    <row r="1622" spans="1:9">
      <c r="A1622" s="15" t="str">
        <f t="shared" si="73"/>
        <v/>
      </c>
      <c r="G1622" s="17" t="str">
        <f t="shared" si="74"/>
        <v/>
      </c>
      <c r="I1622" s="17" t="str">
        <f t="shared" si="75"/>
        <v/>
      </c>
    </row>
    <row r="1623" spans="1:9">
      <c r="A1623" s="15" t="str">
        <f t="shared" si="73"/>
        <v/>
      </c>
      <c r="G1623" s="17" t="str">
        <f t="shared" si="74"/>
        <v/>
      </c>
      <c r="I1623" s="17" t="str">
        <f t="shared" si="75"/>
        <v/>
      </c>
    </row>
    <row r="1624" spans="1:9">
      <c r="A1624" s="15" t="str">
        <f t="shared" ref="A1624:A1687" si="76">IF(B1624&lt;&gt;"",ROW()-2,"")</f>
        <v/>
      </c>
      <c r="G1624" s="17" t="str">
        <f t="shared" si="74"/>
        <v/>
      </c>
      <c r="I1624" s="17" t="str">
        <f t="shared" si="75"/>
        <v/>
      </c>
    </row>
    <row r="1625" spans="1:9">
      <c r="A1625" s="15" t="str">
        <f t="shared" si="76"/>
        <v/>
      </c>
      <c r="G1625" s="17" t="str">
        <f t="shared" si="74"/>
        <v/>
      </c>
      <c r="I1625" s="17" t="str">
        <f t="shared" si="75"/>
        <v/>
      </c>
    </row>
    <row r="1626" spans="1:9">
      <c r="A1626" s="15" t="str">
        <f t="shared" si="76"/>
        <v/>
      </c>
      <c r="G1626" s="17" t="str">
        <f t="shared" si="74"/>
        <v/>
      </c>
      <c r="I1626" s="17" t="str">
        <f t="shared" si="75"/>
        <v/>
      </c>
    </row>
    <row r="1627" spans="1:9">
      <c r="A1627" s="15" t="str">
        <f t="shared" si="76"/>
        <v/>
      </c>
      <c r="G1627" s="17" t="str">
        <f t="shared" si="74"/>
        <v/>
      </c>
      <c r="I1627" s="17" t="str">
        <f t="shared" si="75"/>
        <v/>
      </c>
    </row>
    <row r="1628" spans="1:9">
      <c r="A1628" s="15" t="str">
        <f t="shared" si="76"/>
        <v/>
      </c>
      <c r="G1628" s="17" t="str">
        <f t="shared" si="74"/>
        <v/>
      </c>
      <c r="I1628" s="17" t="str">
        <f t="shared" si="75"/>
        <v/>
      </c>
    </row>
    <row r="1629" spans="1:9">
      <c r="A1629" s="15" t="str">
        <f t="shared" si="76"/>
        <v/>
      </c>
      <c r="G1629" s="17" t="str">
        <f t="shared" si="74"/>
        <v/>
      </c>
      <c r="I1629" s="17" t="str">
        <f t="shared" si="75"/>
        <v/>
      </c>
    </row>
    <row r="1630" spans="1:9">
      <c r="A1630" s="15" t="str">
        <f t="shared" si="76"/>
        <v/>
      </c>
      <c r="G1630" s="17" t="str">
        <f t="shared" si="74"/>
        <v/>
      </c>
      <c r="I1630" s="17" t="str">
        <f t="shared" si="75"/>
        <v/>
      </c>
    </row>
    <row r="1631" spans="1:9">
      <c r="A1631" s="15" t="str">
        <f t="shared" si="76"/>
        <v/>
      </c>
      <c r="G1631" s="17" t="str">
        <f t="shared" si="74"/>
        <v/>
      </c>
      <c r="I1631" s="17" t="str">
        <f t="shared" si="75"/>
        <v/>
      </c>
    </row>
    <row r="1632" spans="1:9">
      <c r="A1632" s="15" t="str">
        <f t="shared" si="76"/>
        <v/>
      </c>
      <c r="G1632" s="17" t="str">
        <f t="shared" si="74"/>
        <v/>
      </c>
      <c r="I1632" s="17" t="str">
        <f t="shared" si="75"/>
        <v/>
      </c>
    </row>
    <row r="1633" spans="1:9">
      <c r="A1633" s="15" t="str">
        <f t="shared" si="76"/>
        <v/>
      </c>
      <c r="G1633" s="17" t="str">
        <f t="shared" si="74"/>
        <v/>
      </c>
      <c r="I1633" s="17" t="str">
        <f t="shared" si="75"/>
        <v/>
      </c>
    </row>
    <row r="1634" spans="1:9">
      <c r="A1634" s="15" t="str">
        <f t="shared" si="76"/>
        <v/>
      </c>
      <c r="G1634" s="17" t="str">
        <f t="shared" si="74"/>
        <v/>
      </c>
      <c r="I1634" s="17" t="str">
        <f t="shared" si="75"/>
        <v/>
      </c>
    </row>
    <row r="1635" spans="1:9">
      <c r="A1635" s="15" t="str">
        <f t="shared" si="76"/>
        <v/>
      </c>
      <c r="G1635" s="17" t="str">
        <f t="shared" si="74"/>
        <v/>
      </c>
      <c r="I1635" s="17" t="str">
        <f t="shared" si="75"/>
        <v/>
      </c>
    </row>
    <row r="1636" spans="1:9">
      <c r="A1636" s="15" t="str">
        <f t="shared" si="76"/>
        <v/>
      </c>
      <c r="G1636" s="17" t="str">
        <f t="shared" si="74"/>
        <v/>
      </c>
      <c r="I1636" s="17" t="str">
        <f t="shared" si="75"/>
        <v/>
      </c>
    </row>
    <row r="1637" spans="1:9">
      <c r="A1637" s="15" t="str">
        <f t="shared" si="76"/>
        <v/>
      </c>
      <c r="G1637" s="17" t="str">
        <f t="shared" si="74"/>
        <v/>
      </c>
      <c r="I1637" s="17" t="str">
        <f t="shared" si="75"/>
        <v/>
      </c>
    </row>
    <row r="1638" spans="1:9">
      <c r="A1638" s="15" t="str">
        <f t="shared" si="76"/>
        <v/>
      </c>
      <c r="G1638" s="17" t="str">
        <f t="shared" si="74"/>
        <v/>
      </c>
      <c r="I1638" s="17" t="str">
        <f t="shared" si="75"/>
        <v/>
      </c>
    </row>
    <row r="1639" spans="1:9">
      <c r="A1639" s="15" t="str">
        <f t="shared" si="76"/>
        <v/>
      </c>
      <c r="G1639" s="17" t="str">
        <f t="shared" si="74"/>
        <v/>
      </c>
      <c r="I1639" s="17" t="str">
        <f t="shared" si="75"/>
        <v/>
      </c>
    </row>
    <row r="1640" spans="1:9">
      <c r="A1640" s="15" t="str">
        <f t="shared" si="76"/>
        <v/>
      </c>
      <c r="G1640" s="17" t="str">
        <f t="shared" si="74"/>
        <v/>
      </c>
      <c r="I1640" s="17" t="str">
        <f t="shared" si="75"/>
        <v/>
      </c>
    </row>
    <row r="1641" spans="1:9">
      <c r="A1641" s="15" t="str">
        <f t="shared" si="76"/>
        <v/>
      </c>
      <c r="G1641" s="17" t="str">
        <f t="shared" si="74"/>
        <v/>
      </c>
      <c r="I1641" s="17" t="str">
        <f t="shared" si="75"/>
        <v/>
      </c>
    </row>
    <row r="1642" spans="1:9">
      <c r="A1642" s="15" t="str">
        <f t="shared" si="76"/>
        <v/>
      </c>
      <c r="G1642" s="17" t="str">
        <f t="shared" si="74"/>
        <v/>
      </c>
      <c r="I1642" s="17" t="str">
        <f t="shared" si="75"/>
        <v/>
      </c>
    </row>
    <row r="1643" spans="1:9">
      <c r="A1643" s="15" t="str">
        <f t="shared" si="76"/>
        <v/>
      </c>
      <c r="G1643" s="17" t="str">
        <f t="shared" si="74"/>
        <v/>
      </c>
      <c r="I1643" s="17" t="str">
        <f t="shared" si="75"/>
        <v/>
      </c>
    </row>
    <row r="1644" spans="1:9">
      <c r="A1644" s="15" t="str">
        <f t="shared" si="76"/>
        <v/>
      </c>
      <c r="G1644" s="17" t="str">
        <f t="shared" si="74"/>
        <v/>
      </c>
      <c r="I1644" s="17" t="str">
        <f t="shared" si="75"/>
        <v/>
      </c>
    </row>
    <row r="1645" spans="1:9">
      <c r="A1645" s="15" t="str">
        <f t="shared" si="76"/>
        <v/>
      </c>
      <c r="G1645" s="17" t="str">
        <f t="shared" si="74"/>
        <v/>
      </c>
      <c r="I1645" s="17" t="str">
        <f t="shared" si="75"/>
        <v/>
      </c>
    </row>
    <row r="1646" spans="1:9">
      <c r="A1646" s="15" t="str">
        <f t="shared" si="76"/>
        <v/>
      </c>
      <c r="G1646" s="17" t="str">
        <f t="shared" si="74"/>
        <v/>
      </c>
      <c r="I1646" s="17" t="str">
        <f t="shared" si="75"/>
        <v/>
      </c>
    </row>
    <row r="1647" spans="1:9">
      <c r="A1647" s="15" t="str">
        <f t="shared" si="76"/>
        <v/>
      </c>
      <c r="G1647" s="17" t="str">
        <f t="shared" ref="G1647:G1710" si="77">IFERROR(VLOOKUP(C1647,$U$3:$W$19,2,),"")</f>
        <v/>
      </c>
      <c r="I1647" s="17" t="str">
        <f t="shared" ref="I1647:I1710" si="78">IFERROR(VLOOKUP(C1647,$U$3:$W$19,3,),"")</f>
        <v/>
      </c>
    </row>
    <row r="1648" spans="1:9">
      <c r="A1648" s="15" t="str">
        <f t="shared" si="76"/>
        <v/>
      </c>
      <c r="G1648" s="17" t="str">
        <f t="shared" si="77"/>
        <v/>
      </c>
      <c r="I1648" s="17" t="str">
        <f t="shared" si="78"/>
        <v/>
      </c>
    </row>
    <row r="1649" spans="1:9">
      <c r="A1649" s="15" t="str">
        <f t="shared" si="76"/>
        <v/>
      </c>
      <c r="G1649" s="17" t="str">
        <f t="shared" si="77"/>
        <v/>
      </c>
      <c r="I1649" s="17" t="str">
        <f t="shared" si="78"/>
        <v/>
      </c>
    </row>
    <row r="1650" spans="1:9">
      <c r="A1650" s="15" t="str">
        <f t="shared" si="76"/>
        <v/>
      </c>
      <c r="G1650" s="17" t="str">
        <f t="shared" si="77"/>
        <v/>
      </c>
      <c r="I1650" s="17" t="str">
        <f t="shared" si="78"/>
        <v/>
      </c>
    </row>
    <row r="1651" spans="1:9">
      <c r="A1651" s="15" t="str">
        <f t="shared" si="76"/>
        <v/>
      </c>
      <c r="G1651" s="17" t="str">
        <f t="shared" si="77"/>
        <v/>
      </c>
      <c r="I1651" s="17" t="str">
        <f t="shared" si="78"/>
        <v/>
      </c>
    </row>
    <row r="1652" spans="1:9">
      <c r="A1652" s="15" t="str">
        <f t="shared" si="76"/>
        <v/>
      </c>
      <c r="G1652" s="17" t="str">
        <f t="shared" si="77"/>
        <v/>
      </c>
      <c r="I1652" s="17" t="str">
        <f t="shared" si="78"/>
        <v/>
      </c>
    </row>
    <row r="1653" spans="1:9">
      <c r="A1653" s="15" t="str">
        <f t="shared" si="76"/>
        <v/>
      </c>
      <c r="G1653" s="17" t="str">
        <f t="shared" si="77"/>
        <v/>
      </c>
      <c r="I1653" s="17" t="str">
        <f t="shared" si="78"/>
        <v/>
      </c>
    </row>
    <row r="1654" spans="1:9">
      <c r="A1654" s="15" t="str">
        <f t="shared" si="76"/>
        <v/>
      </c>
      <c r="G1654" s="17" t="str">
        <f t="shared" si="77"/>
        <v/>
      </c>
      <c r="I1654" s="17" t="str">
        <f t="shared" si="78"/>
        <v/>
      </c>
    </row>
    <row r="1655" spans="1:9">
      <c r="A1655" s="15" t="str">
        <f t="shared" si="76"/>
        <v/>
      </c>
      <c r="G1655" s="17" t="str">
        <f t="shared" si="77"/>
        <v/>
      </c>
      <c r="I1655" s="17" t="str">
        <f t="shared" si="78"/>
        <v/>
      </c>
    </row>
    <row r="1656" spans="1:9">
      <c r="A1656" s="15" t="str">
        <f t="shared" si="76"/>
        <v/>
      </c>
      <c r="G1656" s="17" t="str">
        <f t="shared" si="77"/>
        <v/>
      </c>
      <c r="I1656" s="17" t="str">
        <f t="shared" si="78"/>
        <v/>
      </c>
    </row>
    <row r="1657" spans="1:9">
      <c r="A1657" s="15" t="str">
        <f t="shared" si="76"/>
        <v/>
      </c>
      <c r="G1657" s="17" t="str">
        <f t="shared" si="77"/>
        <v/>
      </c>
      <c r="I1657" s="17" t="str">
        <f t="shared" si="78"/>
        <v/>
      </c>
    </row>
    <row r="1658" spans="1:9">
      <c r="A1658" s="15" t="str">
        <f t="shared" si="76"/>
        <v/>
      </c>
      <c r="G1658" s="17" t="str">
        <f t="shared" si="77"/>
        <v/>
      </c>
      <c r="I1658" s="17" t="str">
        <f t="shared" si="78"/>
        <v/>
      </c>
    </row>
    <row r="1659" spans="1:9">
      <c r="A1659" s="15" t="str">
        <f t="shared" si="76"/>
        <v/>
      </c>
      <c r="G1659" s="17" t="str">
        <f t="shared" si="77"/>
        <v/>
      </c>
      <c r="I1659" s="17" t="str">
        <f t="shared" si="78"/>
        <v/>
      </c>
    </row>
    <row r="1660" spans="1:9">
      <c r="A1660" s="15" t="str">
        <f t="shared" si="76"/>
        <v/>
      </c>
      <c r="G1660" s="17" t="str">
        <f t="shared" si="77"/>
        <v/>
      </c>
      <c r="I1660" s="17" t="str">
        <f t="shared" si="78"/>
        <v/>
      </c>
    </row>
    <row r="1661" spans="1:9">
      <c r="A1661" s="15" t="str">
        <f t="shared" si="76"/>
        <v/>
      </c>
      <c r="G1661" s="17" t="str">
        <f t="shared" si="77"/>
        <v/>
      </c>
      <c r="I1661" s="17" t="str">
        <f t="shared" si="78"/>
        <v/>
      </c>
    </row>
    <row r="1662" spans="1:9">
      <c r="A1662" s="15" t="str">
        <f t="shared" si="76"/>
        <v/>
      </c>
      <c r="G1662" s="17" t="str">
        <f t="shared" si="77"/>
        <v/>
      </c>
      <c r="I1662" s="17" t="str">
        <f t="shared" si="78"/>
        <v/>
      </c>
    </row>
    <row r="1663" spans="1:9">
      <c r="A1663" s="15" t="str">
        <f t="shared" si="76"/>
        <v/>
      </c>
      <c r="G1663" s="17" t="str">
        <f t="shared" si="77"/>
        <v/>
      </c>
      <c r="I1663" s="17" t="str">
        <f t="shared" si="78"/>
        <v/>
      </c>
    </row>
    <row r="1664" spans="1:9">
      <c r="A1664" s="15" t="str">
        <f t="shared" si="76"/>
        <v/>
      </c>
      <c r="G1664" s="17" t="str">
        <f t="shared" si="77"/>
        <v/>
      </c>
      <c r="I1664" s="17" t="str">
        <f t="shared" si="78"/>
        <v/>
      </c>
    </row>
    <row r="1665" spans="1:9">
      <c r="A1665" s="15" t="str">
        <f t="shared" si="76"/>
        <v/>
      </c>
      <c r="G1665" s="17" t="str">
        <f t="shared" si="77"/>
        <v/>
      </c>
      <c r="I1665" s="17" t="str">
        <f t="shared" si="78"/>
        <v/>
      </c>
    </row>
    <row r="1666" spans="1:9">
      <c r="A1666" s="15" t="str">
        <f t="shared" si="76"/>
        <v/>
      </c>
      <c r="G1666" s="17" t="str">
        <f t="shared" si="77"/>
        <v/>
      </c>
      <c r="I1666" s="17" t="str">
        <f t="shared" si="78"/>
        <v/>
      </c>
    </row>
    <row r="1667" spans="1:9">
      <c r="A1667" s="15" t="str">
        <f t="shared" si="76"/>
        <v/>
      </c>
      <c r="G1667" s="17" t="str">
        <f t="shared" si="77"/>
        <v/>
      </c>
      <c r="I1667" s="17" t="str">
        <f t="shared" si="78"/>
        <v/>
      </c>
    </row>
    <row r="1668" spans="1:9">
      <c r="A1668" s="15" t="str">
        <f t="shared" si="76"/>
        <v/>
      </c>
      <c r="G1668" s="17" t="str">
        <f t="shared" si="77"/>
        <v/>
      </c>
      <c r="I1668" s="17" t="str">
        <f t="shared" si="78"/>
        <v/>
      </c>
    </row>
    <row r="1669" spans="1:9">
      <c r="A1669" s="15" t="str">
        <f t="shared" si="76"/>
        <v/>
      </c>
      <c r="G1669" s="17" t="str">
        <f t="shared" si="77"/>
        <v/>
      </c>
      <c r="I1669" s="17" t="str">
        <f t="shared" si="78"/>
        <v/>
      </c>
    </row>
    <row r="1670" spans="1:9">
      <c r="A1670" s="15" t="str">
        <f t="shared" si="76"/>
        <v/>
      </c>
      <c r="G1670" s="17" t="str">
        <f t="shared" si="77"/>
        <v/>
      </c>
      <c r="I1670" s="17" t="str">
        <f t="shared" si="78"/>
        <v/>
      </c>
    </row>
    <row r="1671" spans="1:9">
      <c r="A1671" s="15" t="str">
        <f t="shared" si="76"/>
        <v/>
      </c>
      <c r="G1671" s="17" t="str">
        <f t="shared" si="77"/>
        <v/>
      </c>
      <c r="I1671" s="17" t="str">
        <f t="shared" si="78"/>
        <v/>
      </c>
    </row>
    <row r="1672" spans="1:9">
      <c r="A1672" s="15" t="str">
        <f t="shared" si="76"/>
        <v/>
      </c>
      <c r="G1672" s="17" t="str">
        <f t="shared" si="77"/>
        <v/>
      </c>
      <c r="I1672" s="17" t="str">
        <f t="shared" si="78"/>
        <v/>
      </c>
    </row>
    <row r="1673" spans="1:9">
      <c r="A1673" s="15" t="str">
        <f t="shared" si="76"/>
        <v/>
      </c>
      <c r="G1673" s="17" t="str">
        <f t="shared" si="77"/>
        <v/>
      </c>
      <c r="I1673" s="17" t="str">
        <f t="shared" si="78"/>
        <v/>
      </c>
    </row>
    <row r="1674" spans="1:9">
      <c r="A1674" s="15" t="str">
        <f t="shared" si="76"/>
        <v/>
      </c>
      <c r="G1674" s="17" t="str">
        <f t="shared" si="77"/>
        <v/>
      </c>
      <c r="I1674" s="17" t="str">
        <f t="shared" si="78"/>
        <v/>
      </c>
    </row>
    <row r="1675" spans="1:9">
      <c r="A1675" s="15" t="str">
        <f t="shared" si="76"/>
        <v/>
      </c>
      <c r="G1675" s="17" t="str">
        <f t="shared" si="77"/>
        <v/>
      </c>
      <c r="I1675" s="17" t="str">
        <f t="shared" si="78"/>
        <v/>
      </c>
    </row>
    <row r="1676" spans="1:9">
      <c r="A1676" s="15" t="str">
        <f t="shared" si="76"/>
        <v/>
      </c>
      <c r="G1676" s="17" t="str">
        <f t="shared" si="77"/>
        <v/>
      </c>
      <c r="I1676" s="17" t="str">
        <f t="shared" si="78"/>
        <v/>
      </c>
    </row>
    <row r="1677" spans="1:9">
      <c r="A1677" s="15" t="str">
        <f t="shared" si="76"/>
        <v/>
      </c>
      <c r="G1677" s="17" t="str">
        <f t="shared" si="77"/>
        <v/>
      </c>
      <c r="I1677" s="17" t="str">
        <f t="shared" si="78"/>
        <v/>
      </c>
    </row>
    <row r="1678" spans="1:9">
      <c r="A1678" s="15" t="str">
        <f t="shared" si="76"/>
        <v/>
      </c>
      <c r="G1678" s="17" t="str">
        <f t="shared" si="77"/>
        <v/>
      </c>
      <c r="I1678" s="17" t="str">
        <f t="shared" si="78"/>
        <v/>
      </c>
    </row>
    <row r="1679" spans="1:9">
      <c r="A1679" s="15" t="str">
        <f t="shared" si="76"/>
        <v/>
      </c>
      <c r="G1679" s="17" t="str">
        <f t="shared" si="77"/>
        <v/>
      </c>
      <c r="I1679" s="17" t="str">
        <f t="shared" si="78"/>
        <v/>
      </c>
    </row>
    <row r="1680" spans="1:9">
      <c r="A1680" s="15" t="str">
        <f t="shared" si="76"/>
        <v/>
      </c>
      <c r="G1680" s="17" t="str">
        <f t="shared" si="77"/>
        <v/>
      </c>
      <c r="I1680" s="17" t="str">
        <f t="shared" si="78"/>
        <v/>
      </c>
    </row>
    <row r="1681" spans="1:9">
      <c r="A1681" s="15" t="str">
        <f t="shared" si="76"/>
        <v/>
      </c>
      <c r="G1681" s="17" t="str">
        <f t="shared" si="77"/>
        <v/>
      </c>
      <c r="I1681" s="17" t="str">
        <f t="shared" si="78"/>
        <v/>
      </c>
    </row>
    <row r="1682" spans="1:9">
      <c r="A1682" s="15" t="str">
        <f t="shared" si="76"/>
        <v/>
      </c>
      <c r="G1682" s="17" t="str">
        <f t="shared" si="77"/>
        <v/>
      </c>
      <c r="I1682" s="17" t="str">
        <f t="shared" si="78"/>
        <v/>
      </c>
    </row>
    <row r="1683" spans="1:9">
      <c r="A1683" s="15" t="str">
        <f t="shared" si="76"/>
        <v/>
      </c>
      <c r="G1683" s="17" t="str">
        <f t="shared" si="77"/>
        <v/>
      </c>
      <c r="I1683" s="17" t="str">
        <f t="shared" si="78"/>
        <v/>
      </c>
    </row>
    <row r="1684" spans="1:9">
      <c r="A1684" s="15" t="str">
        <f t="shared" si="76"/>
        <v/>
      </c>
      <c r="G1684" s="17" t="str">
        <f t="shared" si="77"/>
        <v/>
      </c>
      <c r="I1684" s="17" t="str">
        <f t="shared" si="78"/>
        <v/>
      </c>
    </row>
    <row r="1685" spans="1:9">
      <c r="A1685" s="15" t="str">
        <f t="shared" si="76"/>
        <v/>
      </c>
      <c r="G1685" s="17" t="str">
        <f t="shared" si="77"/>
        <v/>
      </c>
      <c r="I1685" s="17" t="str">
        <f t="shared" si="78"/>
        <v/>
      </c>
    </row>
    <row r="1686" spans="1:9">
      <c r="A1686" s="15" t="str">
        <f t="shared" si="76"/>
        <v/>
      </c>
      <c r="G1686" s="17" t="str">
        <f t="shared" si="77"/>
        <v/>
      </c>
      <c r="I1686" s="17" t="str">
        <f t="shared" si="78"/>
        <v/>
      </c>
    </row>
    <row r="1687" spans="1:9">
      <c r="A1687" s="15" t="str">
        <f t="shared" si="76"/>
        <v/>
      </c>
      <c r="G1687" s="17" t="str">
        <f t="shared" si="77"/>
        <v/>
      </c>
      <c r="I1687" s="17" t="str">
        <f t="shared" si="78"/>
        <v/>
      </c>
    </row>
    <row r="1688" spans="1:9">
      <c r="A1688" s="15" t="str">
        <f t="shared" ref="A1688:A1751" si="79">IF(B1688&lt;&gt;"",ROW()-2,"")</f>
        <v/>
      </c>
      <c r="G1688" s="17" t="str">
        <f t="shared" si="77"/>
        <v/>
      </c>
      <c r="I1688" s="17" t="str">
        <f t="shared" si="78"/>
        <v/>
      </c>
    </row>
    <row r="1689" spans="1:9">
      <c r="A1689" s="15" t="str">
        <f t="shared" si="79"/>
        <v/>
      </c>
      <c r="G1689" s="17" t="str">
        <f t="shared" si="77"/>
        <v/>
      </c>
      <c r="I1689" s="17" t="str">
        <f t="shared" si="78"/>
        <v/>
      </c>
    </row>
    <row r="1690" spans="1:9">
      <c r="A1690" s="15" t="str">
        <f t="shared" si="79"/>
        <v/>
      </c>
      <c r="G1690" s="17" t="str">
        <f t="shared" si="77"/>
        <v/>
      </c>
      <c r="I1690" s="17" t="str">
        <f t="shared" si="78"/>
        <v/>
      </c>
    </row>
    <row r="1691" spans="1:9">
      <c r="A1691" s="15" t="str">
        <f t="shared" si="79"/>
        <v/>
      </c>
      <c r="G1691" s="17" t="str">
        <f t="shared" si="77"/>
        <v/>
      </c>
      <c r="I1691" s="17" t="str">
        <f t="shared" si="78"/>
        <v/>
      </c>
    </row>
    <row r="1692" spans="1:9">
      <c r="A1692" s="15" t="str">
        <f t="shared" si="79"/>
        <v/>
      </c>
      <c r="G1692" s="17" t="str">
        <f t="shared" si="77"/>
        <v/>
      </c>
      <c r="I1692" s="17" t="str">
        <f t="shared" si="78"/>
        <v/>
      </c>
    </row>
    <row r="1693" spans="1:9">
      <c r="A1693" s="15" t="str">
        <f t="shared" si="79"/>
        <v/>
      </c>
      <c r="G1693" s="17" t="str">
        <f t="shared" si="77"/>
        <v/>
      </c>
      <c r="I1693" s="17" t="str">
        <f t="shared" si="78"/>
        <v/>
      </c>
    </row>
    <row r="1694" spans="1:9">
      <c r="A1694" s="15" t="str">
        <f t="shared" si="79"/>
        <v/>
      </c>
      <c r="G1694" s="17" t="str">
        <f t="shared" si="77"/>
        <v/>
      </c>
      <c r="I1694" s="17" t="str">
        <f t="shared" si="78"/>
        <v/>
      </c>
    </row>
    <row r="1695" spans="1:9">
      <c r="A1695" s="15" t="str">
        <f t="shared" si="79"/>
        <v/>
      </c>
      <c r="G1695" s="17" t="str">
        <f t="shared" si="77"/>
        <v/>
      </c>
      <c r="I1695" s="17" t="str">
        <f t="shared" si="78"/>
        <v/>
      </c>
    </row>
    <row r="1696" spans="1:9">
      <c r="A1696" s="15" t="str">
        <f t="shared" si="79"/>
        <v/>
      </c>
      <c r="G1696" s="17" t="str">
        <f t="shared" si="77"/>
        <v/>
      </c>
      <c r="I1696" s="17" t="str">
        <f t="shared" si="78"/>
        <v/>
      </c>
    </row>
    <row r="1697" spans="1:9">
      <c r="A1697" s="15" t="str">
        <f t="shared" si="79"/>
        <v/>
      </c>
      <c r="G1697" s="17" t="str">
        <f t="shared" si="77"/>
        <v/>
      </c>
      <c r="I1697" s="17" t="str">
        <f t="shared" si="78"/>
        <v/>
      </c>
    </row>
    <row r="1698" spans="1:9">
      <c r="A1698" s="15" t="str">
        <f t="shared" si="79"/>
        <v/>
      </c>
      <c r="G1698" s="17" t="str">
        <f t="shared" si="77"/>
        <v/>
      </c>
      <c r="I1698" s="17" t="str">
        <f t="shared" si="78"/>
        <v/>
      </c>
    </row>
    <row r="1699" spans="1:9">
      <c r="A1699" s="15" t="str">
        <f t="shared" si="79"/>
        <v/>
      </c>
      <c r="G1699" s="17" t="str">
        <f t="shared" si="77"/>
        <v/>
      </c>
      <c r="I1699" s="17" t="str">
        <f t="shared" si="78"/>
        <v/>
      </c>
    </row>
    <row r="1700" spans="1:9">
      <c r="A1700" s="15" t="str">
        <f t="shared" si="79"/>
        <v/>
      </c>
      <c r="G1700" s="17" t="str">
        <f t="shared" si="77"/>
        <v/>
      </c>
      <c r="I1700" s="17" t="str">
        <f t="shared" si="78"/>
        <v/>
      </c>
    </row>
    <row r="1701" spans="1:9">
      <c r="A1701" s="15" t="str">
        <f t="shared" si="79"/>
        <v/>
      </c>
      <c r="G1701" s="17" t="str">
        <f t="shared" si="77"/>
        <v/>
      </c>
      <c r="I1701" s="17" t="str">
        <f t="shared" si="78"/>
        <v/>
      </c>
    </row>
    <row r="1702" spans="1:9">
      <c r="A1702" s="15" t="str">
        <f t="shared" si="79"/>
        <v/>
      </c>
      <c r="G1702" s="17" t="str">
        <f t="shared" si="77"/>
        <v/>
      </c>
      <c r="I1702" s="17" t="str">
        <f t="shared" si="78"/>
        <v/>
      </c>
    </row>
    <row r="1703" spans="1:9">
      <c r="A1703" s="15" t="str">
        <f t="shared" si="79"/>
        <v/>
      </c>
      <c r="G1703" s="17" t="str">
        <f t="shared" si="77"/>
        <v/>
      </c>
      <c r="I1703" s="17" t="str">
        <f t="shared" si="78"/>
        <v/>
      </c>
    </row>
    <row r="1704" spans="1:9">
      <c r="A1704" s="15" t="str">
        <f t="shared" si="79"/>
        <v/>
      </c>
      <c r="G1704" s="17" t="str">
        <f t="shared" si="77"/>
        <v/>
      </c>
      <c r="I1704" s="17" t="str">
        <f t="shared" si="78"/>
        <v/>
      </c>
    </row>
    <row r="1705" spans="1:9">
      <c r="A1705" s="15" t="str">
        <f t="shared" si="79"/>
        <v/>
      </c>
      <c r="G1705" s="17" t="str">
        <f t="shared" si="77"/>
        <v/>
      </c>
      <c r="I1705" s="17" t="str">
        <f t="shared" si="78"/>
        <v/>
      </c>
    </row>
    <row r="1706" spans="1:9">
      <c r="A1706" s="15" t="str">
        <f t="shared" si="79"/>
        <v/>
      </c>
      <c r="G1706" s="17" t="str">
        <f t="shared" si="77"/>
        <v/>
      </c>
      <c r="I1706" s="17" t="str">
        <f t="shared" si="78"/>
        <v/>
      </c>
    </row>
    <row r="1707" spans="1:9">
      <c r="A1707" s="15" t="str">
        <f t="shared" si="79"/>
        <v/>
      </c>
      <c r="G1707" s="17" t="str">
        <f t="shared" si="77"/>
        <v/>
      </c>
      <c r="I1707" s="17" t="str">
        <f t="shared" si="78"/>
        <v/>
      </c>
    </row>
    <row r="1708" spans="1:9">
      <c r="A1708" s="15" t="str">
        <f t="shared" si="79"/>
        <v/>
      </c>
      <c r="G1708" s="17" t="str">
        <f t="shared" si="77"/>
        <v/>
      </c>
      <c r="I1708" s="17" t="str">
        <f t="shared" si="78"/>
        <v/>
      </c>
    </row>
    <row r="1709" spans="1:9">
      <c r="A1709" s="15" t="str">
        <f t="shared" si="79"/>
        <v/>
      </c>
      <c r="G1709" s="17" t="str">
        <f t="shared" si="77"/>
        <v/>
      </c>
      <c r="I1709" s="17" t="str">
        <f t="shared" si="78"/>
        <v/>
      </c>
    </row>
    <row r="1710" spans="1:9">
      <c r="A1710" s="15" t="str">
        <f t="shared" si="79"/>
        <v/>
      </c>
      <c r="G1710" s="17" t="str">
        <f t="shared" si="77"/>
        <v/>
      </c>
      <c r="I1710" s="17" t="str">
        <f t="shared" si="78"/>
        <v/>
      </c>
    </row>
    <row r="1711" spans="1:9">
      <c r="A1711" s="15" t="str">
        <f t="shared" si="79"/>
        <v/>
      </c>
      <c r="G1711" s="17" t="str">
        <f t="shared" ref="G1711:G1774" si="80">IFERROR(VLOOKUP(C1711,$U$3:$W$19,2,),"")</f>
        <v/>
      </c>
      <c r="I1711" s="17" t="str">
        <f t="shared" ref="I1711:I1774" si="81">IFERROR(VLOOKUP(C1711,$U$3:$W$19,3,),"")</f>
        <v/>
      </c>
    </row>
    <row r="1712" spans="1:9">
      <c r="A1712" s="15" t="str">
        <f t="shared" si="79"/>
        <v/>
      </c>
      <c r="G1712" s="17" t="str">
        <f t="shared" si="80"/>
        <v/>
      </c>
      <c r="I1712" s="17" t="str">
        <f t="shared" si="81"/>
        <v/>
      </c>
    </row>
    <row r="1713" spans="1:9">
      <c r="A1713" s="15" t="str">
        <f t="shared" si="79"/>
        <v/>
      </c>
      <c r="G1713" s="17" t="str">
        <f t="shared" si="80"/>
        <v/>
      </c>
      <c r="I1713" s="17" t="str">
        <f t="shared" si="81"/>
        <v/>
      </c>
    </row>
    <row r="1714" spans="1:9">
      <c r="A1714" s="15" t="str">
        <f t="shared" si="79"/>
        <v/>
      </c>
      <c r="G1714" s="17" t="str">
        <f t="shared" si="80"/>
        <v/>
      </c>
      <c r="I1714" s="17" t="str">
        <f t="shared" si="81"/>
        <v/>
      </c>
    </row>
    <row r="1715" spans="1:9">
      <c r="A1715" s="15" t="str">
        <f t="shared" si="79"/>
        <v/>
      </c>
      <c r="G1715" s="17" t="str">
        <f t="shared" si="80"/>
        <v/>
      </c>
      <c r="I1715" s="17" t="str">
        <f t="shared" si="81"/>
        <v/>
      </c>
    </row>
    <row r="1716" spans="1:9">
      <c r="A1716" s="15" t="str">
        <f t="shared" si="79"/>
        <v/>
      </c>
      <c r="G1716" s="17" t="str">
        <f t="shared" si="80"/>
        <v/>
      </c>
      <c r="I1716" s="17" t="str">
        <f t="shared" si="81"/>
        <v/>
      </c>
    </row>
    <row r="1717" spans="1:9">
      <c r="A1717" s="15" t="str">
        <f t="shared" si="79"/>
        <v/>
      </c>
      <c r="G1717" s="17" t="str">
        <f t="shared" si="80"/>
        <v/>
      </c>
      <c r="I1717" s="17" t="str">
        <f t="shared" si="81"/>
        <v/>
      </c>
    </row>
    <row r="1718" spans="1:9">
      <c r="A1718" s="15" t="str">
        <f t="shared" si="79"/>
        <v/>
      </c>
      <c r="G1718" s="17" t="str">
        <f t="shared" si="80"/>
        <v/>
      </c>
      <c r="I1718" s="17" t="str">
        <f t="shared" si="81"/>
        <v/>
      </c>
    </row>
    <row r="1719" spans="1:9">
      <c r="A1719" s="15" t="str">
        <f t="shared" si="79"/>
        <v/>
      </c>
      <c r="G1719" s="17" t="str">
        <f t="shared" si="80"/>
        <v/>
      </c>
      <c r="I1719" s="17" t="str">
        <f t="shared" si="81"/>
        <v/>
      </c>
    </row>
    <row r="1720" spans="1:9">
      <c r="A1720" s="15" t="str">
        <f t="shared" si="79"/>
        <v/>
      </c>
      <c r="G1720" s="17" t="str">
        <f t="shared" si="80"/>
        <v/>
      </c>
      <c r="I1720" s="17" t="str">
        <f t="shared" si="81"/>
        <v/>
      </c>
    </row>
    <row r="1721" spans="1:9">
      <c r="A1721" s="15" t="str">
        <f t="shared" si="79"/>
        <v/>
      </c>
      <c r="G1721" s="17" t="str">
        <f t="shared" si="80"/>
        <v/>
      </c>
      <c r="I1721" s="17" t="str">
        <f t="shared" si="81"/>
        <v/>
      </c>
    </row>
    <row r="1722" spans="1:9">
      <c r="A1722" s="15" t="str">
        <f t="shared" si="79"/>
        <v/>
      </c>
      <c r="G1722" s="17" t="str">
        <f t="shared" si="80"/>
        <v/>
      </c>
      <c r="I1722" s="17" t="str">
        <f t="shared" si="81"/>
        <v/>
      </c>
    </row>
    <row r="1723" spans="1:9">
      <c r="A1723" s="15" t="str">
        <f t="shared" si="79"/>
        <v/>
      </c>
      <c r="G1723" s="17" t="str">
        <f t="shared" si="80"/>
        <v/>
      </c>
      <c r="I1723" s="17" t="str">
        <f t="shared" si="81"/>
        <v/>
      </c>
    </row>
    <row r="1724" spans="1:9">
      <c r="A1724" s="15" t="str">
        <f t="shared" si="79"/>
        <v/>
      </c>
      <c r="G1724" s="17" t="str">
        <f t="shared" si="80"/>
        <v/>
      </c>
      <c r="I1724" s="17" t="str">
        <f t="shared" si="81"/>
        <v/>
      </c>
    </row>
    <row r="1725" spans="1:9">
      <c r="A1725" s="15" t="str">
        <f t="shared" si="79"/>
        <v/>
      </c>
      <c r="G1725" s="17" t="str">
        <f t="shared" si="80"/>
        <v/>
      </c>
      <c r="I1725" s="17" t="str">
        <f t="shared" si="81"/>
        <v/>
      </c>
    </row>
    <row r="1726" spans="1:9">
      <c r="A1726" s="15" t="str">
        <f t="shared" si="79"/>
        <v/>
      </c>
      <c r="G1726" s="17" t="str">
        <f t="shared" si="80"/>
        <v/>
      </c>
      <c r="I1726" s="17" t="str">
        <f t="shared" si="81"/>
        <v/>
      </c>
    </row>
    <row r="1727" spans="1:9">
      <c r="A1727" s="15" t="str">
        <f t="shared" si="79"/>
        <v/>
      </c>
      <c r="G1727" s="17" t="str">
        <f t="shared" si="80"/>
        <v/>
      </c>
      <c r="I1727" s="17" t="str">
        <f t="shared" si="81"/>
        <v/>
      </c>
    </row>
    <row r="1728" spans="1:9">
      <c r="A1728" s="15" t="str">
        <f t="shared" si="79"/>
        <v/>
      </c>
      <c r="G1728" s="17" t="str">
        <f t="shared" si="80"/>
        <v/>
      </c>
      <c r="I1728" s="17" t="str">
        <f t="shared" si="81"/>
        <v/>
      </c>
    </row>
    <row r="1729" spans="1:9">
      <c r="A1729" s="15" t="str">
        <f t="shared" si="79"/>
        <v/>
      </c>
      <c r="G1729" s="17" t="str">
        <f t="shared" si="80"/>
        <v/>
      </c>
      <c r="I1729" s="17" t="str">
        <f t="shared" si="81"/>
        <v/>
      </c>
    </row>
    <row r="1730" spans="1:9">
      <c r="A1730" s="15" t="str">
        <f t="shared" si="79"/>
        <v/>
      </c>
      <c r="G1730" s="17" t="str">
        <f t="shared" si="80"/>
        <v/>
      </c>
      <c r="I1730" s="17" t="str">
        <f t="shared" si="81"/>
        <v/>
      </c>
    </row>
    <row r="1731" spans="1:9">
      <c r="A1731" s="15" t="str">
        <f t="shared" si="79"/>
        <v/>
      </c>
      <c r="G1731" s="17" t="str">
        <f t="shared" si="80"/>
        <v/>
      </c>
      <c r="I1731" s="17" t="str">
        <f t="shared" si="81"/>
        <v/>
      </c>
    </row>
    <row r="1732" spans="1:9">
      <c r="A1732" s="15" t="str">
        <f t="shared" si="79"/>
        <v/>
      </c>
      <c r="G1732" s="17" t="str">
        <f t="shared" si="80"/>
        <v/>
      </c>
      <c r="I1732" s="17" t="str">
        <f t="shared" si="81"/>
        <v/>
      </c>
    </row>
    <row r="1733" spans="1:9">
      <c r="A1733" s="15" t="str">
        <f t="shared" si="79"/>
        <v/>
      </c>
      <c r="G1733" s="17" t="str">
        <f t="shared" si="80"/>
        <v/>
      </c>
      <c r="I1733" s="17" t="str">
        <f t="shared" si="81"/>
        <v/>
      </c>
    </row>
    <row r="1734" spans="1:9">
      <c r="A1734" s="15" t="str">
        <f t="shared" si="79"/>
        <v/>
      </c>
      <c r="G1734" s="17" t="str">
        <f t="shared" si="80"/>
        <v/>
      </c>
      <c r="I1734" s="17" t="str">
        <f t="shared" si="81"/>
        <v/>
      </c>
    </row>
    <row r="1735" spans="1:9">
      <c r="A1735" s="15" t="str">
        <f t="shared" si="79"/>
        <v/>
      </c>
      <c r="G1735" s="17" t="str">
        <f t="shared" si="80"/>
        <v/>
      </c>
      <c r="I1735" s="17" t="str">
        <f t="shared" si="81"/>
        <v/>
      </c>
    </row>
    <row r="1736" spans="1:9">
      <c r="A1736" s="15" t="str">
        <f t="shared" si="79"/>
        <v/>
      </c>
      <c r="G1736" s="17" t="str">
        <f t="shared" si="80"/>
        <v/>
      </c>
      <c r="I1736" s="17" t="str">
        <f t="shared" si="81"/>
        <v/>
      </c>
    </row>
    <row r="1737" spans="1:9">
      <c r="A1737" s="15" t="str">
        <f t="shared" si="79"/>
        <v/>
      </c>
      <c r="G1737" s="17" t="str">
        <f t="shared" si="80"/>
        <v/>
      </c>
      <c r="I1737" s="17" t="str">
        <f t="shared" si="81"/>
        <v/>
      </c>
    </row>
    <row r="1738" spans="1:9">
      <c r="A1738" s="15" t="str">
        <f t="shared" si="79"/>
        <v/>
      </c>
      <c r="G1738" s="17" t="str">
        <f t="shared" si="80"/>
        <v/>
      </c>
      <c r="I1738" s="17" t="str">
        <f t="shared" si="81"/>
        <v/>
      </c>
    </row>
    <row r="1739" spans="1:9">
      <c r="A1739" s="15" t="str">
        <f t="shared" si="79"/>
        <v/>
      </c>
      <c r="G1739" s="17" t="str">
        <f t="shared" si="80"/>
        <v/>
      </c>
      <c r="I1739" s="17" t="str">
        <f t="shared" si="81"/>
        <v/>
      </c>
    </row>
    <row r="1740" spans="1:9">
      <c r="A1740" s="15" t="str">
        <f t="shared" si="79"/>
        <v/>
      </c>
      <c r="G1740" s="17" t="str">
        <f t="shared" si="80"/>
        <v/>
      </c>
      <c r="I1740" s="17" t="str">
        <f t="shared" si="81"/>
        <v/>
      </c>
    </row>
    <row r="1741" spans="1:9">
      <c r="A1741" s="15" t="str">
        <f t="shared" si="79"/>
        <v/>
      </c>
      <c r="G1741" s="17" t="str">
        <f t="shared" si="80"/>
        <v/>
      </c>
      <c r="I1741" s="17" t="str">
        <f t="shared" si="81"/>
        <v/>
      </c>
    </row>
    <row r="1742" spans="1:9">
      <c r="A1742" s="15" t="str">
        <f t="shared" si="79"/>
        <v/>
      </c>
      <c r="G1742" s="17" t="str">
        <f t="shared" si="80"/>
        <v/>
      </c>
      <c r="I1742" s="17" t="str">
        <f t="shared" si="81"/>
        <v/>
      </c>
    </row>
    <row r="1743" spans="1:9">
      <c r="A1743" s="15" t="str">
        <f t="shared" si="79"/>
        <v/>
      </c>
      <c r="G1743" s="17" t="str">
        <f t="shared" si="80"/>
        <v/>
      </c>
      <c r="I1743" s="17" t="str">
        <f t="shared" si="81"/>
        <v/>
      </c>
    </row>
    <row r="1744" spans="1:9">
      <c r="A1744" s="15" t="str">
        <f t="shared" si="79"/>
        <v/>
      </c>
      <c r="G1744" s="17" t="str">
        <f t="shared" si="80"/>
        <v/>
      </c>
      <c r="I1744" s="17" t="str">
        <f t="shared" si="81"/>
        <v/>
      </c>
    </row>
    <row r="1745" spans="1:9">
      <c r="A1745" s="15" t="str">
        <f t="shared" si="79"/>
        <v/>
      </c>
      <c r="G1745" s="17" t="str">
        <f t="shared" si="80"/>
        <v/>
      </c>
      <c r="I1745" s="17" t="str">
        <f t="shared" si="81"/>
        <v/>
      </c>
    </row>
    <row r="1746" spans="1:9">
      <c r="A1746" s="15" t="str">
        <f t="shared" si="79"/>
        <v/>
      </c>
      <c r="G1746" s="17" t="str">
        <f t="shared" si="80"/>
        <v/>
      </c>
      <c r="I1746" s="17" t="str">
        <f t="shared" si="81"/>
        <v/>
      </c>
    </row>
    <row r="1747" spans="1:9">
      <c r="A1747" s="15" t="str">
        <f t="shared" si="79"/>
        <v/>
      </c>
      <c r="G1747" s="17" t="str">
        <f t="shared" si="80"/>
        <v/>
      </c>
      <c r="I1747" s="17" t="str">
        <f t="shared" si="81"/>
        <v/>
      </c>
    </row>
    <row r="1748" spans="1:9">
      <c r="A1748" s="15" t="str">
        <f t="shared" si="79"/>
        <v/>
      </c>
      <c r="G1748" s="17" t="str">
        <f t="shared" si="80"/>
        <v/>
      </c>
      <c r="I1748" s="17" t="str">
        <f t="shared" si="81"/>
        <v/>
      </c>
    </row>
    <row r="1749" spans="1:9">
      <c r="A1749" s="15" t="str">
        <f t="shared" si="79"/>
        <v/>
      </c>
      <c r="G1749" s="17" t="str">
        <f t="shared" si="80"/>
        <v/>
      </c>
      <c r="I1749" s="17" t="str">
        <f t="shared" si="81"/>
        <v/>
      </c>
    </row>
    <row r="1750" spans="1:9">
      <c r="A1750" s="15" t="str">
        <f t="shared" si="79"/>
        <v/>
      </c>
      <c r="G1750" s="17" t="str">
        <f t="shared" si="80"/>
        <v/>
      </c>
      <c r="I1750" s="17" t="str">
        <f t="shared" si="81"/>
        <v/>
      </c>
    </row>
    <row r="1751" spans="1:9">
      <c r="A1751" s="15" t="str">
        <f t="shared" si="79"/>
        <v/>
      </c>
      <c r="G1751" s="17" t="str">
        <f t="shared" si="80"/>
        <v/>
      </c>
      <c r="I1751" s="17" t="str">
        <f t="shared" si="81"/>
        <v/>
      </c>
    </row>
    <row r="1752" spans="1:9">
      <c r="A1752" s="15" t="str">
        <f t="shared" ref="A1752:A1815" si="82">IF(B1752&lt;&gt;"",ROW()-2,"")</f>
        <v/>
      </c>
      <c r="G1752" s="17" t="str">
        <f t="shared" si="80"/>
        <v/>
      </c>
      <c r="I1752" s="17" t="str">
        <f t="shared" si="81"/>
        <v/>
      </c>
    </row>
    <row r="1753" spans="1:9">
      <c r="A1753" s="15" t="str">
        <f t="shared" si="82"/>
        <v/>
      </c>
      <c r="G1753" s="17" t="str">
        <f t="shared" si="80"/>
        <v/>
      </c>
      <c r="I1753" s="17" t="str">
        <f t="shared" si="81"/>
        <v/>
      </c>
    </row>
    <row r="1754" spans="1:9">
      <c r="A1754" s="15" t="str">
        <f t="shared" si="82"/>
        <v/>
      </c>
      <c r="G1754" s="17" t="str">
        <f t="shared" si="80"/>
        <v/>
      </c>
      <c r="I1754" s="17" t="str">
        <f t="shared" si="81"/>
        <v/>
      </c>
    </row>
    <row r="1755" spans="1:9">
      <c r="A1755" s="15" t="str">
        <f t="shared" si="82"/>
        <v/>
      </c>
      <c r="G1755" s="17" t="str">
        <f t="shared" si="80"/>
        <v/>
      </c>
      <c r="I1755" s="17" t="str">
        <f t="shared" si="81"/>
        <v/>
      </c>
    </row>
    <row r="1756" spans="1:9">
      <c r="A1756" s="15" t="str">
        <f t="shared" si="82"/>
        <v/>
      </c>
      <c r="G1756" s="17" t="str">
        <f t="shared" si="80"/>
        <v/>
      </c>
      <c r="I1756" s="17" t="str">
        <f t="shared" si="81"/>
        <v/>
      </c>
    </row>
    <row r="1757" spans="1:9">
      <c r="A1757" s="15" t="str">
        <f t="shared" si="82"/>
        <v/>
      </c>
      <c r="G1757" s="17" t="str">
        <f t="shared" si="80"/>
        <v/>
      </c>
      <c r="I1757" s="17" t="str">
        <f t="shared" si="81"/>
        <v/>
      </c>
    </row>
    <row r="1758" spans="1:9">
      <c r="A1758" s="15" t="str">
        <f t="shared" si="82"/>
        <v/>
      </c>
      <c r="G1758" s="17" t="str">
        <f t="shared" si="80"/>
        <v/>
      </c>
      <c r="I1758" s="17" t="str">
        <f t="shared" si="81"/>
        <v/>
      </c>
    </row>
    <row r="1759" spans="1:9">
      <c r="A1759" s="15" t="str">
        <f t="shared" si="82"/>
        <v/>
      </c>
      <c r="G1759" s="17" t="str">
        <f t="shared" si="80"/>
        <v/>
      </c>
      <c r="I1759" s="17" t="str">
        <f t="shared" si="81"/>
        <v/>
      </c>
    </row>
    <row r="1760" spans="1:9">
      <c r="A1760" s="15" t="str">
        <f t="shared" si="82"/>
        <v/>
      </c>
      <c r="G1760" s="17" t="str">
        <f t="shared" si="80"/>
        <v/>
      </c>
      <c r="I1760" s="17" t="str">
        <f t="shared" si="81"/>
        <v/>
      </c>
    </row>
    <row r="1761" spans="1:9">
      <c r="A1761" s="15" t="str">
        <f t="shared" si="82"/>
        <v/>
      </c>
      <c r="G1761" s="17" t="str">
        <f t="shared" si="80"/>
        <v/>
      </c>
      <c r="I1761" s="17" t="str">
        <f t="shared" si="81"/>
        <v/>
      </c>
    </row>
    <row r="1762" spans="1:9">
      <c r="A1762" s="15" t="str">
        <f t="shared" si="82"/>
        <v/>
      </c>
      <c r="G1762" s="17" t="str">
        <f t="shared" si="80"/>
        <v/>
      </c>
      <c r="I1762" s="17" t="str">
        <f t="shared" si="81"/>
        <v/>
      </c>
    </row>
    <row r="1763" spans="1:9">
      <c r="A1763" s="15" t="str">
        <f t="shared" si="82"/>
        <v/>
      </c>
      <c r="G1763" s="17" t="str">
        <f t="shared" si="80"/>
        <v/>
      </c>
      <c r="I1763" s="17" t="str">
        <f t="shared" si="81"/>
        <v/>
      </c>
    </row>
    <row r="1764" spans="1:9">
      <c r="A1764" s="15" t="str">
        <f t="shared" si="82"/>
        <v/>
      </c>
      <c r="G1764" s="17" t="str">
        <f t="shared" si="80"/>
        <v/>
      </c>
      <c r="I1764" s="17" t="str">
        <f t="shared" si="81"/>
        <v/>
      </c>
    </row>
    <row r="1765" spans="1:9">
      <c r="A1765" s="15" t="str">
        <f t="shared" si="82"/>
        <v/>
      </c>
      <c r="G1765" s="17" t="str">
        <f t="shared" si="80"/>
        <v/>
      </c>
      <c r="I1765" s="17" t="str">
        <f t="shared" si="81"/>
        <v/>
      </c>
    </row>
    <row r="1766" spans="1:9">
      <c r="A1766" s="15" t="str">
        <f t="shared" si="82"/>
        <v/>
      </c>
      <c r="G1766" s="17" t="str">
        <f t="shared" si="80"/>
        <v/>
      </c>
      <c r="I1766" s="17" t="str">
        <f t="shared" si="81"/>
        <v/>
      </c>
    </row>
    <row r="1767" spans="1:9">
      <c r="A1767" s="15" t="str">
        <f t="shared" si="82"/>
        <v/>
      </c>
      <c r="G1767" s="17" t="str">
        <f t="shared" si="80"/>
        <v/>
      </c>
      <c r="I1767" s="17" t="str">
        <f t="shared" si="81"/>
        <v/>
      </c>
    </row>
    <row r="1768" spans="1:9">
      <c r="A1768" s="15" t="str">
        <f t="shared" si="82"/>
        <v/>
      </c>
      <c r="G1768" s="17" t="str">
        <f t="shared" si="80"/>
        <v/>
      </c>
      <c r="I1768" s="17" t="str">
        <f t="shared" si="81"/>
        <v/>
      </c>
    </row>
    <row r="1769" spans="1:9">
      <c r="A1769" s="15" t="str">
        <f t="shared" si="82"/>
        <v/>
      </c>
      <c r="G1769" s="17" t="str">
        <f t="shared" si="80"/>
        <v/>
      </c>
      <c r="I1769" s="17" t="str">
        <f t="shared" si="81"/>
        <v/>
      </c>
    </row>
    <row r="1770" spans="1:9">
      <c r="A1770" s="15" t="str">
        <f t="shared" si="82"/>
        <v/>
      </c>
      <c r="G1770" s="17" t="str">
        <f t="shared" si="80"/>
        <v/>
      </c>
      <c r="I1770" s="17" t="str">
        <f t="shared" si="81"/>
        <v/>
      </c>
    </row>
    <row r="1771" spans="1:9">
      <c r="A1771" s="15" t="str">
        <f t="shared" si="82"/>
        <v/>
      </c>
      <c r="G1771" s="17" t="str">
        <f t="shared" si="80"/>
        <v/>
      </c>
      <c r="I1771" s="17" t="str">
        <f t="shared" si="81"/>
        <v/>
      </c>
    </row>
    <row r="1772" spans="1:9">
      <c r="A1772" s="15" t="str">
        <f t="shared" si="82"/>
        <v/>
      </c>
      <c r="G1772" s="17" t="str">
        <f t="shared" si="80"/>
        <v/>
      </c>
      <c r="I1772" s="17" t="str">
        <f t="shared" si="81"/>
        <v/>
      </c>
    </row>
    <row r="1773" spans="1:9">
      <c r="A1773" s="15" t="str">
        <f t="shared" si="82"/>
        <v/>
      </c>
      <c r="G1773" s="17" t="str">
        <f t="shared" si="80"/>
        <v/>
      </c>
      <c r="I1773" s="17" t="str">
        <f t="shared" si="81"/>
        <v/>
      </c>
    </row>
    <row r="1774" spans="1:9">
      <c r="A1774" s="15" t="str">
        <f t="shared" si="82"/>
        <v/>
      </c>
      <c r="G1774" s="17" t="str">
        <f t="shared" si="80"/>
        <v/>
      </c>
      <c r="I1774" s="17" t="str">
        <f t="shared" si="81"/>
        <v/>
      </c>
    </row>
    <row r="1775" spans="1:9">
      <c r="A1775" s="15" t="str">
        <f t="shared" si="82"/>
        <v/>
      </c>
      <c r="G1775" s="17" t="str">
        <f t="shared" ref="G1775:G1838" si="83">IFERROR(VLOOKUP(C1775,$U$3:$W$19,2,),"")</f>
        <v/>
      </c>
      <c r="I1775" s="17" t="str">
        <f t="shared" ref="I1775:I1838" si="84">IFERROR(VLOOKUP(C1775,$U$3:$W$19,3,),"")</f>
        <v/>
      </c>
    </row>
    <row r="1776" spans="1:9">
      <c r="A1776" s="15" t="str">
        <f t="shared" si="82"/>
        <v/>
      </c>
      <c r="G1776" s="17" t="str">
        <f t="shared" si="83"/>
        <v/>
      </c>
      <c r="I1776" s="17" t="str">
        <f t="shared" si="84"/>
        <v/>
      </c>
    </row>
    <row r="1777" spans="1:9">
      <c r="A1777" s="15" t="str">
        <f t="shared" si="82"/>
        <v/>
      </c>
      <c r="G1777" s="17" t="str">
        <f t="shared" si="83"/>
        <v/>
      </c>
      <c r="I1777" s="17" t="str">
        <f t="shared" si="84"/>
        <v/>
      </c>
    </row>
    <row r="1778" spans="1:9">
      <c r="A1778" s="15" t="str">
        <f t="shared" si="82"/>
        <v/>
      </c>
      <c r="G1778" s="17" t="str">
        <f t="shared" si="83"/>
        <v/>
      </c>
      <c r="I1778" s="17" t="str">
        <f t="shared" si="84"/>
        <v/>
      </c>
    </row>
    <row r="1779" spans="1:9">
      <c r="A1779" s="15" t="str">
        <f t="shared" si="82"/>
        <v/>
      </c>
      <c r="G1779" s="17" t="str">
        <f t="shared" si="83"/>
        <v/>
      </c>
      <c r="I1779" s="17" t="str">
        <f t="shared" si="84"/>
        <v/>
      </c>
    </row>
    <row r="1780" spans="1:9">
      <c r="A1780" s="15" t="str">
        <f t="shared" si="82"/>
        <v/>
      </c>
      <c r="G1780" s="17" t="str">
        <f t="shared" si="83"/>
        <v/>
      </c>
      <c r="I1780" s="17" t="str">
        <f t="shared" si="84"/>
        <v/>
      </c>
    </row>
    <row r="1781" spans="1:9">
      <c r="A1781" s="15" t="str">
        <f t="shared" si="82"/>
        <v/>
      </c>
      <c r="G1781" s="17" t="str">
        <f t="shared" si="83"/>
        <v/>
      </c>
      <c r="I1781" s="17" t="str">
        <f t="shared" si="84"/>
        <v/>
      </c>
    </row>
    <row r="1782" spans="1:9">
      <c r="A1782" s="15" t="str">
        <f t="shared" si="82"/>
        <v/>
      </c>
      <c r="G1782" s="17" t="str">
        <f t="shared" si="83"/>
        <v/>
      </c>
      <c r="I1782" s="17" t="str">
        <f t="shared" si="84"/>
        <v/>
      </c>
    </row>
    <row r="1783" spans="1:9">
      <c r="A1783" s="15" t="str">
        <f t="shared" si="82"/>
        <v/>
      </c>
      <c r="G1783" s="17" t="str">
        <f t="shared" si="83"/>
        <v/>
      </c>
      <c r="I1783" s="17" t="str">
        <f t="shared" si="84"/>
        <v/>
      </c>
    </row>
    <row r="1784" spans="1:9">
      <c r="A1784" s="15" t="str">
        <f t="shared" si="82"/>
        <v/>
      </c>
      <c r="G1784" s="17" t="str">
        <f t="shared" si="83"/>
        <v/>
      </c>
      <c r="I1784" s="17" t="str">
        <f t="shared" si="84"/>
        <v/>
      </c>
    </row>
    <row r="1785" spans="1:9">
      <c r="A1785" s="15" t="str">
        <f t="shared" si="82"/>
        <v/>
      </c>
      <c r="G1785" s="17" t="str">
        <f t="shared" si="83"/>
        <v/>
      </c>
      <c r="I1785" s="17" t="str">
        <f t="shared" si="84"/>
        <v/>
      </c>
    </row>
    <row r="1786" spans="1:9">
      <c r="A1786" s="15" t="str">
        <f t="shared" si="82"/>
        <v/>
      </c>
      <c r="G1786" s="17" t="str">
        <f t="shared" si="83"/>
        <v/>
      </c>
      <c r="I1786" s="17" t="str">
        <f t="shared" si="84"/>
        <v/>
      </c>
    </row>
    <row r="1787" spans="1:9">
      <c r="A1787" s="15" t="str">
        <f t="shared" si="82"/>
        <v/>
      </c>
      <c r="G1787" s="17" t="str">
        <f t="shared" si="83"/>
        <v/>
      </c>
      <c r="I1787" s="17" t="str">
        <f t="shared" si="84"/>
        <v/>
      </c>
    </row>
    <row r="1788" spans="1:9">
      <c r="A1788" s="15" t="str">
        <f t="shared" si="82"/>
        <v/>
      </c>
      <c r="G1788" s="17" t="str">
        <f t="shared" si="83"/>
        <v/>
      </c>
      <c r="I1788" s="17" t="str">
        <f t="shared" si="84"/>
        <v/>
      </c>
    </row>
    <row r="1789" spans="1:9">
      <c r="A1789" s="15" t="str">
        <f t="shared" si="82"/>
        <v/>
      </c>
      <c r="G1789" s="17" t="str">
        <f t="shared" si="83"/>
        <v/>
      </c>
      <c r="I1789" s="17" t="str">
        <f t="shared" si="84"/>
        <v/>
      </c>
    </row>
    <row r="1790" spans="1:9">
      <c r="A1790" s="15" t="str">
        <f t="shared" si="82"/>
        <v/>
      </c>
      <c r="G1790" s="17" t="str">
        <f t="shared" si="83"/>
        <v/>
      </c>
      <c r="I1790" s="17" t="str">
        <f t="shared" si="84"/>
        <v/>
      </c>
    </row>
    <row r="1791" spans="1:9">
      <c r="A1791" s="15" t="str">
        <f t="shared" si="82"/>
        <v/>
      </c>
      <c r="G1791" s="17" t="str">
        <f t="shared" si="83"/>
        <v/>
      </c>
      <c r="I1791" s="17" t="str">
        <f t="shared" si="84"/>
        <v/>
      </c>
    </row>
    <row r="1792" spans="1:9">
      <c r="A1792" s="15" t="str">
        <f t="shared" si="82"/>
        <v/>
      </c>
      <c r="G1792" s="17" t="str">
        <f t="shared" si="83"/>
        <v/>
      </c>
      <c r="I1792" s="17" t="str">
        <f t="shared" si="84"/>
        <v/>
      </c>
    </row>
    <row r="1793" spans="1:9">
      <c r="A1793" s="15" t="str">
        <f t="shared" si="82"/>
        <v/>
      </c>
      <c r="G1793" s="17" t="str">
        <f t="shared" si="83"/>
        <v/>
      </c>
      <c r="I1793" s="17" t="str">
        <f t="shared" si="84"/>
        <v/>
      </c>
    </row>
    <row r="1794" spans="1:9">
      <c r="A1794" s="15" t="str">
        <f t="shared" si="82"/>
        <v/>
      </c>
      <c r="G1794" s="17" t="str">
        <f t="shared" si="83"/>
        <v/>
      </c>
      <c r="I1794" s="17" t="str">
        <f t="shared" si="84"/>
        <v/>
      </c>
    </row>
    <row r="1795" spans="1:9">
      <c r="A1795" s="15" t="str">
        <f t="shared" si="82"/>
        <v/>
      </c>
      <c r="G1795" s="17" t="str">
        <f t="shared" si="83"/>
        <v/>
      </c>
      <c r="I1795" s="17" t="str">
        <f t="shared" si="84"/>
        <v/>
      </c>
    </row>
    <row r="1796" spans="1:9">
      <c r="A1796" s="15" t="str">
        <f t="shared" si="82"/>
        <v/>
      </c>
      <c r="G1796" s="17" t="str">
        <f t="shared" si="83"/>
        <v/>
      </c>
      <c r="I1796" s="17" t="str">
        <f t="shared" si="84"/>
        <v/>
      </c>
    </row>
    <row r="1797" spans="1:9">
      <c r="A1797" s="15" t="str">
        <f t="shared" si="82"/>
        <v/>
      </c>
      <c r="G1797" s="17" t="str">
        <f t="shared" si="83"/>
        <v/>
      </c>
      <c r="I1797" s="17" t="str">
        <f t="shared" si="84"/>
        <v/>
      </c>
    </row>
    <row r="1798" spans="1:9">
      <c r="A1798" s="15" t="str">
        <f t="shared" si="82"/>
        <v/>
      </c>
      <c r="G1798" s="17" t="str">
        <f t="shared" si="83"/>
        <v/>
      </c>
      <c r="I1798" s="17" t="str">
        <f t="shared" si="84"/>
        <v/>
      </c>
    </row>
    <row r="1799" spans="1:9">
      <c r="A1799" s="15" t="str">
        <f t="shared" si="82"/>
        <v/>
      </c>
      <c r="G1799" s="17" t="str">
        <f t="shared" si="83"/>
        <v/>
      </c>
      <c r="I1799" s="17" t="str">
        <f t="shared" si="84"/>
        <v/>
      </c>
    </row>
    <row r="1800" spans="1:9">
      <c r="A1800" s="15" t="str">
        <f t="shared" si="82"/>
        <v/>
      </c>
      <c r="G1800" s="17" t="str">
        <f t="shared" si="83"/>
        <v/>
      </c>
      <c r="I1800" s="17" t="str">
        <f t="shared" si="84"/>
        <v/>
      </c>
    </row>
    <row r="1801" spans="1:9">
      <c r="A1801" s="15" t="str">
        <f t="shared" si="82"/>
        <v/>
      </c>
      <c r="G1801" s="17" t="str">
        <f t="shared" si="83"/>
        <v/>
      </c>
      <c r="I1801" s="17" t="str">
        <f t="shared" si="84"/>
        <v/>
      </c>
    </row>
    <row r="1802" spans="1:9">
      <c r="A1802" s="15" t="str">
        <f t="shared" si="82"/>
        <v/>
      </c>
      <c r="G1802" s="17" t="str">
        <f t="shared" si="83"/>
        <v/>
      </c>
      <c r="I1802" s="17" t="str">
        <f t="shared" si="84"/>
        <v/>
      </c>
    </row>
    <row r="1803" spans="1:9">
      <c r="A1803" s="15" t="str">
        <f t="shared" si="82"/>
        <v/>
      </c>
      <c r="G1803" s="17" t="str">
        <f t="shared" si="83"/>
        <v/>
      </c>
      <c r="I1803" s="17" t="str">
        <f t="shared" si="84"/>
        <v/>
      </c>
    </row>
    <row r="1804" spans="1:9">
      <c r="A1804" s="15" t="str">
        <f t="shared" si="82"/>
        <v/>
      </c>
      <c r="G1804" s="17" t="str">
        <f t="shared" si="83"/>
        <v/>
      </c>
      <c r="I1804" s="17" t="str">
        <f t="shared" si="84"/>
        <v/>
      </c>
    </row>
    <row r="1805" spans="1:9">
      <c r="A1805" s="15" t="str">
        <f t="shared" si="82"/>
        <v/>
      </c>
      <c r="G1805" s="17" t="str">
        <f t="shared" si="83"/>
        <v/>
      </c>
      <c r="I1805" s="17" t="str">
        <f t="shared" si="84"/>
        <v/>
      </c>
    </row>
    <row r="1806" spans="1:9">
      <c r="A1806" s="15" t="str">
        <f t="shared" si="82"/>
        <v/>
      </c>
      <c r="G1806" s="17" t="str">
        <f t="shared" si="83"/>
        <v/>
      </c>
      <c r="I1806" s="17" t="str">
        <f t="shared" si="84"/>
        <v/>
      </c>
    </row>
    <row r="1807" spans="1:9">
      <c r="A1807" s="15" t="str">
        <f t="shared" si="82"/>
        <v/>
      </c>
      <c r="G1807" s="17" t="str">
        <f t="shared" si="83"/>
        <v/>
      </c>
      <c r="I1807" s="17" t="str">
        <f t="shared" si="84"/>
        <v/>
      </c>
    </row>
    <row r="1808" spans="1:9">
      <c r="A1808" s="15" t="str">
        <f t="shared" si="82"/>
        <v/>
      </c>
      <c r="G1808" s="17" t="str">
        <f t="shared" si="83"/>
        <v/>
      </c>
      <c r="I1808" s="17" t="str">
        <f t="shared" si="84"/>
        <v/>
      </c>
    </row>
    <row r="1809" spans="1:9">
      <c r="A1809" s="15" t="str">
        <f t="shared" si="82"/>
        <v/>
      </c>
      <c r="G1809" s="17" t="str">
        <f t="shared" si="83"/>
        <v/>
      </c>
      <c r="I1809" s="17" t="str">
        <f t="shared" si="84"/>
        <v/>
      </c>
    </row>
    <row r="1810" spans="1:9">
      <c r="A1810" s="15" t="str">
        <f t="shared" si="82"/>
        <v/>
      </c>
      <c r="G1810" s="17" t="str">
        <f t="shared" si="83"/>
        <v/>
      </c>
      <c r="I1810" s="17" t="str">
        <f t="shared" si="84"/>
        <v/>
      </c>
    </row>
    <row r="1811" spans="1:9">
      <c r="A1811" s="15" t="str">
        <f t="shared" si="82"/>
        <v/>
      </c>
      <c r="G1811" s="17" t="str">
        <f t="shared" si="83"/>
        <v/>
      </c>
      <c r="I1811" s="17" t="str">
        <f t="shared" si="84"/>
        <v/>
      </c>
    </row>
    <row r="1812" spans="1:9">
      <c r="A1812" s="15" t="str">
        <f t="shared" si="82"/>
        <v/>
      </c>
      <c r="G1812" s="17" t="str">
        <f t="shared" si="83"/>
        <v/>
      </c>
      <c r="I1812" s="17" t="str">
        <f t="shared" si="84"/>
        <v/>
      </c>
    </row>
    <row r="1813" spans="1:9">
      <c r="A1813" s="15" t="str">
        <f t="shared" si="82"/>
        <v/>
      </c>
      <c r="G1813" s="17" t="str">
        <f t="shared" si="83"/>
        <v/>
      </c>
      <c r="I1813" s="17" t="str">
        <f t="shared" si="84"/>
        <v/>
      </c>
    </row>
    <row r="1814" spans="1:9">
      <c r="A1814" s="15" t="str">
        <f t="shared" si="82"/>
        <v/>
      </c>
      <c r="G1814" s="17" t="str">
        <f t="shared" si="83"/>
        <v/>
      </c>
      <c r="I1814" s="17" t="str">
        <f t="shared" si="84"/>
        <v/>
      </c>
    </row>
    <row r="1815" spans="1:9">
      <c r="A1815" s="15" t="str">
        <f t="shared" si="82"/>
        <v/>
      </c>
      <c r="G1815" s="17" t="str">
        <f t="shared" si="83"/>
        <v/>
      </c>
      <c r="I1815" s="17" t="str">
        <f t="shared" si="84"/>
        <v/>
      </c>
    </row>
    <row r="1816" spans="1:9">
      <c r="A1816" s="15" t="str">
        <f t="shared" ref="A1816:A1879" si="85">IF(B1816&lt;&gt;"",ROW()-2,"")</f>
        <v/>
      </c>
      <c r="G1816" s="17" t="str">
        <f t="shared" si="83"/>
        <v/>
      </c>
      <c r="I1816" s="17" t="str">
        <f t="shared" si="84"/>
        <v/>
      </c>
    </row>
    <row r="1817" spans="1:9">
      <c r="A1817" s="15" t="str">
        <f t="shared" si="85"/>
        <v/>
      </c>
      <c r="G1817" s="17" t="str">
        <f t="shared" si="83"/>
        <v/>
      </c>
      <c r="I1817" s="17" t="str">
        <f t="shared" si="84"/>
        <v/>
      </c>
    </row>
    <row r="1818" spans="1:9">
      <c r="A1818" s="15" t="str">
        <f t="shared" si="85"/>
        <v/>
      </c>
      <c r="G1818" s="17" t="str">
        <f t="shared" si="83"/>
        <v/>
      </c>
      <c r="I1818" s="17" t="str">
        <f t="shared" si="84"/>
        <v/>
      </c>
    </row>
    <row r="1819" spans="1:9">
      <c r="A1819" s="15" t="str">
        <f t="shared" si="85"/>
        <v/>
      </c>
      <c r="G1819" s="17" t="str">
        <f t="shared" si="83"/>
        <v/>
      </c>
      <c r="I1819" s="17" t="str">
        <f t="shared" si="84"/>
        <v/>
      </c>
    </row>
    <row r="1820" spans="1:9">
      <c r="A1820" s="15" t="str">
        <f t="shared" si="85"/>
        <v/>
      </c>
      <c r="G1820" s="17" t="str">
        <f t="shared" si="83"/>
        <v/>
      </c>
      <c r="I1820" s="17" t="str">
        <f t="shared" si="84"/>
        <v/>
      </c>
    </row>
    <row r="1821" spans="1:9">
      <c r="A1821" s="15" t="str">
        <f t="shared" si="85"/>
        <v/>
      </c>
      <c r="G1821" s="17" t="str">
        <f t="shared" si="83"/>
        <v/>
      </c>
      <c r="I1821" s="17" t="str">
        <f t="shared" si="84"/>
        <v/>
      </c>
    </row>
    <row r="1822" spans="1:9">
      <c r="A1822" s="15" t="str">
        <f t="shared" si="85"/>
        <v/>
      </c>
      <c r="G1822" s="17" t="str">
        <f t="shared" si="83"/>
        <v/>
      </c>
      <c r="I1822" s="17" t="str">
        <f t="shared" si="84"/>
        <v/>
      </c>
    </row>
    <row r="1823" spans="1:9">
      <c r="A1823" s="15" t="str">
        <f t="shared" si="85"/>
        <v/>
      </c>
      <c r="G1823" s="17" t="str">
        <f t="shared" si="83"/>
        <v/>
      </c>
      <c r="I1823" s="17" t="str">
        <f t="shared" si="84"/>
        <v/>
      </c>
    </row>
    <row r="1824" spans="1:9">
      <c r="A1824" s="15" t="str">
        <f t="shared" si="85"/>
        <v/>
      </c>
      <c r="G1824" s="17" t="str">
        <f t="shared" si="83"/>
        <v/>
      </c>
      <c r="I1824" s="17" t="str">
        <f t="shared" si="84"/>
        <v/>
      </c>
    </row>
    <row r="1825" spans="1:9">
      <c r="A1825" s="15" t="str">
        <f t="shared" si="85"/>
        <v/>
      </c>
      <c r="G1825" s="17" t="str">
        <f t="shared" si="83"/>
        <v/>
      </c>
      <c r="I1825" s="17" t="str">
        <f t="shared" si="84"/>
        <v/>
      </c>
    </row>
    <row r="1826" spans="1:9">
      <c r="A1826" s="15" t="str">
        <f t="shared" si="85"/>
        <v/>
      </c>
      <c r="G1826" s="17" t="str">
        <f t="shared" si="83"/>
        <v/>
      </c>
      <c r="I1826" s="17" t="str">
        <f t="shared" si="84"/>
        <v/>
      </c>
    </row>
    <row r="1827" spans="1:9">
      <c r="A1827" s="15" t="str">
        <f t="shared" si="85"/>
        <v/>
      </c>
      <c r="G1827" s="17" t="str">
        <f t="shared" si="83"/>
        <v/>
      </c>
      <c r="I1827" s="17" t="str">
        <f t="shared" si="84"/>
        <v/>
      </c>
    </row>
    <row r="1828" spans="1:9">
      <c r="A1828" s="15" t="str">
        <f t="shared" si="85"/>
        <v/>
      </c>
      <c r="G1828" s="17" t="str">
        <f t="shared" si="83"/>
        <v/>
      </c>
      <c r="I1828" s="17" t="str">
        <f t="shared" si="84"/>
        <v/>
      </c>
    </row>
    <row r="1829" spans="1:9">
      <c r="A1829" s="15" t="str">
        <f t="shared" si="85"/>
        <v/>
      </c>
      <c r="G1829" s="17" t="str">
        <f t="shared" si="83"/>
        <v/>
      </c>
      <c r="I1829" s="17" t="str">
        <f t="shared" si="84"/>
        <v/>
      </c>
    </row>
    <row r="1830" spans="1:9">
      <c r="A1830" s="15" t="str">
        <f t="shared" si="85"/>
        <v/>
      </c>
      <c r="G1830" s="17" t="str">
        <f t="shared" si="83"/>
        <v/>
      </c>
      <c r="I1830" s="17" t="str">
        <f t="shared" si="84"/>
        <v/>
      </c>
    </row>
    <row r="1831" spans="1:9">
      <c r="A1831" s="15" t="str">
        <f t="shared" si="85"/>
        <v/>
      </c>
      <c r="G1831" s="17" t="str">
        <f t="shared" si="83"/>
        <v/>
      </c>
      <c r="I1831" s="17" t="str">
        <f t="shared" si="84"/>
        <v/>
      </c>
    </row>
    <row r="1832" spans="1:9">
      <c r="A1832" s="15" t="str">
        <f t="shared" si="85"/>
        <v/>
      </c>
      <c r="G1832" s="17" t="str">
        <f t="shared" si="83"/>
        <v/>
      </c>
      <c r="I1832" s="17" t="str">
        <f t="shared" si="84"/>
        <v/>
      </c>
    </row>
    <row r="1833" spans="1:9">
      <c r="A1833" s="15" t="str">
        <f t="shared" si="85"/>
        <v/>
      </c>
      <c r="G1833" s="17" t="str">
        <f t="shared" si="83"/>
        <v/>
      </c>
      <c r="I1833" s="17" t="str">
        <f t="shared" si="84"/>
        <v/>
      </c>
    </row>
    <row r="1834" spans="1:9">
      <c r="A1834" s="15" t="str">
        <f t="shared" si="85"/>
        <v/>
      </c>
      <c r="G1834" s="17" t="str">
        <f t="shared" si="83"/>
        <v/>
      </c>
      <c r="I1834" s="17" t="str">
        <f t="shared" si="84"/>
        <v/>
      </c>
    </row>
    <row r="1835" spans="1:9">
      <c r="A1835" s="15" t="str">
        <f t="shared" si="85"/>
        <v/>
      </c>
      <c r="G1835" s="17" t="str">
        <f t="shared" si="83"/>
        <v/>
      </c>
      <c r="I1835" s="17" t="str">
        <f t="shared" si="84"/>
        <v/>
      </c>
    </row>
    <row r="1836" spans="1:9">
      <c r="A1836" s="15" t="str">
        <f t="shared" si="85"/>
        <v/>
      </c>
      <c r="G1836" s="17" t="str">
        <f t="shared" si="83"/>
        <v/>
      </c>
      <c r="I1836" s="17" t="str">
        <f t="shared" si="84"/>
        <v/>
      </c>
    </row>
    <row r="1837" spans="1:9">
      <c r="A1837" s="15" t="str">
        <f t="shared" si="85"/>
        <v/>
      </c>
      <c r="G1837" s="17" t="str">
        <f t="shared" si="83"/>
        <v/>
      </c>
      <c r="I1837" s="17" t="str">
        <f t="shared" si="84"/>
        <v/>
      </c>
    </row>
    <row r="1838" spans="1:9">
      <c r="A1838" s="15" t="str">
        <f t="shared" si="85"/>
        <v/>
      </c>
      <c r="G1838" s="17" t="str">
        <f t="shared" si="83"/>
        <v/>
      </c>
      <c r="I1838" s="17" t="str">
        <f t="shared" si="84"/>
        <v/>
      </c>
    </row>
    <row r="1839" spans="1:9">
      <c r="A1839" s="15" t="str">
        <f t="shared" si="85"/>
        <v/>
      </c>
      <c r="G1839" s="17" t="str">
        <f t="shared" ref="G1839:G1902" si="86">IFERROR(VLOOKUP(C1839,$U$3:$W$19,2,),"")</f>
        <v/>
      </c>
      <c r="I1839" s="17" t="str">
        <f t="shared" ref="I1839:I1902" si="87">IFERROR(VLOOKUP(C1839,$U$3:$W$19,3,),"")</f>
        <v/>
      </c>
    </row>
    <row r="1840" spans="1:9">
      <c r="A1840" s="15" t="str">
        <f t="shared" si="85"/>
        <v/>
      </c>
      <c r="G1840" s="17" t="str">
        <f t="shared" si="86"/>
        <v/>
      </c>
      <c r="I1840" s="17" t="str">
        <f t="shared" si="87"/>
        <v/>
      </c>
    </row>
    <row r="1841" spans="1:9">
      <c r="A1841" s="15" t="str">
        <f t="shared" si="85"/>
        <v/>
      </c>
      <c r="G1841" s="17" t="str">
        <f t="shared" si="86"/>
        <v/>
      </c>
      <c r="I1841" s="17" t="str">
        <f t="shared" si="87"/>
        <v/>
      </c>
    </row>
    <row r="1842" spans="1:9">
      <c r="A1842" s="15" t="str">
        <f t="shared" si="85"/>
        <v/>
      </c>
      <c r="G1842" s="17" t="str">
        <f t="shared" si="86"/>
        <v/>
      </c>
      <c r="I1842" s="17" t="str">
        <f t="shared" si="87"/>
        <v/>
      </c>
    </row>
    <row r="1843" spans="1:9">
      <c r="A1843" s="15" t="str">
        <f t="shared" si="85"/>
        <v/>
      </c>
      <c r="G1843" s="17" t="str">
        <f t="shared" si="86"/>
        <v/>
      </c>
      <c r="I1843" s="17" t="str">
        <f t="shared" si="87"/>
        <v/>
      </c>
    </row>
    <row r="1844" spans="1:9">
      <c r="A1844" s="15" t="str">
        <f t="shared" si="85"/>
        <v/>
      </c>
      <c r="G1844" s="17" t="str">
        <f t="shared" si="86"/>
        <v/>
      </c>
      <c r="I1844" s="17" t="str">
        <f t="shared" si="87"/>
        <v/>
      </c>
    </row>
    <row r="1845" spans="1:9">
      <c r="A1845" s="15" t="str">
        <f t="shared" si="85"/>
        <v/>
      </c>
      <c r="G1845" s="17" t="str">
        <f t="shared" si="86"/>
        <v/>
      </c>
      <c r="I1845" s="17" t="str">
        <f t="shared" si="87"/>
        <v/>
      </c>
    </row>
    <row r="1846" spans="1:9">
      <c r="A1846" s="15" t="str">
        <f t="shared" si="85"/>
        <v/>
      </c>
      <c r="G1846" s="17" t="str">
        <f t="shared" si="86"/>
        <v/>
      </c>
      <c r="I1846" s="17" t="str">
        <f t="shared" si="87"/>
        <v/>
      </c>
    </row>
    <row r="1847" spans="1:9">
      <c r="A1847" s="15" t="str">
        <f t="shared" si="85"/>
        <v/>
      </c>
      <c r="G1847" s="17" t="str">
        <f t="shared" si="86"/>
        <v/>
      </c>
      <c r="I1847" s="17" t="str">
        <f t="shared" si="87"/>
        <v/>
      </c>
    </row>
    <row r="1848" spans="1:9">
      <c r="A1848" s="15" t="str">
        <f t="shared" si="85"/>
        <v/>
      </c>
      <c r="G1848" s="17" t="str">
        <f t="shared" si="86"/>
        <v/>
      </c>
      <c r="I1848" s="17" t="str">
        <f t="shared" si="87"/>
        <v/>
      </c>
    </row>
    <row r="1849" spans="1:9">
      <c r="A1849" s="15" t="str">
        <f t="shared" si="85"/>
        <v/>
      </c>
      <c r="G1849" s="17" t="str">
        <f t="shared" si="86"/>
        <v/>
      </c>
      <c r="I1849" s="17" t="str">
        <f t="shared" si="87"/>
        <v/>
      </c>
    </row>
    <row r="1850" spans="1:9">
      <c r="A1850" s="15" t="str">
        <f t="shared" si="85"/>
        <v/>
      </c>
      <c r="G1850" s="17" t="str">
        <f t="shared" si="86"/>
        <v/>
      </c>
      <c r="I1850" s="17" t="str">
        <f t="shared" si="87"/>
        <v/>
      </c>
    </row>
    <row r="1851" spans="1:9">
      <c r="A1851" s="15" t="str">
        <f t="shared" si="85"/>
        <v/>
      </c>
      <c r="G1851" s="17" t="str">
        <f t="shared" si="86"/>
        <v/>
      </c>
      <c r="I1851" s="17" t="str">
        <f t="shared" si="87"/>
        <v/>
      </c>
    </row>
    <row r="1852" spans="1:9">
      <c r="A1852" s="15" t="str">
        <f t="shared" si="85"/>
        <v/>
      </c>
      <c r="G1852" s="17" t="str">
        <f t="shared" si="86"/>
        <v/>
      </c>
      <c r="I1852" s="17" t="str">
        <f t="shared" si="87"/>
        <v/>
      </c>
    </row>
    <row r="1853" spans="1:9">
      <c r="A1853" s="15" t="str">
        <f t="shared" si="85"/>
        <v/>
      </c>
      <c r="G1853" s="17" t="str">
        <f t="shared" si="86"/>
        <v/>
      </c>
      <c r="I1853" s="17" t="str">
        <f t="shared" si="87"/>
        <v/>
      </c>
    </row>
    <row r="1854" spans="1:9">
      <c r="A1854" s="15" t="str">
        <f t="shared" si="85"/>
        <v/>
      </c>
      <c r="G1854" s="17" t="str">
        <f t="shared" si="86"/>
        <v/>
      </c>
      <c r="I1854" s="17" t="str">
        <f t="shared" si="87"/>
        <v/>
      </c>
    </row>
    <row r="1855" spans="1:9">
      <c r="A1855" s="15" t="str">
        <f t="shared" si="85"/>
        <v/>
      </c>
      <c r="G1855" s="17" t="str">
        <f t="shared" si="86"/>
        <v/>
      </c>
      <c r="I1855" s="17" t="str">
        <f t="shared" si="87"/>
        <v/>
      </c>
    </row>
    <row r="1856" spans="1:9">
      <c r="A1856" s="15" t="str">
        <f t="shared" si="85"/>
        <v/>
      </c>
      <c r="G1856" s="17" t="str">
        <f t="shared" si="86"/>
        <v/>
      </c>
      <c r="I1856" s="17" t="str">
        <f t="shared" si="87"/>
        <v/>
      </c>
    </row>
    <row r="1857" spans="1:9">
      <c r="A1857" s="15" t="str">
        <f t="shared" si="85"/>
        <v/>
      </c>
      <c r="G1857" s="17" t="str">
        <f t="shared" si="86"/>
        <v/>
      </c>
      <c r="I1857" s="17" t="str">
        <f t="shared" si="87"/>
        <v/>
      </c>
    </row>
    <row r="1858" spans="1:9">
      <c r="A1858" s="15" t="str">
        <f t="shared" si="85"/>
        <v/>
      </c>
      <c r="G1858" s="17" t="str">
        <f t="shared" si="86"/>
        <v/>
      </c>
      <c r="I1858" s="17" t="str">
        <f t="shared" si="87"/>
        <v/>
      </c>
    </row>
    <row r="1859" spans="1:9">
      <c r="A1859" s="15" t="str">
        <f t="shared" si="85"/>
        <v/>
      </c>
      <c r="G1859" s="17" t="str">
        <f t="shared" si="86"/>
        <v/>
      </c>
      <c r="I1859" s="17" t="str">
        <f t="shared" si="87"/>
        <v/>
      </c>
    </row>
    <row r="1860" spans="1:9">
      <c r="A1860" s="15" t="str">
        <f t="shared" si="85"/>
        <v/>
      </c>
      <c r="G1860" s="17" t="str">
        <f t="shared" si="86"/>
        <v/>
      </c>
      <c r="I1860" s="17" t="str">
        <f t="shared" si="87"/>
        <v/>
      </c>
    </row>
    <row r="1861" spans="1:9">
      <c r="A1861" s="15" t="str">
        <f t="shared" si="85"/>
        <v/>
      </c>
      <c r="G1861" s="17" t="str">
        <f t="shared" si="86"/>
        <v/>
      </c>
      <c r="I1861" s="17" t="str">
        <f t="shared" si="87"/>
        <v/>
      </c>
    </row>
    <row r="1862" spans="1:9">
      <c r="A1862" s="15" t="str">
        <f t="shared" si="85"/>
        <v/>
      </c>
      <c r="G1862" s="17" t="str">
        <f t="shared" si="86"/>
        <v/>
      </c>
      <c r="I1862" s="17" t="str">
        <f t="shared" si="87"/>
        <v/>
      </c>
    </row>
    <row r="1863" spans="1:9">
      <c r="A1863" s="15" t="str">
        <f t="shared" si="85"/>
        <v/>
      </c>
      <c r="G1863" s="17" t="str">
        <f t="shared" si="86"/>
        <v/>
      </c>
      <c r="I1863" s="17" t="str">
        <f t="shared" si="87"/>
        <v/>
      </c>
    </row>
    <row r="1864" spans="1:9">
      <c r="A1864" s="15" t="str">
        <f t="shared" si="85"/>
        <v/>
      </c>
      <c r="G1864" s="17" t="str">
        <f t="shared" si="86"/>
        <v/>
      </c>
      <c r="I1864" s="17" t="str">
        <f t="shared" si="87"/>
        <v/>
      </c>
    </row>
    <row r="1865" spans="1:9">
      <c r="A1865" s="15" t="str">
        <f t="shared" si="85"/>
        <v/>
      </c>
      <c r="G1865" s="17" t="str">
        <f t="shared" si="86"/>
        <v/>
      </c>
      <c r="I1865" s="17" t="str">
        <f t="shared" si="87"/>
        <v/>
      </c>
    </row>
    <row r="1866" spans="1:9">
      <c r="A1866" s="15" t="str">
        <f t="shared" si="85"/>
        <v/>
      </c>
      <c r="G1866" s="17" t="str">
        <f t="shared" si="86"/>
        <v/>
      </c>
      <c r="I1866" s="17" t="str">
        <f t="shared" si="87"/>
        <v/>
      </c>
    </row>
    <row r="1867" spans="1:9">
      <c r="A1867" s="15" t="str">
        <f t="shared" si="85"/>
        <v/>
      </c>
      <c r="G1867" s="17" t="str">
        <f t="shared" si="86"/>
        <v/>
      </c>
      <c r="I1867" s="17" t="str">
        <f t="shared" si="87"/>
        <v/>
      </c>
    </row>
    <row r="1868" spans="1:9">
      <c r="A1868" s="15" t="str">
        <f t="shared" si="85"/>
        <v/>
      </c>
      <c r="G1868" s="17" t="str">
        <f t="shared" si="86"/>
        <v/>
      </c>
      <c r="I1868" s="17" t="str">
        <f t="shared" si="87"/>
        <v/>
      </c>
    </row>
    <row r="1869" spans="1:9">
      <c r="A1869" s="15" t="str">
        <f t="shared" si="85"/>
        <v/>
      </c>
      <c r="G1869" s="17" t="str">
        <f t="shared" si="86"/>
        <v/>
      </c>
      <c r="I1869" s="17" t="str">
        <f t="shared" si="87"/>
        <v/>
      </c>
    </row>
    <row r="1870" spans="1:9">
      <c r="A1870" s="15" t="str">
        <f t="shared" si="85"/>
        <v/>
      </c>
      <c r="G1870" s="17" t="str">
        <f t="shared" si="86"/>
        <v/>
      </c>
      <c r="I1870" s="17" t="str">
        <f t="shared" si="87"/>
        <v/>
      </c>
    </row>
    <row r="1871" spans="1:9">
      <c r="A1871" s="15" t="str">
        <f t="shared" si="85"/>
        <v/>
      </c>
      <c r="G1871" s="17" t="str">
        <f t="shared" si="86"/>
        <v/>
      </c>
      <c r="I1871" s="17" t="str">
        <f t="shared" si="87"/>
        <v/>
      </c>
    </row>
    <row r="1872" spans="1:9">
      <c r="A1872" s="15" t="str">
        <f t="shared" si="85"/>
        <v/>
      </c>
      <c r="G1872" s="17" t="str">
        <f t="shared" si="86"/>
        <v/>
      </c>
      <c r="I1872" s="17" t="str">
        <f t="shared" si="87"/>
        <v/>
      </c>
    </row>
    <row r="1873" spans="1:9">
      <c r="A1873" s="15" t="str">
        <f t="shared" si="85"/>
        <v/>
      </c>
      <c r="G1873" s="17" t="str">
        <f t="shared" si="86"/>
        <v/>
      </c>
      <c r="I1873" s="17" t="str">
        <f t="shared" si="87"/>
        <v/>
      </c>
    </row>
    <row r="1874" spans="1:9">
      <c r="A1874" s="15" t="str">
        <f t="shared" si="85"/>
        <v/>
      </c>
      <c r="G1874" s="17" t="str">
        <f t="shared" si="86"/>
        <v/>
      </c>
      <c r="I1874" s="17" t="str">
        <f t="shared" si="87"/>
        <v/>
      </c>
    </row>
    <row r="1875" spans="1:9">
      <c r="A1875" s="15" t="str">
        <f t="shared" si="85"/>
        <v/>
      </c>
      <c r="G1875" s="17" t="str">
        <f t="shared" si="86"/>
        <v/>
      </c>
      <c r="I1875" s="17" t="str">
        <f t="shared" si="87"/>
        <v/>
      </c>
    </row>
    <row r="1876" spans="1:9">
      <c r="A1876" s="15" t="str">
        <f t="shared" si="85"/>
        <v/>
      </c>
      <c r="G1876" s="17" t="str">
        <f t="shared" si="86"/>
        <v/>
      </c>
      <c r="I1876" s="17" t="str">
        <f t="shared" si="87"/>
        <v/>
      </c>
    </row>
    <row r="1877" spans="1:9">
      <c r="A1877" s="15" t="str">
        <f t="shared" si="85"/>
        <v/>
      </c>
      <c r="G1877" s="17" t="str">
        <f t="shared" si="86"/>
        <v/>
      </c>
      <c r="I1877" s="17" t="str">
        <f t="shared" si="87"/>
        <v/>
      </c>
    </row>
    <row r="1878" spans="1:9">
      <c r="A1878" s="15" t="str">
        <f t="shared" si="85"/>
        <v/>
      </c>
      <c r="G1878" s="17" t="str">
        <f t="shared" si="86"/>
        <v/>
      </c>
      <c r="I1878" s="17" t="str">
        <f t="shared" si="87"/>
        <v/>
      </c>
    </row>
    <row r="1879" spans="1:9">
      <c r="A1879" s="15" t="str">
        <f t="shared" si="85"/>
        <v/>
      </c>
      <c r="G1879" s="17" t="str">
        <f t="shared" si="86"/>
        <v/>
      </c>
      <c r="I1879" s="17" t="str">
        <f t="shared" si="87"/>
        <v/>
      </c>
    </row>
    <row r="1880" spans="1:9">
      <c r="A1880" s="15" t="str">
        <f t="shared" ref="A1880:A1943" si="88">IF(B1880&lt;&gt;"",ROW()-2,"")</f>
        <v/>
      </c>
      <c r="G1880" s="17" t="str">
        <f t="shared" si="86"/>
        <v/>
      </c>
      <c r="I1880" s="17" t="str">
        <f t="shared" si="87"/>
        <v/>
      </c>
    </row>
    <row r="1881" spans="1:9">
      <c r="A1881" s="15" t="str">
        <f t="shared" si="88"/>
        <v/>
      </c>
      <c r="G1881" s="17" t="str">
        <f t="shared" si="86"/>
        <v/>
      </c>
      <c r="I1881" s="17" t="str">
        <f t="shared" si="87"/>
        <v/>
      </c>
    </row>
    <row r="1882" spans="1:9">
      <c r="A1882" s="15" t="str">
        <f t="shared" si="88"/>
        <v/>
      </c>
      <c r="G1882" s="17" t="str">
        <f t="shared" si="86"/>
        <v/>
      </c>
      <c r="I1882" s="17" t="str">
        <f t="shared" si="87"/>
        <v/>
      </c>
    </row>
    <row r="1883" spans="1:9">
      <c r="A1883" s="15" t="str">
        <f t="shared" si="88"/>
        <v/>
      </c>
      <c r="G1883" s="17" t="str">
        <f t="shared" si="86"/>
        <v/>
      </c>
      <c r="I1883" s="17" t="str">
        <f t="shared" si="87"/>
        <v/>
      </c>
    </row>
    <row r="1884" spans="1:9">
      <c r="A1884" s="15" t="str">
        <f t="shared" si="88"/>
        <v/>
      </c>
      <c r="G1884" s="17" t="str">
        <f t="shared" si="86"/>
        <v/>
      </c>
      <c r="I1884" s="17" t="str">
        <f t="shared" si="87"/>
        <v/>
      </c>
    </row>
    <row r="1885" spans="1:9">
      <c r="A1885" s="15" t="str">
        <f t="shared" si="88"/>
        <v/>
      </c>
      <c r="G1885" s="17" t="str">
        <f t="shared" si="86"/>
        <v/>
      </c>
      <c r="I1885" s="17" t="str">
        <f t="shared" si="87"/>
        <v/>
      </c>
    </row>
    <row r="1886" spans="1:9">
      <c r="A1886" s="15" t="str">
        <f t="shared" si="88"/>
        <v/>
      </c>
      <c r="G1886" s="17" t="str">
        <f t="shared" si="86"/>
        <v/>
      </c>
      <c r="I1886" s="17" t="str">
        <f t="shared" si="87"/>
        <v/>
      </c>
    </row>
    <row r="1887" spans="1:9">
      <c r="A1887" s="15" t="str">
        <f t="shared" si="88"/>
        <v/>
      </c>
      <c r="G1887" s="17" t="str">
        <f t="shared" si="86"/>
        <v/>
      </c>
      <c r="I1887" s="17" t="str">
        <f t="shared" si="87"/>
        <v/>
      </c>
    </row>
    <row r="1888" spans="1:9">
      <c r="A1888" s="15" t="str">
        <f t="shared" si="88"/>
        <v/>
      </c>
      <c r="G1888" s="17" t="str">
        <f t="shared" si="86"/>
        <v/>
      </c>
      <c r="I1888" s="17" t="str">
        <f t="shared" si="87"/>
        <v/>
      </c>
    </row>
    <row r="1889" spans="1:9">
      <c r="A1889" s="15" t="str">
        <f t="shared" si="88"/>
        <v/>
      </c>
      <c r="G1889" s="17" t="str">
        <f t="shared" si="86"/>
        <v/>
      </c>
      <c r="I1889" s="17" t="str">
        <f t="shared" si="87"/>
        <v/>
      </c>
    </row>
    <row r="1890" spans="1:9">
      <c r="A1890" s="15" t="str">
        <f t="shared" si="88"/>
        <v/>
      </c>
      <c r="G1890" s="17" t="str">
        <f t="shared" si="86"/>
        <v/>
      </c>
      <c r="I1890" s="17" t="str">
        <f t="shared" si="87"/>
        <v/>
      </c>
    </row>
    <row r="1891" spans="1:9">
      <c r="A1891" s="15" t="str">
        <f t="shared" si="88"/>
        <v/>
      </c>
      <c r="G1891" s="17" t="str">
        <f t="shared" si="86"/>
        <v/>
      </c>
      <c r="I1891" s="17" t="str">
        <f t="shared" si="87"/>
        <v/>
      </c>
    </row>
    <row r="1892" spans="1:9">
      <c r="A1892" s="15" t="str">
        <f t="shared" si="88"/>
        <v/>
      </c>
      <c r="G1892" s="17" t="str">
        <f t="shared" si="86"/>
        <v/>
      </c>
      <c r="I1892" s="17" t="str">
        <f t="shared" si="87"/>
        <v/>
      </c>
    </row>
    <row r="1893" spans="1:9">
      <c r="A1893" s="15" t="str">
        <f t="shared" si="88"/>
        <v/>
      </c>
      <c r="G1893" s="17" t="str">
        <f t="shared" si="86"/>
        <v/>
      </c>
      <c r="I1893" s="17" t="str">
        <f t="shared" si="87"/>
        <v/>
      </c>
    </row>
    <row r="1894" spans="1:9">
      <c r="A1894" s="15" t="str">
        <f t="shared" si="88"/>
        <v/>
      </c>
      <c r="G1894" s="17" t="str">
        <f t="shared" si="86"/>
        <v/>
      </c>
      <c r="I1894" s="17" t="str">
        <f t="shared" si="87"/>
        <v/>
      </c>
    </row>
    <row r="1895" spans="1:9">
      <c r="A1895" s="15" t="str">
        <f t="shared" si="88"/>
        <v/>
      </c>
      <c r="G1895" s="17" t="str">
        <f t="shared" si="86"/>
        <v/>
      </c>
      <c r="I1895" s="17" t="str">
        <f t="shared" si="87"/>
        <v/>
      </c>
    </row>
    <row r="1896" spans="1:9">
      <c r="A1896" s="15" t="str">
        <f t="shared" si="88"/>
        <v/>
      </c>
      <c r="G1896" s="17" t="str">
        <f t="shared" si="86"/>
        <v/>
      </c>
      <c r="I1896" s="17" t="str">
        <f t="shared" si="87"/>
        <v/>
      </c>
    </row>
    <row r="1897" spans="1:9">
      <c r="A1897" s="15" t="str">
        <f t="shared" si="88"/>
        <v/>
      </c>
      <c r="G1897" s="17" t="str">
        <f t="shared" si="86"/>
        <v/>
      </c>
      <c r="I1897" s="17" t="str">
        <f t="shared" si="87"/>
        <v/>
      </c>
    </row>
    <row r="1898" spans="1:9">
      <c r="A1898" s="15" t="str">
        <f t="shared" si="88"/>
        <v/>
      </c>
      <c r="G1898" s="17" t="str">
        <f t="shared" si="86"/>
        <v/>
      </c>
      <c r="I1898" s="17" t="str">
        <f t="shared" si="87"/>
        <v/>
      </c>
    </row>
    <row r="1899" spans="1:9">
      <c r="A1899" s="15" t="str">
        <f t="shared" si="88"/>
        <v/>
      </c>
      <c r="G1899" s="17" t="str">
        <f t="shared" si="86"/>
        <v/>
      </c>
      <c r="I1899" s="17" t="str">
        <f t="shared" si="87"/>
        <v/>
      </c>
    </row>
    <row r="1900" spans="1:9">
      <c r="A1900" s="15" t="str">
        <f t="shared" si="88"/>
        <v/>
      </c>
      <c r="G1900" s="17" t="str">
        <f t="shared" si="86"/>
        <v/>
      </c>
      <c r="I1900" s="17" t="str">
        <f t="shared" si="87"/>
        <v/>
      </c>
    </row>
    <row r="1901" spans="1:9">
      <c r="A1901" s="15" t="str">
        <f t="shared" si="88"/>
        <v/>
      </c>
      <c r="G1901" s="17" t="str">
        <f t="shared" si="86"/>
        <v/>
      </c>
      <c r="I1901" s="17" t="str">
        <f t="shared" si="87"/>
        <v/>
      </c>
    </row>
    <row r="1902" spans="1:9">
      <c r="A1902" s="15" t="str">
        <f t="shared" si="88"/>
        <v/>
      </c>
      <c r="G1902" s="17" t="str">
        <f t="shared" si="86"/>
        <v/>
      </c>
      <c r="I1902" s="17" t="str">
        <f t="shared" si="87"/>
        <v/>
      </c>
    </row>
    <row r="1903" spans="1:9">
      <c r="A1903" s="15" t="str">
        <f t="shared" si="88"/>
        <v/>
      </c>
      <c r="G1903" s="17" t="str">
        <f t="shared" ref="G1903:G1936" si="89">IFERROR(VLOOKUP(C1903,$U$3:$W$19,2,),"")</f>
        <v/>
      </c>
      <c r="I1903" s="17" t="str">
        <f t="shared" ref="I1903:I1936" si="90">IFERROR(VLOOKUP(C1903,$U$3:$W$19,3,),"")</f>
        <v/>
      </c>
    </row>
    <row r="1904" spans="1:9">
      <c r="A1904" s="15" t="str">
        <f t="shared" si="88"/>
        <v/>
      </c>
      <c r="G1904" s="17" t="str">
        <f t="shared" si="89"/>
        <v/>
      </c>
      <c r="I1904" s="17" t="str">
        <f t="shared" si="90"/>
        <v/>
      </c>
    </row>
    <row r="1905" spans="1:9">
      <c r="A1905" s="15" t="str">
        <f t="shared" si="88"/>
        <v/>
      </c>
      <c r="G1905" s="17" t="str">
        <f t="shared" si="89"/>
        <v/>
      </c>
      <c r="I1905" s="17" t="str">
        <f t="shared" si="90"/>
        <v/>
      </c>
    </row>
    <row r="1906" spans="1:9">
      <c r="A1906" s="15" t="str">
        <f t="shared" si="88"/>
        <v/>
      </c>
      <c r="G1906" s="17" t="str">
        <f t="shared" si="89"/>
        <v/>
      </c>
      <c r="I1906" s="17" t="str">
        <f t="shared" si="90"/>
        <v/>
      </c>
    </row>
    <row r="1907" spans="1:9">
      <c r="A1907" s="15" t="str">
        <f t="shared" si="88"/>
        <v/>
      </c>
      <c r="G1907" s="17" t="str">
        <f t="shared" si="89"/>
        <v/>
      </c>
      <c r="I1907" s="17" t="str">
        <f t="shared" si="90"/>
        <v/>
      </c>
    </row>
    <row r="1908" spans="1:9">
      <c r="A1908" s="15" t="str">
        <f t="shared" si="88"/>
        <v/>
      </c>
      <c r="G1908" s="17" t="str">
        <f t="shared" si="89"/>
        <v/>
      </c>
      <c r="I1908" s="17" t="str">
        <f t="shared" si="90"/>
        <v/>
      </c>
    </row>
    <row r="1909" spans="1:9">
      <c r="A1909" s="15" t="str">
        <f t="shared" si="88"/>
        <v/>
      </c>
      <c r="G1909" s="17" t="str">
        <f t="shared" si="89"/>
        <v/>
      </c>
      <c r="I1909" s="17" t="str">
        <f t="shared" si="90"/>
        <v/>
      </c>
    </row>
    <row r="1910" spans="1:9">
      <c r="A1910" s="15" t="str">
        <f t="shared" si="88"/>
        <v/>
      </c>
      <c r="G1910" s="17" t="str">
        <f t="shared" si="89"/>
        <v/>
      </c>
      <c r="I1910" s="17" t="str">
        <f t="shared" si="90"/>
        <v/>
      </c>
    </row>
    <row r="1911" spans="1:9">
      <c r="A1911" s="15" t="str">
        <f t="shared" si="88"/>
        <v/>
      </c>
      <c r="G1911" s="17" t="str">
        <f t="shared" si="89"/>
        <v/>
      </c>
      <c r="I1911" s="17" t="str">
        <f t="shared" si="90"/>
        <v/>
      </c>
    </row>
    <row r="1912" spans="1:9">
      <c r="A1912" s="15" t="str">
        <f t="shared" si="88"/>
        <v/>
      </c>
      <c r="G1912" s="17" t="str">
        <f t="shared" si="89"/>
        <v/>
      </c>
      <c r="I1912" s="17" t="str">
        <f t="shared" si="90"/>
        <v/>
      </c>
    </row>
    <row r="1913" spans="1:9">
      <c r="A1913" s="15" t="str">
        <f t="shared" si="88"/>
        <v/>
      </c>
      <c r="G1913" s="17" t="str">
        <f t="shared" si="89"/>
        <v/>
      </c>
      <c r="I1913" s="17" t="str">
        <f t="shared" si="90"/>
        <v/>
      </c>
    </row>
    <row r="1914" spans="1:9">
      <c r="A1914" s="15" t="str">
        <f t="shared" si="88"/>
        <v/>
      </c>
      <c r="G1914" s="17" t="str">
        <f t="shared" si="89"/>
        <v/>
      </c>
      <c r="I1914" s="17" t="str">
        <f t="shared" si="90"/>
        <v/>
      </c>
    </row>
    <row r="1915" spans="1:9">
      <c r="A1915" s="15" t="str">
        <f t="shared" si="88"/>
        <v/>
      </c>
      <c r="G1915" s="17" t="str">
        <f t="shared" si="89"/>
        <v/>
      </c>
      <c r="I1915" s="17" t="str">
        <f t="shared" si="90"/>
        <v/>
      </c>
    </row>
    <row r="1916" spans="1:9">
      <c r="A1916" s="15" t="str">
        <f t="shared" si="88"/>
        <v/>
      </c>
      <c r="G1916" s="17" t="str">
        <f t="shared" si="89"/>
        <v/>
      </c>
      <c r="I1916" s="17" t="str">
        <f t="shared" si="90"/>
        <v/>
      </c>
    </row>
    <row r="1917" spans="1:9">
      <c r="A1917" s="15" t="str">
        <f t="shared" si="88"/>
        <v/>
      </c>
      <c r="G1917" s="17" t="str">
        <f t="shared" si="89"/>
        <v/>
      </c>
      <c r="I1917" s="17" t="str">
        <f t="shared" si="90"/>
        <v/>
      </c>
    </row>
    <row r="1918" spans="1:9">
      <c r="A1918" s="15" t="str">
        <f t="shared" si="88"/>
        <v/>
      </c>
      <c r="G1918" s="17" t="str">
        <f t="shared" si="89"/>
        <v/>
      </c>
      <c r="I1918" s="17" t="str">
        <f t="shared" si="90"/>
        <v/>
      </c>
    </row>
    <row r="1919" spans="1:9">
      <c r="A1919" s="15" t="str">
        <f t="shared" si="88"/>
        <v/>
      </c>
      <c r="G1919" s="17" t="str">
        <f t="shared" si="89"/>
        <v/>
      </c>
      <c r="I1919" s="17" t="str">
        <f t="shared" si="90"/>
        <v/>
      </c>
    </row>
    <row r="1920" spans="1:9">
      <c r="A1920" s="15" t="str">
        <f t="shared" si="88"/>
        <v/>
      </c>
      <c r="G1920" s="17" t="str">
        <f t="shared" si="89"/>
        <v/>
      </c>
      <c r="I1920" s="17" t="str">
        <f t="shared" si="90"/>
        <v/>
      </c>
    </row>
    <row r="1921" spans="1:9">
      <c r="A1921" s="15" t="str">
        <f t="shared" si="88"/>
        <v/>
      </c>
      <c r="G1921" s="17" t="str">
        <f t="shared" si="89"/>
        <v/>
      </c>
      <c r="I1921" s="17" t="str">
        <f t="shared" si="90"/>
        <v/>
      </c>
    </row>
    <row r="1922" spans="1:9">
      <c r="A1922" s="15" t="str">
        <f t="shared" si="88"/>
        <v/>
      </c>
      <c r="G1922" s="17" t="str">
        <f t="shared" si="89"/>
        <v/>
      </c>
      <c r="I1922" s="17" t="str">
        <f t="shared" si="90"/>
        <v/>
      </c>
    </row>
    <row r="1923" spans="1:9">
      <c r="A1923" s="15" t="str">
        <f t="shared" si="88"/>
        <v/>
      </c>
      <c r="G1923" s="17" t="str">
        <f t="shared" si="89"/>
        <v/>
      </c>
      <c r="I1923" s="17" t="str">
        <f t="shared" si="90"/>
        <v/>
      </c>
    </row>
    <row r="1924" spans="1:9">
      <c r="A1924" s="15" t="str">
        <f t="shared" si="88"/>
        <v/>
      </c>
      <c r="G1924" s="17" t="str">
        <f t="shared" si="89"/>
        <v/>
      </c>
      <c r="I1924" s="17" t="str">
        <f t="shared" si="90"/>
        <v/>
      </c>
    </row>
    <row r="1925" spans="1:9">
      <c r="A1925" s="15" t="str">
        <f t="shared" si="88"/>
        <v/>
      </c>
      <c r="G1925" s="17" t="str">
        <f t="shared" si="89"/>
        <v/>
      </c>
      <c r="I1925" s="17" t="str">
        <f t="shared" si="90"/>
        <v/>
      </c>
    </row>
    <row r="1926" spans="1:9">
      <c r="A1926" s="15" t="str">
        <f t="shared" si="88"/>
        <v/>
      </c>
      <c r="G1926" s="17" t="str">
        <f t="shared" si="89"/>
        <v/>
      </c>
      <c r="I1926" s="17" t="str">
        <f t="shared" si="90"/>
        <v/>
      </c>
    </row>
    <row r="1927" spans="1:9">
      <c r="A1927" s="15" t="str">
        <f t="shared" si="88"/>
        <v/>
      </c>
      <c r="G1927" s="17" t="str">
        <f t="shared" si="89"/>
        <v/>
      </c>
      <c r="I1927" s="17" t="str">
        <f t="shared" si="90"/>
        <v/>
      </c>
    </row>
    <row r="1928" spans="1:9">
      <c r="A1928" s="15" t="str">
        <f t="shared" si="88"/>
        <v/>
      </c>
      <c r="G1928" s="17" t="str">
        <f t="shared" si="89"/>
        <v/>
      </c>
      <c r="I1928" s="17" t="str">
        <f t="shared" si="90"/>
        <v/>
      </c>
    </row>
    <row r="1929" spans="1:9">
      <c r="A1929" s="15" t="str">
        <f t="shared" si="88"/>
        <v/>
      </c>
      <c r="G1929" s="17" t="str">
        <f t="shared" si="89"/>
        <v/>
      </c>
      <c r="I1929" s="17" t="str">
        <f t="shared" si="90"/>
        <v/>
      </c>
    </row>
    <row r="1930" spans="1:9">
      <c r="A1930" s="15" t="str">
        <f t="shared" si="88"/>
        <v/>
      </c>
      <c r="G1930" s="17" t="str">
        <f t="shared" si="89"/>
        <v/>
      </c>
      <c r="I1930" s="17" t="str">
        <f t="shared" si="90"/>
        <v/>
      </c>
    </row>
    <row r="1931" spans="1:9">
      <c r="A1931" s="15" t="str">
        <f t="shared" si="88"/>
        <v/>
      </c>
      <c r="G1931" s="17" t="str">
        <f t="shared" si="89"/>
        <v/>
      </c>
      <c r="I1931" s="17" t="str">
        <f t="shared" si="90"/>
        <v/>
      </c>
    </row>
    <row r="1932" spans="1:9">
      <c r="A1932" s="15" t="str">
        <f t="shared" si="88"/>
        <v/>
      </c>
      <c r="G1932" s="17" t="str">
        <f t="shared" si="89"/>
        <v/>
      </c>
      <c r="I1932" s="17" t="str">
        <f t="shared" si="90"/>
        <v/>
      </c>
    </row>
    <row r="1933" spans="1:9">
      <c r="A1933" s="15" t="str">
        <f t="shared" si="88"/>
        <v/>
      </c>
      <c r="G1933" s="17" t="str">
        <f t="shared" si="89"/>
        <v/>
      </c>
      <c r="I1933" s="17" t="str">
        <f t="shared" si="90"/>
        <v/>
      </c>
    </row>
    <row r="1934" spans="1:9">
      <c r="A1934" s="15" t="str">
        <f t="shared" si="88"/>
        <v/>
      </c>
      <c r="G1934" s="17" t="str">
        <f t="shared" si="89"/>
        <v/>
      </c>
      <c r="I1934" s="17" t="str">
        <f t="shared" si="90"/>
        <v/>
      </c>
    </row>
    <row r="1935" spans="1:9">
      <c r="A1935" s="15" t="str">
        <f t="shared" si="88"/>
        <v/>
      </c>
      <c r="G1935" s="17" t="str">
        <f t="shared" si="89"/>
        <v/>
      </c>
      <c r="I1935" s="17" t="str">
        <f t="shared" si="90"/>
        <v/>
      </c>
    </row>
    <row r="1936" spans="1:9">
      <c r="A1936" s="15" t="str">
        <f t="shared" si="88"/>
        <v/>
      </c>
      <c r="G1936" s="17" t="str">
        <f t="shared" si="89"/>
        <v/>
      </c>
      <c r="I1936" s="17" t="str">
        <f t="shared" si="90"/>
        <v/>
      </c>
    </row>
  </sheetData>
  <phoneticPr fontId="49" type="noConversion"/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FC94"/>
  <sheetViews>
    <sheetView showGridLines="0" showZeros="0" zoomScale="85" zoomScaleNormal="85" zoomScalePageLayoutView="85" workbookViewId="0">
      <selection activeCell="E12" sqref="E12:F12"/>
    </sheetView>
  </sheetViews>
  <sheetFormatPr defaultColWidth="8.69921875" defaultRowHeight="17.399999999999999"/>
  <cols>
    <col min="1" max="1" width="2.69921875" style="29" customWidth="1"/>
    <col min="2" max="2" width="1.8984375" style="29" customWidth="1"/>
    <col min="3" max="3" width="25.09765625" style="29" customWidth="1"/>
    <col min="4" max="4" width="5.69921875" style="29" customWidth="1"/>
    <col min="5" max="6" width="9.69921875" style="29" customWidth="1"/>
    <col min="7" max="7" width="8.8984375" style="29" customWidth="1"/>
    <col min="8" max="8" width="17.19921875" style="29" customWidth="1"/>
    <col min="9" max="9" width="5.59765625" style="29" customWidth="1"/>
    <col min="10" max="10" width="3.8984375" style="29" customWidth="1"/>
    <col min="11" max="11" width="27.09765625" style="29" customWidth="1"/>
    <col min="12" max="12" width="14.09765625" style="29" customWidth="1"/>
    <col min="13" max="13" width="7.3984375" style="29" customWidth="1"/>
    <col min="14" max="14" width="11.59765625" style="29" customWidth="1"/>
    <col min="15" max="15" width="14.09765625" style="29" customWidth="1"/>
    <col min="16" max="16" width="3.8984375" style="29" customWidth="1"/>
    <col min="17" max="17" width="2.69921875" style="29" customWidth="1"/>
    <col min="18" max="20" width="8.69921875" style="29"/>
    <col min="21" max="21" width="18.09765625" style="29" customWidth="1"/>
    <col min="22" max="22" width="8.69921875" style="29"/>
    <col min="23" max="23" width="18.59765625" style="29" customWidth="1"/>
    <col min="24" max="16382" width="8.69921875" style="29" hidden="1"/>
    <col min="16383" max="16383" width="3.8984375" style="29" hidden="1" customWidth="1"/>
    <col min="16384" max="16384" width="4.09765625" style="29" customWidth="1"/>
  </cols>
  <sheetData>
    <row r="1" spans="1:23">
      <c r="A1" s="30" t="s">
        <v>225</v>
      </c>
    </row>
    <row r="2" spans="1:23" ht="27" customHeight="1">
      <c r="B2" s="14" t="s">
        <v>226</v>
      </c>
      <c r="C2" s="14"/>
      <c r="D2" s="14"/>
      <c r="E2" s="13" t="s">
        <v>227</v>
      </c>
      <c r="F2" s="13"/>
      <c r="H2" s="31"/>
    </row>
    <row r="3" spans="1:23" ht="21" customHeight="1">
      <c r="B3" s="12" t="s">
        <v>228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23" ht="4.5" customHeight="1"/>
    <row r="5" spans="1:23" ht="30" customHeight="1">
      <c r="B5" s="11" t="s">
        <v>229</v>
      </c>
      <c r="C5" s="11"/>
      <c r="D5" s="11"/>
      <c r="E5" s="10" t="s">
        <v>230</v>
      </c>
      <c r="F5" s="10"/>
      <c r="G5" s="10"/>
      <c r="H5" s="11" t="s">
        <v>231</v>
      </c>
      <c r="I5" s="11"/>
      <c r="J5" s="11"/>
      <c r="K5" s="9" t="s">
        <v>232</v>
      </c>
      <c r="L5" s="11" t="s">
        <v>233</v>
      </c>
      <c r="M5" s="11"/>
      <c r="N5" s="8" t="s">
        <v>234</v>
      </c>
      <c r="O5" s="8"/>
      <c r="P5" s="8"/>
      <c r="Q5" s="32"/>
      <c r="R5" s="33"/>
      <c r="S5" s="33"/>
    </row>
    <row r="6" spans="1:23" ht="30" customHeight="1">
      <c r="B6" s="11" t="s">
        <v>235</v>
      </c>
      <c r="C6" s="11"/>
      <c r="D6" s="11"/>
      <c r="E6" s="8" t="s">
        <v>236</v>
      </c>
      <c r="F6" s="8"/>
      <c r="G6" s="8"/>
      <c r="H6" s="11"/>
      <c r="I6" s="11"/>
      <c r="J6" s="11"/>
      <c r="K6" s="9"/>
      <c r="L6" s="7"/>
      <c r="M6" s="7"/>
      <c r="N6" s="8" t="s">
        <v>237</v>
      </c>
      <c r="O6" s="8"/>
      <c r="P6" s="8"/>
      <c r="Q6" s="32"/>
      <c r="R6" s="33"/>
      <c r="S6" s="33"/>
    </row>
    <row r="7" spans="1:23" ht="30" customHeight="1">
      <c r="B7" s="11" t="s">
        <v>238</v>
      </c>
      <c r="C7" s="11"/>
      <c r="D7" s="11"/>
      <c r="E7" s="11" t="s">
        <v>239</v>
      </c>
      <c r="F7" s="11"/>
      <c r="G7" s="11"/>
      <c r="H7" s="11"/>
      <c r="I7" s="11"/>
      <c r="J7" s="11"/>
      <c r="K7" s="11"/>
      <c r="L7" s="11" t="s">
        <v>240</v>
      </c>
      <c r="M7" s="11"/>
      <c r="N7" s="11"/>
      <c r="O7" s="11"/>
      <c r="P7" s="11"/>
      <c r="Q7" s="32"/>
      <c r="R7" s="33"/>
      <c r="S7" s="33"/>
      <c r="T7" s="34"/>
      <c r="U7" s="34"/>
      <c r="V7" s="34"/>
      <c r="W7" s="34"/>
    </row>
    <row r="8" spans="1:23" ht="4.5" customHeight="1">
      <c r="T8" s="34"/>
      <c r="U8" s="34"/>
      <c r="V8" s="34"/>
      <c r="W8" s="34"/>
    </row>
    <row r="9" spans="1:23" s="39" customFormat="1" ht="24" customHeight="1">
      <c r="A9"/>
      <c r="B9" s="159" t="s">
        <v>597</v>
      </c>
      <c r="C9" s="6"/>
      <c r="D9" s="6"/>
      <c r="E9" s="5" t="s">
        <v>241</v>
      </c>
      <c r="F9" s="5"/>
      <c r="G9" s="4" t="str">
        <f>VLOOKUP($S$10,계약리스트!$A$3:$AB$5000,12,0)</f>
        <v>이재훈</v>
      </c>
      <c r="H9" s="4"/>
      <c r="I9" s="4"/>
      <c r="J9" s="4"/>
      <c r="K9" s="35" t="s">
        <v>242</v>
      </c>
      <c r="L9" s="3" t="str">
        <f>VLOOKUP($S$10,계약리스트!$A$3:$AB$5000,14,0)</f>
        <v>010-5049-2293</v>
      </c>
      <c r="M9" s="3"/>
      <c r="N9" s="3"/>
      <c r="O9" s="3"/>
      <c r="P9" s="3"/>
      <c r="Q9" s="36" t="s">
        <v>225</v>
      </c>
      <c r="R9"/>
      <c r="S9" s="37" t="s">
        <v>243</v>
      </c>
      <c r="T9" s="34"/>
      <c r="U9" s="38"/>
      <c r="V9" s="38"/>
      <c r="W9" s="38"/>
    </row>
    <row r="10" spans="1:23" s="39" customFormat="1" ht="24" customHeight="1">
      <c r="A10"/>
      <c r="B10" s="6"/>
      <c r="C10" s="6"/>
      <c r="D10" s="6"/>
      <c r="E10" s="5" t="s">
        <v>244</v>
      </c>
      <c r="F10" s="5"/>
      <c r="G10" s="4" t="str">
        <f>VLOOKUP($S$10,계약리스트!$A$3:$AB$5000,15,0)</f>
        <v>940927-1229939</v>
      </c>
      <c r="H10" s="4"/>
      <c r="I10" s="4"/>
      <c r="J10" s="4"/>
      <c r="K10" s="35" t="s">
        <v>245</v>
      </c>
      <c r="L10" s="3"/>
      <c r="M10" s="3"/>
      <c r="N10" s="3"/>
      <c r="O10" s="3"/>
      <c r="P10" s="3"/>
      <c r="Q10" s="36"/>
      <c r="R10"/>
      <c r="S10" s="40">
        <v>43</v>
      </c>
      <c r="T10" s="34"/>
      <c r="U10" s="38"/>
      <c r="V10" s="38"/>
      <c r="W10" s="38"/>
    </row>
    <row r="11" spans="1:23" s="39" customFormat="1" ht="33" customHeight="1">
      <c r="A11"/>
      <c r="B11" s="6"/>
      <c r="C11" s="6"/>
      <c r="D11" s="6"/>
      <c r="E11" s="5" t="s">
        <v>246</v>
      </c>
      <c r="F11" s="5"/>
      <c r="G11" s="4" t="str">
        <f>VLOOKUP($S$10,계약리스트!$A$3:$AB$5000,16,0)</f>
        <v>경기도 화성시 향남읍 한절이2길 19, 302호</v>
      </c>
      <c r="H11" s="4"/>
      <c r="I11" s="4"/>
      <c r="J11" s="4"/>
      <c r="K11" s="35" t="s">
        <v>247</v>
      </c>
      <c r="L11" s="2"/>
      <c r="M11" s="2"/>
      <c r="N11" s="2"/>
      <c r="O11" s="2"/>
      <c r="P11" s="2"/>
      <c r="Q11" s="36"/>
      <c r="R11"/>
      <c r="S11"/>
      <c r="T11" s="34"/>
      <c r="U11" s="38"/>
      <c r="V11" s="38"/>
      <c r="W11" s="38"/>
    </row>
    <row r="12" spans="1:23" s="39" customFormat="1" ht="33" customHeight="1">
      <c r="A12"/>
      <c r="B12" s="6"/>
      <c r="C12" s="6"/>
      <c r="D12" s="6"/>
      <c r="E12" s="5" t="s">
        <v>248</v>
      </c>
      <c r="F12" s="5"/>
      <c r="G12" s="1"/>
      <c r="H12" s="1"/>
      <c r="I12" s="1"/>
      <c r="J12" s="1"/>
      <c r="K12" s="35" t="s">
        <v>249</v>
      </c>
      <c r="L12" s="103"/>
      <c r="M12" s="103"/>
      <c r="N12" s="103"/>
      <c r="O12" s="103"/>
      <c r="P12" s="103"/>
      <c r="Q12" s="36"/>
      <c r="R12"/>
      <c r="S12"/>
      <c r="T12" s="34"/>
      <c r="U12" s="38"/>
      <c r="V12" s="38"/>
      <c r="W12" s="38"/>
    </row>
    <row r="13" spans="1:23" s="39" customFormat="1" ht="24" customHeight="1" thickTop="1" thickBot="1">
      <c r="A13"/>
      <c r="B13" s="6"/>
      <c r="C13" s="6"/>
      <c r="D13" s="6"/>
      <c r="E13" s="104" t="s">
        <v>250</v>
      </c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41"/>
      <c r="R13"/>
      <c r="S13"/>
      <c r="T13" s="34"/>
      <c r="U13" s="38"/>
      <c r="V13" s="38"/>
      <c r="W13" s="38"/>
    </row>
    <row r="14" spans="1:23" s="39" customFormat="1" ht="21" customHeight="1" thickTop="1">
      <c r="A14"/>
      <c r="B14" s="158" t="s">
        <v>596</v>
      </c>
      <c r="C14" s="150"/>
      <c r="D14" s="151"/>
      <c r="E14" s="106" t="s">
        <v>9</v>
      </c>
      <c r="F14" s="106"/>
      <c r="G14" s="4" t="str">
        <f>IFERROR(IF(VLOOKUP($S$10,계약리스트!$A$3:$AB$5000,10,0)="","",VLOOKUP($S$10,계약리스트!$A$3:$AB$5000,10,0)),"")</f>
        <v>딜리버리팀</v>
      </c>
      <c r="H14" s="4"/>
      <c r="I14" s="4"/>
      <c r="J14" s="4"/>
      <c r="K14" s="42" t="s">
        <v>16</v>
      </c>
      <c r="L14" s="3" t="str">
        <f>IFERROR(IF(VLOOKUP($S$10,계약리스트!$A$3:$AB$5000,17,0)="","",VLOOKUP($S$10,계약리스트!$A$3:$AB$5000,17,0)),"")</f>
        <v/>
      </c>
      <c r="M14" s="3"/>
      <c r="N14" s="3"/>
      <c r="O14" s="3"/>
      <c r="P14" s="3"/>
      <c r="Q14" s="36"/>
      <c r="R14"/>
      <c r="S14"/>
      <c r="T14" s="34"/>
      <c r="U14" s="38"/>
      <c r="V14" s="38"/>
      <c r="W14" s="38"/>
    </row>
    <row r="15" spans="1:23" s="39" customFormat="1" ht="21" customHeight="1">
      <c r="A15"/>
      <c r="B15" s="152"/>
      <c r="C15" s="153"/>
      <c r="D15" s="154"/>
      <c r="E15" s="5" t="s">
        <v>251</v>
      </c>
      <c r="F15" s="5"/>
      <c r="G15" s="4" t="str">
        <f>IFERROR(IF(VLOOKUP($S$10,계약리스트!$A$3:$AB$5000,11,0)="","",VLOOKUP($S$10,계약리스트!$A$3:$AB$5000,11,0)),"")</f>
        <v>289-27-01841</v>
      </c>
      <c r="H15" s="4"/>
      <c r="I15" s="4"/>
      <c r="J15" s="4"/>
      <c r="K15" s="35" t="s">
        <v>17</v>
      </c>
      <c r="L15" s="3" t="str">
        <f>IFERROR(IF(VLOOKUP($S$10,계약리스트!$A$3:$AB$5000,18,0)="","",VLOOKUP($S$10,계약리스트!$A$3:$AB$5000,18,0)),"")</f>
        <v/>
      </c>
      <c r="M15" s="3"/>
      <c r="N15" s="3"/>
      <c r="O15" s="3"/>
      <c r="P15" s="3"/>
      <c r="Q15" s="36"/>
      <c r="R15"/>
      <c r="S15"/>
      <c r="T15" s="34"/>
      <c r="U15" s="38"/>
      <c r="V15" s="38"/>
      <c r="W15" s="38"/>
    </row>
    <row r="16" spans="1:23" s="39" customFormat="1" ht="21" customHeight="1">
      <c r="A16"/>
      <c r="B16" s="152"/>
      <c r="C16" s="153"/>
      <c r="D16" s="154"/>
      <c r="E16" s="5" t="s">
        <v>12</v>
      </c>
      <c r="F16" s="5"/>
      <c r="G16" s="4" t="str">
        <f>IFERROR(IF(VLOOKUP($S$10,계약리스트!$A$3:$AB$5000,13,0)="","",VLOOKUP($S$10,계약리스트!$A$3:$AB$5000,13,0)),"")</f>
        <v>경기도 화성시 향남읍 한절이2길 19, 302호</v>
      </c>
      <c r="H16" s="4"/>
      <c r="I16" s="4"/>
      <c r="J16" s="4"/>
      <c r="K16" s="35" t="s">
        <v>18</v>
      </c>
      <c r="L16" s="3" t="str">
        <f>IFERROR(IF(VLOOKUP($S$10,계약리스트!$A$3:$AB$5000,19,0)="","",VLOOKUP($S$10,계약리스트!$A$3:$AB$5000,19,0)),"")</f>
        <v/>
      </c>
      <c r="M16" s="3"/>
      <c r="N16" s="3"/>
      <c r="O16" s="3"/>
      <c r="P16" s="3"/>
      <c r="Q16" s="36"/>
      <c r="R16"/>
      <c r="S16"/>
      <c r="T16" s="34"/>
      <c r="U16" s="38"/>
      <c r="V16" s="38"/>
      <c r="W16" s="38"/>
    </row>
    <row r="17" spans="1:23" s="39" customFormat="1" ht="21.75" customHeight="1">
      <c r="A17"/>
      <c r="B17" s="152"/>
      <c r="C17" s="153"/>
      <c r="D17" s="154"/>
      <c r="E17" s="5" t="s">
        <v>245</v>
      </c>
      <c r="F17" s="5"/>
      <c r="G17" s="107"/>
      <c r="H17" s="107"/>
      <c r="I17" s="107"/>
      <c r="J17" s="107"/>
      <c r="K17" s="35" t="s">
        <v>19</v>
      </c>
      <c r="L17" s="3" t="str">
        <f>IFERROR(IF(VLOOKUP($S$10,계약리스트!$A$3:$AB$5000,20,0)="","",VLOOKUP($S$10,계약리스트!$A$3:$AB$5000,20,0)),"")</f>
        <v/>
      </c>
      <c r="M17" s="3"/>
      <c r="N17" s="3"/>
      <c r="O17" s="3"/>
      <c r="P17" s="3"/>
      <c r="Q17" s="36"/>
      <c r="R17"/>
      <c r="S17"/>
      <c r="T17" s="34"/>
      <c r="U17" s="38"/>
      <c r="V17" s="38"/>
      <c r="W17" s="38"/>
    </row>
    <row r="18" spans="1:23" s="39" customFormat="1" ht="21" customHeight="1" thickBot="1">
      <c r="A18"/>
      <c r="B18" s="155"/>
      <c r="C18" s="156"/>
      <c r="D18" s="157"/>
      <c r="E18" s="104" t="s">
        <v>252</v>
      </c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41"/>
      <c r="R18"/>
      <c r="S18"/>
      <c r="T18" s="34"/>
      <c r="U18" s="38"/>
      <c r="V18" s="38"/>
      <c r="W18" s="38"/>
    </row>
    <row r="19" spans="1:23" s="39" customFormat="1" ht="21" customHeight="1" thickTop="1">
      <c r="A19"/>
      <c r="B19" s="105" t="s">
        <v>253</v>
      </c>
      <c r="C19" s="105"/>
      <c r="D19" s="105"/>
      <c r="E19" s="106" t="s">
        <v>2</v>
      </c>
      <c r="F19" s="106"/>
      <c r="G19" s="108" t="str">
        <f>VLOOKUP($S$10,계약리스트!$A$3:$AB$5000,3,0)</f>
        <v>NMAX125</v>
      </c>
      <c r="H19" s="108"/>
      <c r="I19" s="108"/>
      <c r="J19" s="108"/>
      <c r="K19" s="42" t="s">
        <v>254</v>
      </c>
      <c r="L19" s="109">
        <f>VLOOKUP($S$10,계약리스트!$A$3:$AB$5000,2,0)</f>
        <v>45993</v>
      </c>
      <c r="M19" s="109"/>
      <c r="N19" s="109"/>
      <c r="O19" s="109"/>
      <c r="P19" s="109"/>
      <c r="Q19" s="36"/>
      <c r="R19"/>
      <c r="S19"/>
      <c r="T19" s="34"/>
      <c r="U19" s="38"/>
      <c r="V19" s="38"/>
      <c r="W19" s="38"/>
    </row>
    <row r="20" spans="1:23" s="39" customFormat="1" ht="21" customHeight="1">
      <c r="A20"/>
      <c r="B20" s="105"/>
      <c r="C20" s="105"/>
      <c r="D20" s="105"/>
      <c r="E20" s="5" t="s">
        <v>3</v>
      </c>
      <c r="F20" s="5"/>
      <c r="G20" s="4" t="str">
        <f>VLOOKUP($S$10,계약리스트!$A$3:$AB$5000,4,0)</f>
        <v>MH3SEL140SK005494</v>
      </c>
      <c r="H20" s="4"/>
      <c r="I20" s="4"/>
      <c r="J20" s="4"/>
      <c r="K20" s="42" t="s">
        <v>255</v>
      </c>
      <c r="L20" s="110" t="s">
        <v>256</v>
      </c>
      <c r="M20" s="110"/>
      <c r="N20" s="110"/>
      <c r="O20" s="110"/>
      <c r="P20" s="110"/>
      <c r="Q20" s="36"/>
      <c r="R20"/>
      <c r="S20"/>
      <c r="T20" s="34"/>
      <c r="U20" s="34"/>
      <c r="V20" s="43"/>
      <c r="W20" s="38"/>
    </row>
    <row r="21" spans="1:23" ht="21" customHeight="1">
      <c r="B21" s="105"/>
      <c r="C21" s="105"/>
      <c r="D21" s="105"/>
      <c r="E21" s="5" t="s">
        <v>4</v>
      </c>
      <c r="F21" s="5"/>
      <c r="G21" s="4"/>
      <c r="H21" s="4"/>
      <c r="I21" s="4"/>
      <c r="J21" s="4"/>
      <c r="K21" s="35" t="s">
        <v>257</v>
      </c>
      <c r="L21" s="111">
        <f>VLOOKUP($S$10,계약리스트!$A$3:$AB$5000,7,0)</f>
        <v>16500</v>
      </c>
      <c r="M21" s="111"/>
      <c r="N21" s="111"/>
      <c r="O21" s="112" t="s">
        <v>258</v>
      </c>
      <c r="P21" s="112"/>
      <c r="Q21" s="36"/>
      <c r="T21" s="34"/>
      <c r="U21" s="34"/>
      <c r="V21" s="34"/>
      <c r="W21" s="34"/>
    </row>
    <row r="22" spans="1:23" ht="21" customHeight="1">
      <c r="B22" s="105"/>
      <c r="C22" s="105"/>
      <c r="D22" s="105"/>
      <c r="E22" s="5" t="s">
        <v>259</v>
      </c>
      <c r="F22" s="5"/>
      <c r="G22" s="4" t="str">
        <f>VLOOKUP($S$10,계약리스트!$A$3:$AB$5000,6,0)</f>
        <v>블랙</v>
      </c>
      <c r="H22" s="4"/>
      <c r="I22" s="4"/>
      <c r="J22" s="4"/>
      <c r="K22" s="35" t="s">
        <v>260</v>
      </c>
      <c r="L22" s="113" t="s">
        <v>261</v>
      </c>
      <c r="M22" s="113"/>
      <c r="N22" s="113"/>
      <c r="O22" s="113"/>
      <c r="P22" s="44"/>
      <c r="Q22" s="36"/>
    </row>
    <row r="23" spans="1:23" ht="21" customHeight="1">
      <c r="B23" s="105"/>
      <c r="C23" s="105"/>
      <c r="D23" s="105"/>
      <c r="E23" s="114" t="s">
        <v>262</v>
      </c>
      <c r="F23" s="114"/>
      <c r="G23" s="115" t="s">
        <v>263</v>
      </c>
      <c r="H23" s="115"/>
      <c r="I23" s="115"/>
      <c r="J23" s="115"/>
      <c r="K23" s="35" t="s">
        <v>264</v>
      </c>
      <c r="L23" s="116" t="s">
        <v>265</v>
      </c>
      <c r="M23" s="116"/>
      <c r="N23" s="116"/>
      <c r="O23" s="116"/>
      <c r="P23" s="116"/>
      <c r="Q23" s="36"/>
    </row>
    <row r="24" spans="1:23" ht="25.5" customHeight="1">
      <c r="B24" s="160" t="s">
        <v>598</v>
      </c>
      <c r="C24" s="105"/>
      <c r="D24" s="105"/>
      <c r="E24" s="106" t="s">
        <v>266</v>
      </c>
      <c r="F24" s="106"/>
      <c r="G24" s="117" t="s">
        <v>267</v>
      </c>
      <c r="H24" s="117"/>
      <c r="I24" s="117"/>
      <c r="J24" s="117"/>
      <c r="K24" s="45" t="s">
        <v>268</v>
      </c>
      <c r="L24" s="118" t="s">
        <v>269</v>
      </c>
      <c r="M24" s="118"/>
      <c r="N24" s="118"/>
      <c r="O24" s="118"/>
      <c r="P24" s="118"/>
      <c r="Q24" s="46"/>
      <c r="T24" s="47"/>
      <c r="U24" s="48"/>
      <c r="V24" s="49">
        <v>1</v>
      </c>
      <c r="W24" s="49"/>
    </row>
    <row r="25" spans="1:23" ht="25.5" customHeight="1">
      <c r="B25" s="105"/>
      <c r="C25" s="105"/>
      <c r="D25" s="105"/>
      <c r="E25" s="5" t="s">
        <v>270</v>
      </c>
      <c r="F25" s="5"/>
      <c r="G25" s="4" t="s">
        <v>271</v>
      </c>
      <c r="H25" s="4"/>
      <c r="I25" s="4"/>
      <c r="J25" s="4"/>
      <c r="K25" s="35" t="s">
        <v>272</v>
      </c>
      <c r="L25" s="50" t="str">
        <f>VLOOKUP($S$10,계약리스트!$A$3:$AB$5000,8,0)</f>
        <v>365일</v>
      </c>
      <c r="M25" s="119" t="s">
        <v>273</v>
      </c>
      <c r="N25" s="119"/>
      <c r="O25" s="119"/>
      <c r="P25" s="119"/>
      <c r="Q25" s="46"/>
      <c r="T25" s="34"/>
      <c r="U25" s="48"/>
      <c r="V25" s="49">
        <v>3</v>
      </c>
      <c r="W25" s="51" t="s">
        <v>274</v>
      </c>
    </row>
    <row r="26" spans="1:23" ht="25.5" customHeight="1">
      <c r="B26" s="105"/>
      <c r="C26" s="105"/>
      <c r="D26" s="105"/>
      <c r="E26" s="5" t="s">
        <v>275</v>
      </c>
      <c r="F26" s="5"/>
      <c r="G26" s="4"/>
      <c r="H26" s="4"/>
      <c r="I26" s="4"/>
      <c r="J26" s="4"/>
      <c r="K26" s="35" t="s">
        <v>8</v>
      </c>
      <c r="L26" s="120">
        <f>VLOOKUP($S$10,계약리스트!$A$3:$AB$5000,9,0)</f>
        <v>300000</v>
      </c>
      <c r="M26" s="120"/>
      <c r="N26" s="121" t="s">
        <v>276</v>
      </c>
      <c r="O26" s="121"/>
      <c r="P26" s="121"/>
      <c r="Q26" s="46"/>
      <c r="T26" s="34"/>
      <c r="U26" s="48"/>
      <c r="V26" s="48"/>
      <c r="W26" s="48"/>
    </row>
    <row r="27" spans="1:23" ht="23.25" customHeight="1">
      <c r="B27" s="122" t="s">
        <v>277</v>
      </c>
      <c r="C27" s="122"/>
      <c r="D27" s="122"/>
      <c r="E27" s="122"/>
      <c r="F27" s="122"/>
      <c r="G27" s="122"/>
      <c r="H27" s="122"/>
      <c r="I27" s="122"/>
      <c r="J27" s="123" t="s">
        <v>278</v>
      </c>
      <c r="K27" s="123"/>
      <c r="L27" s="123"/>
      <c r="M27" s="123"/>
      <c r="N27" s="123"/>
      <c r="O27" s="123"/>
      <c r="P27" s="123"/>
      <c r="Q27" s="46"/>
      <c r="T27" s="34"/>
      <c r="U27" s="48"/>
      <c r="V27" s="48"/>
      <c r="W27" s="48"/>
    </row>
    <row r="28" spans="1:23" ht="18.75" customHeight="1">
      <c r="B28" s="124" t="s">
        <v>225</v>
      </c>
      <c r="C28" s="124"/>
      <c r="D28" s="125" t="s">
        <v>279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52"/>
      <c r="U28" s="48"/>
      <c r="V28" s="48"/>
      <c r="W28" s="48"/>
    </row>
    <row r="29" spans="1:23" ht="18.75" customHeight="1">
      <c r="B29" s="124"/>
      <c r="C29" s="124"/>
      <c r="D29" s="53" t="s">
        <v>280</v>
      </c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4"/>
      <c r="Q29" s="52"/>
      <c r="U29" s="48"/>
      <c r="V29" s="48"/>
      <c r="W29" s="48"/>
    </row>
    <row r="30" spans="1:23" ht="18.75" customHeight="1">
      <c r="B30" s="124"/>
      <c r="C30" s="124"/>
      <c r="D30" s="55" t="s">
        <v>281</v>
      </c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4"/>
      <c r="Q30" s="52"/>
      <c r="U30" s="48"/>
      <c r="V30" s="48"/>
      <c r="W30" s="48"/>
    </row>
    <row r="31" spans="1:23" ht="18.75" customHeight="1">
      <c r="B31" s="124"/>
      <c r="C31" s="124"/>
      <c r="D31" s="126" t="s">
        <v>282</v>
      </c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56"/>
      <c r="U31" s="48"/>
      <c r="V31" s="48"/>
      <c r="W31" s="48"/>
    </row>
    <row r="32" spans="1:23" ht="13.5" customHeight="1"/>
    <row r="33" spans="2:17" ht="12.75" customHeight="1">
      <c r="B33" s="57"/>
      <c r="C33" s="127" t="s">
        <v>225</v>
      </c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58"/>
      <c r="Q33" s="32"/>
    </row>
    <row r="34" spans="2:17" ht="12.75" customHeight="1">
      <c r="B34" s="59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1"/>
      <c r="Q34" s="32"/>
    </row>
    <row r="35" spans="2:17" s="62" customFormat="1" ht="18" customHeight="1">
      <c r="B35" s="63"/>
      <c r="C35" s="128" t="s">
        <v>283</v>
      </c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64"/>
    </row>
    <row r="36" spans="2:17" s="62" customFormat="1" ht="18" customHeight="1">
      <c r="B36" s="63"/>
      <c r="C36" s="128" t="s">
        <v>284</v>
      </c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64"/>
    </row>
    <row r="37" spans="2:17" ht="10.5" customHeight="1">
      <c r="B37" s="59"/>
      <c r="P37" s="65"/>
    </row>
    <row r="38" spans="2:17" ht="18" customHeight="1">
      <c r="B38" s="59"/>
      <c r="C38" s="168" t="s">
        <v>619</v>
      </c>
      <c r="D38" s="129"/>
      <c r="E38" s="129"/>
      <c r="F38" s="129"/>
      <c r="G38" s="129"/>
      <c r="H38" s="129"/>
      <c r="I38" s="66"/>
      <c r="J38" s="67"/>
      <c r="K38" s="130" t="s">
        <v>285</v>
      </c>
      <c r="L38" s="130"/>
      <c r="M38" s="130"/>
      <c r="N38" s="130"/>
      <c r="O38" s="130"/>
      <c r="P38" s="68"/>
      <c r="Q38" s="69"/>
    </row>
    <row r="39" spans="2:17" ht="18" customHeight="1">
      <c r="B39" s="59"/>
      <c r="C39" s="131" t="s">
        <v>286</v>
      </c>
      <c r="D39" s="131"/>
      <c r="E39" s="131"/>
      <c r="F39" s="131"/>
      <c r="G39" s="131"/>
      <c r="H39" s="131"/>
      <c r="I39" s="70"/>
      <c r="J39" s="71"/>
      <c r="K39" s="132" t="s">
        <v>287</v>
      </c>
      <c r="L39" s="132"/>
      <c r="M39" s="132"/>
      <c r="N39" s="132"/>
      <c r="O39" s="132"/>
      <c r="P39" s="65"/>
    </row>
    <row r="40" spans="2:17" ht="18" customHeight="1">
      <c r="B40" s="59"/>
      <c r="C40" s="131" t="s">
        <v>288</v>
      </c>
      <c r="D40" s="131"/>
      <c r="E40" s="131"/>
      <c r="F40" s="131"/>
      <c r="G40" s="131"/>
      <c r="H40" s="131"/>
      <c r="I40" s="70"/>
      <c r="J40" s="71"/>
      <c r="K40" s="133" t="s">
        <v>289</v>
      </c>
      <c r="L40" s="133"/>
      <c r="M40" s="133"/>
      <c r="N40" s="133"/>
      <c r="O40" s="133"/>
      <c r="P40" s="65"/>
    </row>
    <row r="41" spans="2:17" ht="18" customHeight="1">
      <c r="B41" s="59"/>
      <c r="C41" s="132" t="s">
        <v>290</v>
      </c>
      <c r="D41" s="132"/>
      <c r="E41" s="132"/>
      <c r="F41" s="132"/>
      <c r="G41" s="132"/>
      <c r="H41" s="132"/>
      <c r="I41" s="70"/>
      <c r="J41" s="71"/>
      <c r="K41" s="132" t="s">
        <v>291</v>
      </c>
      <c r="L41" s="132"/>
      <c r="M41" s="132"/>
      <c r="N41" s="132"/>
      <c r="O41" s="132"/>
      <c r="P41" s="65"/>
    </row>
    <row r="42" spans="2:17" ht="18" customHeight="1">
      <c r="B42" s="59"/>
      <c r="C42" s="134" t="s">
        <v>292</v>
      </c>
      <c r="D42" s="134"/>
      <c r="E42" s="134"/>
      <c r="F42" s="134"/>
      <c r="G42" s="134"/>
      <c r="H42" s="134"/>
      <c r="I42" s="70"/>
      <c r="J42" s="71"/>
      <c r="K42" s="132" t="s">
        <v>293</v>
      </c>
      <c r="L42" s="132"/>
      <c r="M42" s="132"/>
      <c r="N42" s="132"/>
      <c r="O42" s="132"/>
      <c r="P42" s="65"/>
    </row>
    <row r="43" spans="2:17" ht="18" customHeight="1">
      <c r="B43" s="59"/>
      <c r="C43" s="131" t="s">
        <v>294</v>
      </c>
      <c r="D43" s="131"/>
      <c r="E43" s="131"/>
      <c r="F43" s="131"/>
      <c r="G43" s="131"/>
      <c r="H43" s="131"/>
      <c r="I43" s="70"/>
      <c r="J43" s="71"/>
      <c r="K43" s="132" t="s">
        <v>295</v>
      </c>
      <c r="L43" s="132"/>
      <c r="M43" s="132"/>
      <c r="N43" s="132"/>
      <c r="O43" s="132"/>
      <c r="P43" s="65"/>
    </row>
    <row r="44" spans="2:17" ht="18" customHeight="1">
      <c r="B44" s="59"/>
      <c r="C44" s="132" t="s">
        <v>296</v>
      </c>
      <c r="D44" s="132"/>
      <c r="E44" s="132"/>
      <c r="F44" s="132"/>
      <c r="G44" s="132"/>
      <c r="H44" s="132"/>
      <c r="I44" s="70"/>
      <c r="J44" s="71"/>
      <c r="K44" s="132" t="s">
        <v>297</v>
      </c>
      <c r="L44" s="132"/>
      <c r="M44" s="132"/>
      <c r="N44" s="132"/>
      <c r="O44" s="132"/>
      <c r="P44" s="65"/>
    </row>
    <row r="45" spans="2:17" ht="18" customHeight="1">
      <c r="B45" s="59"/>
      <c r="C45" s="132" t="s">
        <v>298</v>
      </c>
      <c r="D45" s="132"/>
      <c r="E45" s="132"/>
      <c r="F45" s="132"/>
      <c r="G45" s="132"/>
      <c r="H45" s="132"/>
      <c r="I45" s="70"/>
      <c r="J45" s="71"/>
      <c r="K45" s="132" t="s">
        <v>299</v>
      </c>
      <c r="L45" s="132"/>
      <c r="M45" s="132"/>
      <c r="N45" s="132"/>
      <c r="O45" s="132"/>
      <c r="P45" s="65"/>
    </row>
    <row r="46" spans="2:17" ht="18" customHeight="1">
      <c r="B46" s="59"/>
      <c r="C46" s="135" t="s">
        <v>300</v>
      </c>
      <c r="D46" s="135"/>
      <c r="E46" s="135"/>
      <c r="F46" s="135"/>
      <c r="G46" s="135"/>
      <c r="H46" s="135"/>
      <c r="I46" s="70"/>
      <c r="J46" s="71"/>
      <c r="K46" s="132" t="s">
        <v>301</v>
      </c>
      <c r="L46" s="132"/>
      <c r="M46" s="132"/>
      <c r="N46" s="132"/>
      <c r="O46" s="132"/>
      <c r="P46" s="65"/>
    </row>
    <row r="47" spans="2:17" ht="18" customHeight="1">
      <c r="B47" s="59"/>
      <c r="C47" s="134" t="s">
        <v>302</v>
      </c>
      <c r="D47" s="134"/>
      <c r="E47" s="134"/>
      <c r="F47" s="134"/>
      <c r="G47" s="134"/>
      <c r="H47" s="134"/>
      <c r="I47" s="70"/>
      <c r="J47" s="71"/>
      <c r="K47" s="132" t="s">
        <v>303</v>
      </c>
      <c r="L47" s="132"/>
      <c r="M47" s="132"/>
      <c r="N47" s="132"/>
      <c r="O47" s="132"/>
      <c r="P47" s="65"/>
    </row>
    <row r="48" spans="2:17" ht="18" customHeight="1">
      <c r="B48" s="59"/>
      <c r="C48" s="132" t="s">
        <v>304</v>
      </c>
      <c r="D48" s="132"/>
      <c r="E48" s="132"/>
      <c r="F48" s="132"/>
      <c r="G48" s="132"/>
      <c r="H48" s="132"/>
      <c r="I48" s="70"/>
      <c r="J48" s="71"/>
      <c r="K48" s="132" t="s">
        <v>305</v>
      </c>
      <c r="L48" s="132"/>
      <c r="M48" s="132"/>
      <c r="N48" s="132"/>
      <c r="O48" s="132"/>
      <c r="P48" s="65"/>
    </row>
    <row r="49" spans="2:16" ht="18" customHeight="1">
      <c r="B49" s="59"/>
      <c r="C49" s="134" t="s">
        <v>306</v>
      </c>
      <c r="D49" s="134"/>
      <c r="E49" s="134"/>
      <c r="F49" s="134"/>
      <c r="G49" s="134"/>
      <c r="H49" s="134"/>
      <c r="I49" s="73"/>
      <c r="J49" s="74"/>
      <c r="K49" s="136" t="s">
        <v>307</v>
      </c>
      <c r="L49" s="136"/>
      <c r="M49" s="136"/>
      <c r="N49" s="136"/>
      <c r="O49" s="136"/>
      <c r="P49" s="65"/>
    </row>
    <row r="50" spans="2:16" ht="18" customHeight="1">
      <c r="B50" s="59"/>
      <c r="C50" s="132" t="s">
        <v>308</v>
      </c>
      <c r="D50" s="132"/>
      <c r="E50" s="132"/>
      <c r="F50" s="132"/>
      <c r="G50" s="132"/>
      <c r="H50" s="132"/>
      <c r="I50" s="73"/>
      <c r="J50" s="74"/>
      <c r="K50" s="132" t="s">
        <v>309</v>
      </c>
      <c r="L50" s="132"/>
      <c r="M50" s="132"/>
      <c r="N50" s="132"/>
      <c r="O50" s="132"/>
      <c r="P50" s="65"/>
    </row>
    <row r="51" spans="2:16" ht="18" customHeight="1">
      <c r="B51" s="59"/>
      <c r="C51" s="137"/>
      <c r="D51" s="137"/>
      <c r="E51" s="137"/>
      <c r="F51" s="137"/>
      <c r="G51" s="137"/>
      <c r="H51" s="137"/>
      <c r="I51" s="65"/>
      <c r="K51" s="132" t="s">
        <v>310</v>
      </c>
      <c r="L51" s="132"/>
      <c r="M51" s="132"/>
      <c r="N51" s="132"/>
      <c r="O51" s="132"/>
      <c r="P51" s="65"/>
    </row>
    <row r="52" spans="2:16" ht="18" customHeight="1">
      <c r="B52" s="59"/>
      <c r="C52" s="138" t="s">
        <v>311</v>
      </c>
      <c r="D52" s="138"/>
      <c r="E52" s="138"/>
      <c r="F52" s="138"/>
      <c r="G52" s="138"/>
      <c r="H52" s="138"/>
      <c r="I52" s="73"/>
      <c r="J52" s="74"/>
      <c r="K52" s="132" t="s">
        <v>312</v>
      </c>
      <c r="L52" s="132"/>
      <c r="M52" s="132"/>
      <c r="N52" s="132"/>
      <c r="O52" s="132"/>
      <c r="P52" s="65"/>
    </row>
    <row r="53" spans="2:16" ht="18" customHeight="1">
      <c r="B53" s="59"/>
      <c r="C53" s="132" t="s">
        <v>313</v>
      </c>
      <c r="D53" s="132"/>
      <c r="E53" s="132"/>
      <c r="F53" s="132"/>
      <c r="G53" s="132"/>
      <c r="H53" s="132"/>
      <c r="I53" s="73"/>
      <c r="J53" s="74"/>
      <c r="K53" s="132" t="s">
        <v>314</v>
      </c>
      <c r="L53" s="132"/>
      <c r="M53" s="132"/>
      <c r="N53" s="132"/>
      <c r="O53" s="132"/>
      <c r="P53" s="65"/>
    </row>
    <row r="54" spans="2:16" ht="18" customHeight="1">
      <c r="B54" s="59"/>
      <c r="C54" s="132" t="s">
        <v>315</v>
      </c>
      <c r="D54" s="132"/>
      <c r="E54" s="132"/>
      <c r="F54" s="132"/>
      <c r="G54" s="132"/>
      <c r="H54" s="132"/>
      <c r="I54" s="73"/>
      <c r="J54" s="74"/>
      <c r="K54" s="139"/>
      <c r="L54" s="139"/>
      <c r="M54" s="139"/>
      <c r="N54" s="139"/>
      <c r="O54" s="139"/>
      <c r="P54" s="65"/>
    </row>
    <row r="55" spans="2:16" ht="18" customHeight="1">
      <c r="B55" s="59"/>
      <c r="C55" s="132" t="s">
        <v>316</v>
      </c>
      <c r="D55" s="132"/>
      <c r="E55" s="132"/>
      <c r="F55" s="132"/>
      <c r="G55" s="132"/>
      <c r="H55" s="132"/>
      <c r="I55" s="73"/>
      <c r="J55" s="74"/>
      <c r="K55" s="140"/>
      <c r="L55" s="140"/>
      <c r="M55" s="140"/>
      <c r="N55" s="140"/>
      <c r="O55" s="140"/>
      <c r="P55" s="65"/>
    </row>
    <row r="56" spans="2:16" ht="18" customHeight="1">
      <c r="B56" s="59"/>
      <c r="C56" s="132" t="s">
        <v>317</v>
      </c>
      <c r="D56" s="132"/>
      <c r="E56" s="132"/>
      <c r="F56" s="132"/>
      <c r="G56" s="132"/>
      <c r="H56" s="132"/>
      <c r="I56" s="73"/>
      <c r="J56" s="74"/>
      <c r="K56" s="141" t="s">
        <v>318</v>
      </c>
      <c r="L56" s="141"/>
      <c r="M56" s="141"/>
      <c r="N56" s="141"/>
      <c r="O56" s="141"/>
      <c r="P56" s="65"/>
    </row>
    <row r="57" spans="2:16" ht="18" customHeight="1">
      <c r="B57" s="59"/>
      <c r="C57" s="135" t="s">
        <v>319</v>
      </c>
      <c r="D57" s="135"/>
      <c r="E57" s="135"/>
      <c r="F57" s="135"/>
      <c r="G57" s="135"/>
      <c r="H57" s="135"/>
      <c r="I57" s="73"/>
      <c r="J57" s="74"/>
      <c r="K57" s="76"/>
      <c r="L57" s="76"/>
      <c r="M57" s="76"/>
      <c r="N57" s="76"/>
      <c r="O57" s="76"/>
      <c r="P57" s="65"/>
    </row>
    <row r="58" spans="2:16" ht="18" customHeight="1">
      <c r="B58" s="59"/>
      <c r="C58" s="132" t="s">
        <v>320</v>
      </c>
      <c r="D58" s="132"/>
      <c r="E58" s="132"/>
      <c r="F58" s="132"/>
      <c r="G58" s="132"/>
      <c r="H58" s="132"/>
      <c r="I58" s="73"/>
      <c r="J58" s="74"/>
      <c r="K58" s="139"/>
      <c r="L58" s="139"/>
      <c r="M58" s="139"/>
      <c r="N58" s="139"/>
      <c r="O58" s="139"/>
      <c r="P58" s="65"/>
    </row>
    <row r="59" spans="2:16" ht="18" customHeight="1">
      <c r="B59" s="59"/>
      <c r="C59" s="132" t="s">
        <v>321</v>
      </c>
      <c r="D59" s="132"/>
      <c r="E59" s="132"/>
      <c r="F59" s="132"/>
      <c r="G59" s="132"/>
      <c r="H59" s="132"/>
      <c r="I59" s="73"/>
      <c r="J59" s="74"/>
      <c r="K59" s="139"/>
      <c r="L59" s="139"/>
      <c r="M59" s="139"/>
      <c r="N59" s="139"/>
      <c r="O59" s="139"/>
      <c r="P59" s="65"/>
    </row>
    <row r="60" spans="2:16" ht="18" customHeight="1">
      <c r="B60" s="59"/>
      <c r="C60" s="132" t="s">
        <v>322</v>
      </c>
      <c r="D60" s="132"/>
      <c r="E60" s="132"/>
      <c r="F60" s="132"/>
      <c r="G60" s="132"/>
      <c r="H60" s="132"/>
      <c r="I60" s="73"/>
      <c r="J60" s="74"/>
      <c r="K60" s="139"/>
      <c r="L60" s="139"/>
      <c r="M60" s="139"/>
      <c r="N60" s="139"/>
      <c r="O60" s="139"/>
      <c r="P60" s="65"/>
    </row>
    <row r="61" spans="2:16" ht="18" customHeight="1">
      <c r="B61" s="59"/>
      <c r="C61" s="72" t="s">
        <v>323</v>
      </c>
      <c r="D61" s="72"/>
      <c r="E61" s="72"/>
      <c r="F61" s="72"/>
      <c r="G61" s="72"/>
      <c r="H61" s="72"/>
      <c r="I61" s="73"/>
      <c r="J61" s="74"/>
      <c r="K61" s="77" t="str">
        <f>"계약자(라이더)         "&amp;G9</f>
        <v>계약자(라이더)         이재훈</v>
      </c>
      <c r="L61" s="78" t="s">
        <v>324</v>
      </c>
      <c r="M61" s="142" t="str">
        <f>"연대보증인(사업장)         "&amp;IF(OR($G$14=0,$G$14=""),"",$G$14)</f>
        <v>연대보증인(사업장)         딜리버리팀</v>
      </c>
      <c r="N61" s="142"/>
      <c r="O61" s="80" t="s">
        <v>325</v>
      </c>
      <c r="P61" s="65"/>
    </row>
    <row r="62" spans="2:16" ht="9.75" customHeight="1">
      <c r="B62" s="59"/>
      <c r="I62" s="65"/>
      <c r="K62" s="139"/>
      <c r="L62" s="139"/>
      <c r="M62" s="139"/>
      <c r="N62" s="139"/>
      <c r="O62" s="139"/>
      <c r="P62" s="65"/>
    </row>
    <row r="63" spans="2:16" ht="18" customHeight="1">
      <c r="B63" s="59"/>
      <c r="C63" s="81" t="s">
        <v>326</v>
      </c>
      <c r="D63" s="143" t="s">
        <v>327</v>
      </c>
      <c r="E63" s="143"/>
      <c r="F63" s="143"/>
      <c r="G63" s="143" t="s">
        <v>328</v>
      </c>
      <c r="H63" s="143"/>
      <c r="I63" s="82"/>
      <c r="J63" s="33"/>
      <c r="K63" s="139"/>
      <c r="L63" s="139"/>
      <c r="M63" s="139"/>
      <c r="N63" s="139"/>
      <c r="O63" s="139"/>
      <c r="P63" s="65"/>
    </row>
    <row r="64" spans="2:16" ht="18" customHeight="1">
      <c r="B64" s="59"/>
      <c r="C64" s="83"/>
      <c r="D64" s="144"/>
      <c r="E64" s="144"/>
      <c r="F64" s="144"/>
      <c r="G64" s="144"/>
      <c r="H64" s="144"/>
      <c r="I64" s="65"/>
      <c r="K64" s="139"/>
      <c r="L64" s="139"/>
      <c r="M64" s="139"/>
      <c r="N64" s="139"/>
      <c r="O64" s="139"/>
      <c r="P64" s="65"/>
    </row>
    <row r="65" spans="2:19" ht="18" customHeight="1">
      <c r="B65" s="59"/>
      <c r="C65" s="81" t="s">
        <v>329</v>
      </c>
      <c r="D65" s="145" t="s">
        <v>330</v>
      </c>
      <c r="E65" s="145"/>
      <c r="F65" s="145"/>
      <c r="G65" s="143" t="s">
        <v>331</v>
      </c>
      <c r="H65" s="143"/>
      <c r="I65" s="65"/>
      <c r="K65" s="139"/>
      <c r="L65" s="139"/>
      <c r="M65" s="139"/>
      <c r="N65" s="139"/>
      <c r="O65" s="139"/>
      <c r="P65" s="65"/>
      <c r="S65" t="s">
        <v>225</v>
      </c>
    </row>
    <row r="66" spans="2:19" ht="18" customHeight="1">
      <c r="B66" s="59"/>
      <c r="C66" s="37"/>
      <c r="D66" s="146"/>
      <c r="E66" s="146"/>
      <c r="F66" s="146"/>
      <c r="G66" s="146"/>
      <c r="H66" s="146"/>
      <c r="I66" s="65"/>
      <c r="K66" s="139"/>
      <c r="L66" s="139"/>
      <c r="M66" s="139"/>
      <c r="N66" s="139"/>
      <c r="O66" s="139"/>
      <c r="P66" s="65"/>
    </row>
    <row r="67" spans="2:19" ht="18" customHeight="1">
      <c r="B67" s="59"/>
      <c r="C67" s="147" t="s">
        <v>332</v>
      </c>
      <c r="D67" s="147"/>
      <c r="E67" s="147"/>
      <c r="F67" s="147"/>
      <c r="G67" s="147"/>
      <c r="H67" s="147"/>
      <c r="I67" s="65"/>
      <c r="K67" s="139"/>
      <c r="L67" s="139"/>
      <c r="M67" s="139"/>
      <c r="N67" s="139"/>
      <c r="O67" s="139"/>
      <c r="P67" s="65"/>
    </row>
    <row r="68" spans="2:19" ht="18" customHeight="1">
      <c r="B68" s="59"/>
      <c r="C68" s="84"/>
      <c r="D68" s="84"/>
      <c r="E68" s="84"/>
      <c r="F68" s="84"/>
      <c r="G68" s="84"/>
      <c r="H68" s="84"/>
      <c r="I68" s="65"/>
      <c r="K68" s="75"/>
      <c r="L68" s="85"/>
      <c r="M68" s="85"/>
      <c r="N68" s="85"/>
      <c r="O68" s="85"/>
      <c r="P68" s="65"/>
    </row>
    <row r="69" spans="2:19" ht="18" customHeight="1">
      <c r="B69" s="59"/>
      <c r="F69" s="141" t="s">
        <v>318</v>
      </c>
      <c r="G69" s="141"/>
      <c r="H69" s="141"/>
      <c r="I69" s="65"/>
      <c r="K69" s="139"/>
      <c r="L69" s="139"/>
      <c r="M69" s="139"/>
      <c r="N69" s="139"/>
      <c r="O69" s="139"/>
      <c r="P69" s="65"/>
    </row>
    <row r="70" spans="2:19" ht="10.5" customHeight="1">
      <c r="B70" s="59"/>
      <c r="I70" s="65"/>
      <c r="K70" s="139"/>
      <c r="L70" s="139"/>
      <c r="M70" s="139"/>
      <c r="N70" s="139"/>
      <c r="O70" s="139"/>
      <c r="P70" s="65"/>
    </row>
    <row r="71" spans="2:19" ht="27.6" customHeight="1">
      <c r="B71" s="59"/>
      <c r="C71" s="169" t="str">
        <f>"계약자              "&amp;G9</f>
        <v>계약자              이재훈</v>
      </c>
      <c r="D71" s="170" t="s">
        <v>325</v>
      </c>
      <c r="E71" s="170"/>
      <c r="F71" s="142"/>
      <c r="G71" s="142"/>
      <c r="H71" s="171"/>
      <c r="I71" s="65"/>
      <c r="K71" s="139"/>
      <c r="L71" s="139"/>
      <c r="M71" s="139"/>
      <c r="N71" s="139"/>
      <c r="O71" s="139"/>
      <c r="P71" s="65"/>
    </row>
    <row r="72" spans="2:19" ht="27.6" customHeight="1">
      <c r="B72" s="59"/>
      <c r="C72" s="169" t="str">
        <f>"연대보증인      "&amp;IF(OR($G$14=0,$G$14=""),"",$G$14)</f>
        <v>연대보증인      딜리버리팀</v>
      </c>
      <c r="D72" s="170" t="s">
        <v>325</v>
      </c>
      <c r="E72" s="170"/>
      <c r="F72" s="79"/>
      <c r="G72" s="79"/>
      <c r="H72" s="171"/>
      <c r="I72" s="65"/>
      <c r="K72" s="75"/>
      <c r="L72" s="75"/>
      <c r="M72" s="75"/>
      <c r="N72" s="75"/>
      <c r="O72" s="75"/>
      <c r="P72" s="65"/>
    </row>
    <row r="73" spans="2:19" ht="12" customHeight="1">
      <c r="B73" s="86"/>
      <c r="C73" s="87"/>
      <c r="D73" s="87"/>
      <c r="E73" s="87"/>
      <c r="F73" s="87"/>
      <c r="G73" s="87"/>
      <c r="H73" s="87"/>
      <c r="I73" s="88"/>
      <c r="J73" s="87"/>
      <c r="K73" s="87"/>
      <c r="L73" s="87"/>
      <c r="M73" s="87"/>
      <c r="N73" s="87"/>
      <c r="O73" s="87"/>
      <c r="P73" s="88"/>
    </row>
    <row r="77" spans="2:19">
      <c r="B77" s="148"/>
      <c r="C77" s="148"/>
      <c r="D77" s="148"/>
      <c r="E77" s="148"/>
      <c r="F77" s="148"/>
      <c r="G77" s="148"/>
      <c r="H77" s="148"/>
    </row>
    <row r="78" spans="2:19">
      <c r="B78" s="148"/>
      <c r="C78" s="148"/>
      <c r="D78" s="148"/>
      <c r="E78" s="148"/>
      <c r="F78" s="148"/>
      <c r="G78" s="148"/>
      <c r="H78" s="148"/>
    </row>
    <row r="79" spans="2:19">
      <c r="B79" s="148"/>
      <c r="C79" s="148"/>
      <c r="D79" s="148"/>
      <c r="E79" s="148"/>
      <c r="F79" s="148"/>
      <c r="G79" s="148"/>
      <c r="H79" s="148"/>
    </row>
    <row r="80" spans="2:19">
      <c r="B80" s="148"/>
      <c r="C80" s="148"/>
      <c r="D80" s="148"/>
      <c r="E80" s="148"/>
      <c r="F80" s="148"/>
      <c r="G80" s="148"/>
      <c r="H80" s="148"/>
    </row>
    <row r="81" spans="2:8">
      <c r="B81" s="148"/>
      <c r="C81" s="148"/>
      <c r="D81" s="148"/>
      <c r="E81" s="148"/>
      <c r="F81" s="148"/>
      <c r="G81" s="148"/>
      <c r="H81" s="148"/>
    </row>
    <row r="82" spans="2:8">
      <c r="B82" s="148"/>
      <c r="C82" s="148"/>
      <c r="D82" s="148"/>
      <c r="E82" s="148"/>
      <c r="F82" s="148"/>
      <c r="G82" s="148"/>
      <c r="H82" s="148"/>
    </row>
    <row r="83" spans="2:8">
      <c r="B83" s="148"/>
      <c r="C83" s="148"/>
      <c r="D83" s="148"/>
      <c r="E83" s="148"/>
      <c r="F83" s="148"/>
      <c r="G83" s="148"/>
      <c r="H83" s="148"/>
    </row>
    <row r="84" spans="2:8">
      <c r="B84" s="148"/>
      <c r="C84" s="148"/>
      <c r="D84" s="148"/>
      <c r="E84" s="148"/>
      <c r="F84" s="148"/>
      <c r="G84" s="148"/>
      <c r="H84" s="148"/>
    </row>
    <row r="85" spans="2:8">
      <c r="B85" s="148"/>
      <c r="C85" s="148"/>
      <c r="D85" s="148"/>
      <c r="E85" s="148"/>
      <c r="F85" s="148"/>
      <c r="G85" s="148"/>
      <c r="H85" s="148"/>
    </row>
    <row r="86" spans="2:8">
      <c r="B86" s="148"/>
      <c r="C86" s="148"/>
      <c r="D86" s="148"/>
      <c r="E86" s="148"/>
      <c r="F86" s="148"/>
      <c r="G86" s="148"/>
      <c r="H86" s="148"/>
    </row>
    <row r="87" spans="2:8">
      <c r="B87" s="148"/>
      <c r="C87" s="148"/>
      <c r="D87" s="148"/>
      <c r="E87" s="148"/>
      <c r="F87" s="148"/>
      <c r="G87" s="148"/>
      <c r="H87" s="148"/>
    </row>
    <row r="88" spans="2:8">
      <c r="B88" s="148"/>
      <c r="C88" s="148"/>
      <c r="D88" s="148"/>
      <c r="E88" s="148"/>
      <c r="F88" s="148"/>
      <c r="G88" s="148"/>
      <c r="H88" s="148"/>
    </row>
    <row r="89" spans="2:8">
      <c r="B89" s="148"/>
      <c r="C89" s="148"/>
      <c r="D89" s="148"/>
      <c r="E89" s="148"/>
      <c r="F89" s="148"/>
      <c r="G89" s="148"/>
      <c r="H89" s="148"/>
    </row>
    <row r="90" spans="2:8">
      <c r="B90" s="148"/>
      <c r="C90" s="148"/>
      <c r="D90" s="148"/>
      <c r="E90" s="148"/>
      <c r="F90" s="148"/>
      <c r="G90" s="148"/>
      <c r="H90" s="148"/>
    </row>
    <row r="91" spans="2:8">
      <c r="B91" s="148"/>
      <c r="C91" s="148"/>
      <c r="D91" s="148"/>
      <c r="E91" s="148"/>
      <c r="F91" s="148"/>
      <c r="G91" s="148"/>
      <c r="H91" s="148"/>
    </row>
    <row r="92" spans="2:8">
      <c r="B92" s="148"/>
      <c r="C92" s="148"/>
      <c r="D92" s="148"/>
      <c r="E92" s="148"/>
      <c r="F92" s="148"/>
      <c r="G92" s="148"/>
      <c r="H92" s="148"/>
    </row>
    <row r="93" spans="2:8">
      <c r="B93" s="148"/>
      <c r="C93" s="148"/>
      <c r="D93" s="148"/>
      <c r="E93" s="148"/>
      <c r="F93" s="148"/>
      <c r="G93" s="148"/>
      <c r="H93" s="148"/>
    </row>
    <row r="94" spans="2:8">
      <c r="B94" s="148"/>
      <c r="C94" s="148"/>
      <c r="D94" s="148"/>
      <c r="E94" s="148"/>
      <c r="F94" s="148"/>
      <c r="G94" s="148"/>
      <c r="H94" s="148"/>
    </row>
  </sheetData>
  <mergeCells count="167">
    <mergeCell ref="D72:E72"/>
    <mergeCell ref="B86:H86"/>
    <mergeCell ref="B87:H87"/>
    <mergeCell ref="B88:H88"/>
    <mergeCell ref="B89:H89"/>
    <mergeCell ref="B90:H90"/>
    <mergeCell ref="B91:H91"/>
    <mergeCell ref="B92:H92"/>
    <mergeCell ref="B93:H93"/>
    <mergeCell ref="B94:H94"/>
    <mergeCell ref="B77:H77"/>
    <mergeCell ref="B78:H78"/>
    <mergeCell ref="B79:H79"/>
    <mergeCell ref="B80:H80"/>
    <mergeCell ref="B81:H81"/>
    <mergeCell ref="B82:H82"/>
    <mergeCell ref="B83:H83"/>
    <mergeCell ref="B84:H84"/>
    <mergeCell ref="B85:H85"/>
    <mergeCell ref="C67:H67"/>
    <mergeCell ref="K67:O67"/>
    <mergeCell ref="F69:H69"/>
    <mergeCell ref="K69:O69"/>
    <mergeCell ref="K70:O70"/>
    <mergeCell ref="D71:E71"/>
    <mergeCell ref="F71:G71"/>
    <mergeCell ref="K71:O71"/>
    <mergeCell ref="D64:F64"/>
    <mergeCell ref="G64:H64"/>
    <mergeCell ref="K64:O64"/>
    <mergeCell ref="D65:F65"/>
    <mergeCell ref="G65:H65"/>
    <mergeCell ref="K65:O65"/>
    <mergeCell ref="D66:F66"/>
    <mergeCell ref="G66:H66"/>
    <mergeCell ref="K66:O66"/>
    <mergeCell ref="C59:H59"/>
    <mergeCell ref="K59:O59"/>
    <mergeCell ref="C60:H60"/>
    <mergeCell ref="K60:O60"/>
    <mergeCell ref="M61:N61"/>
    <mergeCell ref="K62:O62"/>
    <mergeCell ref="D63:F63"/>
    <mergeCell ref="G63:H63"/>
    <mergeCell ref="K63:O63"/>
    <mergeCell ref="C54:H54"/>
    <mergeCell ref="K54:O54"/>
    <mergeCell ref="C55:H55"/>
    <mergeCell ref="K55:O55"/>
    <mergeCell ref="C56:H56"/>
    <mergeCell ref="K56:O56"/>
    <mergeCell ref="C57:H57"/>
    <mergeCell ref="C58:H58"/>
    <mergeCell ref="K58:O58"/>
    <mergeCell ref="C49:H49"/>
    <mergeCell ref="K49:O49"/>
    <mergeCell ref="C50:H50"/>
    <mergeCell ref="K50:O50"/>
    <mergeCell ref="C51:H51"/>
    <mergeCell ref="K51:O51"/>
    <mergeCell ref="C52:H52"/>
    <mergeCell ref="K52:O52"/>
    <mergeCell ref="C53:H53"/>
    <mergeCell ref="K53:O53"/>
    <mergeCell ref="C44:H44"/>
    <mergeCell ref="K44:O44"/>
    <mergeCell ref="C45:H45"/>
    <mergeCell ref="K45:O45"/>
    <mergeCell ref="C46:H46"/>
    <mergeCell ref="K46:O46"/>
    <mergeCell ref="C47:H47"/>
    <mergeCell ref="K47:O47"/>
    <mergeCell ref="C48:H48"/>
    <mergeCell ref="K48:O48"/>
    <mergeCell ref="C39:H39"/>
    <mergeCell ref="K39:O39"/>
    <mergeCell ref="C40:H40"/>
    <mergeCell ref="K40:O40"/>
    <mergeCell ref="C41:H41"/>
    <mergeCell ref="K41:O41"/>
    <mergeCell ref="C42:H42"/>
    <mergeCell ref="K42:O42"/>
    <mergeCell ref="C43:H43"/>
    <mergeCell ref="K43:O43"/>
    <mergeCell ref="B27:I27"/>
    <mergeCell ref="J27:P27"/>
    <mergeCell ref="B28:C31"/>
    <mergeCell ref="D28:P28"/>
    <mergeCell ref="D31:P31"/>
    <mergeCell ref="C33:O33"/>
    <mergeCell ref="C35:O35"/>
    <mergeCell ref="C36:O36"/>
    <mergeCell ref="C38:H38"/>
    <mergeCell ref="K38:O38"/>
    <mergeCell ref="B24:D26"/>
    <mergeCell ref="E24:F24"/>
    <mergeCell ref="G24:J24"/>
    <mergeCell ref="L24:P24"/>
    <mergeCell ref="E25:F25"/>
    <mergeCell ref="G25:J25"/>
    <mergeCell ref="M25:P25"/>
    <mergeCell ref="E26:F26"/>
    <mergeCell ref="G26:J26"/>
    <mergeCell ref="L26:M26"/>
    <mergeCell ref="N26:P26"/>
    <mergeCell ref="B19:D23"/>
    <mergeCell ref="E19:F19"/>
    <mergeCell ref="G19:J19"/>
    <mergeCell ref="L19:P19"/>
    <mergeCell ref="E20:F20"/>
    <mergeCell ref="G20:J20"/>
    <mergeCell ref="L20:P20"/>
    <mergeCell ref="E21:F21"/>
    <mergeCell ref="G21:J21"/>
    <mergeCell ref="L21:N21"/>
    <mergeCell ref="O21:P21"/>
    <mergeCell ref="E22:F22"/>
    <mergeCell ref="G22:J22"/>
    <mergeCell ref="L22:O22"/>
    <mergeCell ref="E23:F23"/>
    <mergeCell ref="G23:J23"/>
    <mergeCell ref="L23:P23"/>
    <mergeCell ref="B14:D18"/>
    <mergeCell ref="E14:F14"/>
    <mergeCell ref="G14:J14"/>
    <mergeCell ref="L14:P14"/>
    <mergeCell ref="E15:F15"/>
    <mergeCell ref="G15:J15"/>
    <mergeCell ref="L15:P15"/>
    <mergeCell ref="E16:F16"/>
    <mergeCell ref="G16:J16"/>
    <mergeCell ref="L16:P16"/>
    <mergeCell ref="E17:F17"/>
    <mergeCell ref="G17:J17"/>
    <mergeCell ref="L17:P17"/>
    <mergeCell ref="E18:P18"/>
    <mergeCell ref="B7:D7"/>
    <mergeCell ref="E7:K7"/>
    <mergeCell ref="L7:M7"/>
    <mergeCell ref="N7:P7"/>
    <mergeCell ref="B9:D13"/>
    <mergeCell ref="E9:F9"/>
    <mergeCell ref="G9:J9"/>
    <mergeCell ref="L9:P9"/>
    <mergeCell ref="E10:F10"/>
    <mergeCell ref="G10:J10"/>
    <mergeCell ref="L10:P10"/>
    <mergeCell ref="E11:F11"/>
    <mergeCell ref="G11:J11"/>
    <mergeCell ref="L11:P11"/>
    <mergeCell ref="E12:F12"/>
    <mergeCell ref="G12:J12"/>
    <mergeCell ref="L12:P12"/>
    <mergeCell ref="E13:P13"/>
    <mergeCell ref="B2:D2"/>
    <mergeCell ref="E2:F2"/>
    <mergeCell ref="B3:O3"/>
    <mergeCell ref="B5:D5"/>
    <mergeCell ref="E5:G5"/>
    <mergeCell ref="H5:J6"/>
    <mergeCell ref="K5:K6"/>
    <mergeCell ref="L5:M5"/>
    <mergeCell ref="N5:P5"/>
    <mergeCell ref="B6:D6"/>
    <mergeCell ref="E6:G6"/>
    <mergeCell ref="L6:M6"/>
    <mergeCell ref="N6:P6"/>
  </mergeCells>
  <phoneticPr fontId="49" type="noConversion"/>
  <printOptions horizontalCentered="1"/>
  <pageMargins left="0.25" right="0.25" top="0.75" bottom="0.75" header="0.511811023622047" footer="0.511811023622047"/>
  <pageSetup paperSize="9" scale="51" orientation="portrait" horizontalDpi="300" verticalDpi="300" r:id="rId1"/>
  <colBreaks count="1" manualBreakCount="1">
    <brk id="17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207"/>
  <sheetViews>
    <sheetView showGridLines="0" showZeros="0" tabSelected="1" topLeftCell="A109" zoomScale="85" zoomScaleNormal="85" workbookViewId="0">
      <selection activeCell="A82" sqref="A82"/>
    </sheetView>
  </sheetViews>
  <sheetFormatPr defaultColWidth="10.19921875" defaultRowHeight="17.399999999999999"/>
  <cols>
    <col min="1" max="1" width="71.796875" style="89" customWidth="1"/>
    <col min="2" max="2" width="1.09765625" style="163" customWidth="1"/>
    <col min="3" max="3" width="71.796875" style="89" customWidth="1"/>
    <col min="4" max="5" width="9" style="163" customWidth="1"/>
    <col min="6" max="6" width="13.5" style="163" customWidth="1"/>
    <col min="7" max="16384" width="10.19921875" style="89"/>
  </cols>
  <sheetData>
    <row r="1" spans="1:15" ht="3" customHeight="1"/>
    <row r="2" spans="1:15" ht="24.75" customHeight="1">
      <c r="A2" s="149" t="s">
        <v>226</v>
      </c>
      <c r="B2" s="149"/>
      <c r="C2" s="149"/>
    </row>
    <row r="3" spans="1:15" ht="9" customHeight="1">
      <c r="B3" s="89"/>
    </row>
    <row r="4" spans="1:15" ht="14.25" customHeight="1">
      <c r="A4" s="93" t="s">
        <v>333</v>
      </c>
      <c r="B4" s="164"/>
    </row>
    <row r="5" spans="1:15" ht="14.25" customHeight="1">
      <c r="A5" s="92" t="s">
        <v>335</v>
      </c>
      <c r="B5" s="95"/>
      <c r="C5" s="92" t="s">
        <v>480</v>
      </c>
    </row>
    <row r="6" spans="1:15" ht="14.25" customHeight="1">
      <c r="A6" s="92" t="s">
        <v>337</v>
      </c>
      <c r="B6" s="95"/>
      <c r="C6" s="92" t="s">
        <v>482</v>
      </c>
    </row>
    <row r="7" spans="1:15" ht="14.25" customHeight="1">
      <c r="A7" s="92"/>
      <c r="B7" s="95"/>
      <c r="C7" s="92" t="s">
        <v>484</v>
      </c>
    </row>
    <row r="8" spans="1:15" ht="14.25" customHeight="1">
      <c r="A8" s="93" t="s">
        <v>340</v>
      </c>
      <c r="B8" s="164"/>
      <c r="C8" s="92" t="s">
        <v>486</v>
      </c>
    </row>
    <row r="9" spans="1:15" ht="14.25" customHeight="1">
      <c r="A9" s="92" t="s">
        <v>342</v>
      </c>
      <c r="B9" s="95"/>
      <c r="C9" s="161" t="s">
        <v>608</v>
      </c>
      <c r="D9" s="95"/>
      <c r="E9" s="89" t="s">
        <v>225</v>
      </c>
    </row>
    <row r="10" spans="1:15" ht="14.25" customHeight="1">
      <c r="A10" s="92" t="s">
        <v>344</v>
      </c>
      <c r="B10" s="102"/>
      <c r="C10" s="90" t="s">
        <v>609</v>
      </c>
      <c r="G10" s="89">
        <v>2</v>
      </c>
      <c r="O10" s="89">
        <v>43</v>
      </c>
    </row>
    <row r="11" spans="1:15" ht="14.25" customHeight="1">
      <c r="A11" s="92" t="s">
        <v>346</v>
      </c>
      <c r="B11" s="102"/>
    </row>
    <row r="12" spans="1:15" ht="14.25" customHeight="1">
      <c r="A12" s="92" t="s">
        <v>348</v>
      </c>
      <c r="B12" s="102"/>
      <c r="C12" s="93" t="s">
        <v>334</v>
      </c>
    </row>
    <row r="13" spans="1:15" ht="14.25" customHeight="1">
      <c r="A13" s="92" t="s">
        <v>350</v>
      </c>
      <c r="B13" s="102"/>
      <c r="C13" s="91" t="s">
        <v>336</v>
      </c>
    </row>
    <row r="14" spans="1:15" ht="14.25" customHeight="1">
      <c r="A14" s="92" t="s">
        <v>352</v>
      </c>
      <c r="B14" s="102"/>
      <c r="C14" s="90" t="s">
        <v>338</v>
      </c>
    </row>
    <row r="15" spans="1:15" ht="14.25" customHeight="1">
      <c r="A15" s="92" t="s">
        <v>354</v>
      </c>
      <c r="B15" s="102"/>
      <c r="C15" s="91" t="s">
        <v>339</v>
      </c>
    </row>
    <row r="16" spans="1:15" ht="14.25" customHeight="1">
      <c r="A16" s="92" t="s">
        <v>356</v>
      </c>
      <c r="B16" s="102"/>
      <c r="C16" s="91" t="s">
        <v>341</v>
      </c>
    </row>
    <row r="17" spans="1:4" ht="14.25" customHeight="1">
      <c r="A17" s="92" t="s">
        <v>358</v>
      </c>
      <c r="B17" s="102"/>
      <c r="C17" s="96" t="s">
        <v>343</v>
      </c>
    </row>
    <row r="18" spans="1:4" ht="14.25" customHeight="1">
      <c r="A18" s="92" t="s">
        <v>359</v>
      </c>
      <c r="B18" s="102"/>
      <c r="C18" s="91" t="s">
        <v>345</v>
      </c>
    </row>
    <row r="19" spans="1:4" ht="14.25" customHeight="1">
      <c r="A19" s="92" t="s">
        <v>360</v>
      </c>
      <c r="B19" s="102"/>
      <c r="C19" s="91" t="s">
        <v>347</v>
      </c>
    </row>
    <row r="20" spans="1:4" ht="14.25" customHeight="1">
      <c r="A20" s="92" t="s">
        <v>361</v>
      </c>
      <c r="B20" s="102"/>
      <c r="C20" s="96" t="s">
        <v>349</v>
      </c>
    </row>
    <row r="21" spans="1:4" ht="14.25" customHeight="1">
      <c r="A21" s="91" t="s">
        <v>362</v>
      </c>
      <c r="B21" s="102"/>
      <c r="C21" s="91" t="s">
        <v>351</v>
      </c>
    </row>
    <row r="22" spans="1:4" ht="14.25" customHeight="1">
      <c r="A22" s="91" t="s">
        <v>364</v>
      </c>
      <c r="B22" s="102"/>
      <c r="C22" s="91" t="s">
        <v>353</v>
      </c>
    </row>
    <row r="23" spans="1:4" ht="14.25" customHeight="1">
      <c r="A23" s="102" t="s">
        <v>610</v>
      </c>
      <c r="B23" s="102"/>
      <c r="C23" s="91" t="s">
        <v>355</v>
      </c>
    </row>
    <row r="24" spans="1:4" ht="14.25" customHeight="1">
      <c r="A24" s="95" t="s">
        <v>599</v>
      </c>
      <c r="B24" s="102"/>
      <c r="C24" s="91" t="s">
        <v>357</v>
      </c>
    </row>
    <row r="25" spans="1:4" ht="14.25" customHeight="1">
      <c r="A25" s="95"/>
      <c r="B25" s="102"/>
      <c r="C25" s="90" t="s">
        <v>615</v>
      </c>
    </row>
    <row r="26" spans="1:4" ht="14.25" customHeight="1">
      <c r="A26" s="93" t="s">
        <v>367</v>
      </c>
      <c r="B26" s="165"/>
      <c r="C26" s="90" t="s">
        <v>616</v>
      </c>
      <c r="D26" s="102"/>
    </row>
    <row r="27" spans="1:4" ht="14.25" customHeight="1">
      <c r="A27" s="91" t="s">
        <v>369</v>
      </c>
      <c r="B27" s="165"/>
      <c r="C27" s="90" t="s">
        <v>617</v>
      </c>
      <c r="D27" s="165"/>
    </row>
    <row r="28" spans="1:4" ht="14.25" customHeight="1">
      <c r="A28" s="91" t="s">
        <v>371</v>
      </c>
      <c r="B28" s="164"/>
      <c r="D28" s="165"/>
    </row>
    <row r="29" spans="1:4" ht="14.25" customHeight="1">
      <c r="A29" s="91" t="s">
        <v>373</v>
      </c>
      <c r="B29" s="165"/>
      <c r="C29" s="93" t="s">
        <v>363</v>
      </c>
      <c r="D29" s="165"/>
    </row>
    <row r="30" spans="1:4" ht="14.25" customHeight="1">
      <c r="A30" s="94"/>
      <c r="B30" s="95"/>
      <c r="C30" s="91" t="s">
        <v>365</v>
      </c>
    </row>
    <row r="31" spans="1:4" ht="14.25" customHeight="1">
      <c r="A31" s="93" t="s">
        <v>376</v>
      </c>
      <c r="B31" s="95"/>
      <c r="C31" s="91" t="s">
        <v>366</v>
      </c>
    </row>
    <row r="32" spans="1:4" ht="14.25" customHeight="1">
      <c r="A32" s="91" t="s">
        <v>611</v>
      </c>
      <c r="B32" s="95"/>
      <c r="C32" s="91" t="s">
        <v>368</v>
      </c>
    </row>
    <row r="33" spans="1:3" ht="14.25" customHeight="1">
      <c r="A33" s="91" t="s">
        <v>603</v>
      </c>
      <c r="B33" s="95"/>
      <c r="C33" s="91" t="s">
        <v>370</v>
      </c>
    </row>
    <row r="34" spans="1:3" ht="14.25" customHeight="1">
      <c r="A34" s="92" t="s">
        <v>604</v>
      </c>
      <c r="B34" s="95"/>
      <c r="C34" s="91" t="s">
        <v>372</v>
      </c>
    </row>
    <row r="35" spans="1:3" ht="14.25" customHeight="1">
      <c r="A35" s="92"/>
      <c r="B35" s="95"/>
      <c r="C35" s="91" t="s">
        <v>374</v>
      </c>
    </row>
    <row r="36" spans="1:3" ht="14.25" customHeight="1">
      <c r="A36" s="93" t="s">
        <v>381</v>
      </c>
      <c r="B36" s="95"/>
      <c r="C36" s="91" t="s">
        <v>375</v>
      </c>
    </row>
    <row r="37" spans="1:3" ht="14.25" customHeight="1">
      <c r="A37" s="92" t="s">
        <v>383</v>
      </c>
      <c r="B37" s="95"/>
      <c r="C37" s="91" t="s">
        <v>377</v>
      </c>
    </row>
    <row r="38" spans="1:3" ht="14.25" customHeight="1">
      <c r="A38" s="92" t="s">
        <v>385</v>
      </c>
      <c r="B38" s="95"/>
      <c r="C38" s="91" t="s">
        <v>378</v>
      </c>
    </row>
    <row r="39" spans="1:3" ht="14.25" customHeight="1">
      <c r="A39" s="92" t="s">
        <v>387</v>
      </c>
      <c r="B39" s="92"/>
      <c r="C39" s="91" t="s">
        <v>379</v>
      </c>
    </row>
    <row r="40" spans="1:3" ht="14.25" customHeight="1">
      <c r="A40" s="92" t="s">
        <v>389</v>
      </c>
      <c r="B40" s="92"/>
      <c r="C40" s="91" t="s">
        <v>380</v>
      </c>
    </row>
    <row r="41" spans="1:3" ht="14.25" customHeight="1">
      <c r="A41" s="92" t="s">
        <v>391</v>
      </c>
      <c r="B41" s="93"/>
      <c r="C41" s="94"/>
    </row>
    <row r="42" spans="1:3" ht="14.25" customHeight="1">
      <c r="A42" s="92" t="s">
        <v>393</v>
      </c>
      <c r="B42" s="95"/>
      <c r="C42" s="93" t="s">
        <v>382</v>
      </c>
    </row>
    <row r="43" spans="1:3" ht="14.25" customHeight="1">
      <c r="A43" s="92" t="s">
        <v>395</v>
      </c>
      <c r="B43" s="92"/>
      <c r="C43" s="91" t="s">
        <v>384</v>
      </c>
    </row>
    <row r="44" spans="1:3" ht="14.25" customHeight="1">
      <c r="A44" s="92" t="s">
        <v>397</v>
      </c>
      <c r="B44" s="92"/>
      <c r="C44" s="91" t="s">
        <v>386</v>
      </c>
    </row>
    <row r="45" spans="1:3" ht="14.25" customHeight="1">
      <c r="A45" s="92" t="s">
        <v>399</v>
      </c>
      <c r="B45" s="93"/>
      <c r="C45" s="91" t="s">
        <v>388</v>
      </c>
    </row>
    <row r="46" spans="1:3" ht="14.25" customHeight="1">
      <c r="A46" s="92" t="s">
        <v>400</v>
      </c>
      <c r="B46" s="95"/>
      <c r="C46" s="91" t="s">
        <v>390</v>
      </c>
    </row>
    <row r="47" spans="1:3" ht="14.25" customHeight="1">
      <c r="A47" s="92" t="s">
        <v>402</v>
      </c>
      <c r="B47" s="92"/>
      <c r="C47" s="91" t="s">
        <v>392</v>
      </c>
    </row>
    <row r="48" spans="1:3" ht="14.25" customHeight="1">
      <c r="A48" s="92" t="s">
        <v>404</v>
      </c>
      <c r="B48" s="95"/>
      <c r="C48" s="91" t="s">
        <v>394</v>
      </c>
    </row>
    <row r="49" spans="1:3" ht="14.25" customHeight="1">
      <c r="A49" s="92" t="s">
        <v>406</v>
      </c>
      <c r="B49" s="92"/>
      <c r="C49" s="91" t="s">
        <v>396</v>
      </c>
    </row>
    <row r="50" spans="1:3" ht="14.25" customHeight="1">
      <c r="A50" s="92" t="s">
        <v>408</v>
      </c>
      <c r="B50" s="92"/>
      <c r="C50" s="91" t="s">
        <v>398</v>
      </c>
    </row>
    <row r="51" spans="1:3" ht="14.25" customHeight="1">
      <c r="A51" s="92" t="s">
        <v>410</v>
      </c>
      <c r="B51" s="92"/>
      <c r="C51" s="93"/>
    </row>
    <row r="52" spans="1:3" ht="14.25" customHeight="1">
      <c r="A52" s="92" t="s">
        <v>412</v>
      </c>
      <c r="B52" s="92"/>
      <c r="C52" s="93" t="s">
        <v>401</v>
      </c>
    </row>
    <row r="53" spans="1:3" ht="14.25" customHeight="1">
      <c r="A53" s="95" t="s">
        <v>414</v>
      </c>
      <c r="B53" s="92"/>
      <c r="C53" s="91" t="s">
        <v>403</v>
      </c>
    </row>
    <row r="54" spans="1:3" ht="14.25" customHeight="1">
      <c r="A54" s="95" t="s">
        <v>416</v>
      </c>
      <c r="B54" s="92"/>
      <c r="C54" s="91" t="s">
        <v>405</v>
      </c>
    </row>
    <row r="55" spans="1:3" ht="14.25" customHeight="1">
      <c r="A55" s="92" t="s">
        <v>418</v>
      </c>
      <c r="B55" s="92"/>
      <c r="C55" s="91" t="s">
        <v>407</v>
      </c>
    </row>
    <row r="56" spans="1:3" ht="14.25" customHeight="1">
      <c r="A56" s="92" t="s">
        <v>419</v>
      </c>
      <c r="B56" s="92"/>
      <c r="C56" s="91" t="s">
        <v>409</v>
      </c>
    </row>
    <row r="57" spans="1:3" ht="14.25" customHeight="1">
      <c r="A57" s="92" t="s">
        <v>421</v>
      </c>
      <c r="B57" s="92"/>
      <c r="C57" s="91" t="s">
        <v>411</v>
      </c>
    </row>
    <row r="58" spans="1:3" ht="14.25" customHeight="1">
      <c r="A58" s="92" t="s">
        <v>423</v>
      </c>
      <c r="B58" s="95"/>
      <c r="C58" s="91" t="s">
        <v>413</v>
      </c>
    </row>
    <row r="59" spans="1:3" ht="14.25" customHeight="1">
      <c r="A59" s="92" t="s">
        <v>425</v>
      </c>
      <c r="B59" s="92"/>
      <c r="C59" s="91" t="s">
        <v>415</v>
      </c>
    </row>
    <row r="60" spans="1:3" ht="14.25" customHeight="1">
      <c r="A60" s="92"/>
      <c r="B60" s="92"/>
      <c r="C60" s="91" t="s">
        <v>417</v>
      </c>
    </row>
    <row r="61" spans="1:3" ht="14.25" customHeight="1">
      <c r="A61" s="93" t="s">
        <v>428</v>
      </c>
      <c r="B61" s="93"/>
      <c r="C61" s="93"/>
    </row>
    <row r="62" spans="1:3" ht="14.25" customHeight="1">
      <c r="A62" s="92" t="s">
        <v>430</v>
      </c>
      <c r="B62" s="95"/>
      <c r="C62" s="93" t="s">
        <v>420</v>
      </c>
    </row>
    <row r="63" spans="1:3" ht="14.25" customHeight="1">
      <c r="A63" s="92" t="s">
        <v>432</v>
      </c>
      <c r="B63" s="92"/>
      <c r="C63" s="91" t="s">
        <v>422</v>
      </c>
    </row>
    <row r="64" spans="1:3" ht="14.25" customHeight="1">
      <c r="A64" s="92" t="s">
        <v>434</v>
      </c>
      <c r="B64" s="95"/>
      <c r="C64" s="91" t="s">
        <v>424</v>
      </c>
    </row>
    <row r="65" spans="1:3" ht="14.25" customHeight="1">
      <c r="A65" s="92" t="s">
        <v>436</v>
      </c>
      <c r="B65" s="92"/>
      <c r="C65" s="91" t="s">
        <v>426</v>
      </c>
    </row>
    <row r="66" spans="1:3" ht="14.25" customHeight="1">
      <c r="A66" s="92" t="s">
        <v>438</v>
      </c>
      <c r="B66" s="95"/>
      <c r="C66" s="91" t="s">
        <v>427</v>
      </c>
    </row>
    <row r="67" spans="1:3" ht="14.25" customHeight="1">
      <c r="A67" s="92" t="s">
        <v>440</v>
      </c>
      <c r="B67" s="92"/>
      <c r="C67" s="91" t="s">
        <v>429</v>
      </c>
    </row>
    <row r="68" spans="1:3" ht="14.25" customHeight="1">
      <c r="A68" s="94"/>
      <c r="B68" s="92"/>
      <c r="C68" s="91" t="s">
        <v>431</v>
      </c>
    </row>
    <row r="69" spans="1:3" ht="14.25" customHeight="1">
      <c r="A69" s="93" t="s">
        <v>443</v>
      </c>
      <c r="B69" s="92"/>
      <c r="C69" s="91" t="s">
        <v>433</v>
      </c>
    </row>
    <row r="70" spans="1:3" ht="14.25" customHeight="1">
      <c r="A70" s="161" t="s">
        <v>600</v>
      </c>
      <c r="B70" s="92"/>
      <c r="C70" s="91" t="s">
        <v>435</v>
      </c>
    </row>
    <row r="71" spans="1:3" ht="14.25" customHeight="1">
      <c r="A71" s="161" t="s">
        <v>601</v>
      </c>
      <c r="B71" s="92"/>
      <c r="C71" s="91" t="s">
        <v>437</v>
      </c>
    </row>
    <row r="72" spans="1:3" ht="14.25" customHeight="1">
      <c r="A72" s="162" t="s">
        <v>612</v>
      </c>
      <c r="B72" s="93"/>
      <c r="C72" s="91" t="s">
        <v>439</v>
      </c>
    </row>
    <row r="73" spans="1:3" ht="14.25" customHeight="1">
      <c r="A73" s="162" t="s">
        <v>613</v>
      </c>
      <c r="B73" s="94"/>
      <c r="C73" s="91" t="s">
        <v>441</v>
      </c>
    </row>
    <row r="74" spans="1:3" ht="14.25" customHeight="1">
      <c r="A74" s="162" t="s">
        <v>614</v>
      </c>
      <c r="B74" s="94"/>
      <c r="C74" s="91" t="s">
        <v>442</v>
      </c>
    </row>
    <row r="75" spans="1:3" ht="14.25" customHeight="1">
      <c r="A75" s="161" t="s">
        <v>447</v>
      </c>
      <c r="B75" s="94"/>
      <c r="C75" s="93"/>
    </row>
    <row r="76" spans="1:3" ht="14.25" customHeight="1">
      <c r="A76" s="162" t="s">
        <v>602</v>
      </c>
      <c r="B76" s="94"/>
      <c r="C76" s="93" t="s">
        <v>444</v>
      </c>
    </row>
    <row r="77" spans="1:3" ht="14.25" customHeight="1">
      <c r="A77" s="92" t="s">
        <v>450</v>
      </c>
      <c r="B77" s="94"/>
      <c r="C77" s="91" t="s">
        <v>445</v>
      </c>
    </row>
    <row r="78" spans="1:3" ht="14.25" customHeight="1">
      <c r="A78" s="92" t="s">
        <v>452</v>
      </c>
      <c r="B78" s="94"/>
      <c r="C78" s="91" t="s">
        <v>446</v>
      </c>
    </row>
    <row r="79" spans="1:3" ht="14.25" customHeight="1">
      <c r="A79" s="92" t="s">
        <v>454</v>
      </c>
      <c r="B79" s="96"/>
      <c r="C79" s="91" t="s">
        <v>448</v>
      </c>
    </row>
    <row r="80" spans="1:3" ht="14.25" customHeight="1">
      <c r="A80" s="92" t="s">
        <v>456</v>
      </c>
      <c r="B80" s="96"/>
      <c r="C80" s="91" t="s">
        <v>449</v>
      </c>
    </row>
    <row r="81" spans="1:3" ht="14.25" customHeight="1">
      <c r="A81" s="92" t="s">
        <v>457</v>
      </c>
      <c r="B81" s="96"/>
      <c r="C81" s="92" t="s">
        <v>451</v>
      </c>
    </row>
    <row r="82" spans="1:3" ht="14.25" customHeight="1">
      <c r="A82" s="92" t="s">
        <v>459</v>
      </c>
      <c r="B82" s="96"/>
      <c r="C82" s="92" t="s">
        <v>453</v>
      </c>
    </row>
    <row r="83" spans="1:3" ht="14.25" customHeight="1">
      <c r="A83" s="96"/>
      <c r="B83" s="96"/>
      <c r="C83" s="91" t="s">
        <v>455</v>
      </c>
    </row>
    <row r="84" spans="1:3" ht="14.25" customHeight="1">
      <c r="A84" s="93" t="s">
        <v>462</v>
      </c>
      <c r="B84" s="96"/>
      <c r="C84" s="94"/>
    </row>
    <row r="85" spans="1:3" ht="14.25" customHeight="1">
      <c r="A85" s="92" t="s">
        <v>464</v>
      </c>
      <c r="B85" s="96"/>
      <c r="C85" s="93" t="s">
        <v>458</v>
      </c>
    </row>
    <row r="86" spans="1:3" ht="14.25" customHeight="1">
      <c r="A86" s="161" t="s">
        <v>605</v>
      </c>
      <c r="B86" s="96"/>
      <c r="C86" s="91" t="s">
        <v>460</v>
      </c>
    </row>
    <row r="87" spans="1:3" ht="14.25" customHeight="1">
      <c r="A87" s="161" t="s">
        <v>606</v>
      </c>
      <c r="B87" s="96"/>
      <c r="C87" s="91" t="s">
        <v>461</v>
      </c>
    </row>
    <row r="88" spans="1:3" ht="14.25" customHeight="1">
      <c r="A88" s="161" t="s">
        <v>607</v>
      </c>
      <c r="B88" s="96"/>
      <c r="C88" s="91" t="s">
        <v>463</v>
      </c>
    </row>
    <row r="89" spans="1:3" ht="14.25" customHeight="1">
      <c r="A89" s="92" t="s">
        <v>469</v>
      </c>
      <c r="B89" s="96"/>
      <c r="C89" s="91" t="s">
        <v>465</v>
      </c>
    </row>
    <row r="90" spans="1:3" ht="14.25" customHeight="1">
      <c r="A90" s="92" t="s">
        <v>471</v>
      </c>
      <c r="B90" s="96"/>
      <c r="C90" s="91" t="s">
        <v>466</v>
      </c>
    </row>
    <row r="91" spans="1:3" ht="14.25" customHeight="1">
      <c r="A91" s="92" t="s">
        <v>473</v>
      </c>
      <c r="B91" s="96"/>
      <c r="C91" s="91" t="s">
        <v>467</v>
      </c>
    </row>
    <row r="92" spans="1:3" ht="14.25" customHeight="1">
      <c r="A92" s="92" t="s">
        <v>474</v>
      </c>
      <c r="B92" s="93"/>
      <c r="C92" s="91" t="s">
        <v>468</v>
      </c>
    </row>
    <row r="93" spans="1:3" ht="14.25" customHeight="1">
      <c r="A93" s="92" t="s">
        <v>476</v>
      </c>
      <c r="B93" s="96"/>
      <c r="C93" s="91" t="s">
        <v>470</v>
      </c>
    </row>
    <row r="94" spans="1:3" ht="14.25" customHeight="1">
      <c r="A94" s="92" t="s">
        <v>478</v>
      </c>
      <c r="B94" s="96"/>
      <c r="C94" s="91" t="s">
        <v>472</v>
      </c>
    </row>
    <row r="95" spans="1:3" ht="14.25" customHeight="1">
      <c r="B95" s="96"/>
    </row>
    <row r="96" spans="1:3" ht="14.25" customHeight="1">
      <c r="B96" s="96"/>
    </row>
    <row r="97" spans="1:3" ht="14.25" customHeight="1">
      <c r="B97" s="96"/>
      <c r="C97" s="94"/>
    </row>
    <row r="98" spans="1:3" ht="14.25" customHeight="1">
      <c r="A98" s="93" t="s">
        <v>475</v>
      </c>
      <c r="B98" s="96"/>
      <c r="C98" s="93" t="s">
        <v>586</v>
      </c>
    </row>
    <row r="99" spans="1:3" ht="14.25" customHeight="1">
      <c r="A99" s="91" t="s">
        <v>477</v>
      </c>
      <c r="B99" s="96"/>
      <c r="C99" s="92" t="s">
        <v>587</v>
      </c>
    </row>
    <row r="100" spans="1:3" ht="14.25" customHeight="1">
      <c r="A100" s="91" t="s">
        <v>479</v>
      </c>
      <c r="B100" s="96"/>
      <c r="C100" s="92" t="s">
        <v>588</v>
      </c>
    </row>
    <row r="101" spans="1:3" ht="14.25" customHeight="1">
      <c r="A101" s="91" t="s">
        <v>481</v>
      </c>
      <c r="B101" s="96"/>
      <c r="C101" s="92" t="s">
        <v>589</v>
      </c>
    </row>
    <row r="102" spans="1:3" ht="14.25" customHeight="1">
      <c r="A102" s="91" t="s">
        <v>483</v>
      </c>
      <c r="B102" s="96"/>
      <c r="C102" s="92" t="s">
        <v>590</v>
      </c>
    </row>
    <row r="103" spans="1:3" ht="14.25" customHeight="1">
      <c r="A103" s="91" t="s">
        <v>485</v>
      </c>
      <c r="B103" s="96"/>
      <c r="C103" s="92"/>
    </row>
    <row r="104" spans="1:3" ht="14.25" customHeight="1">
      <c r="A104" s="91" t="s">
        <v>487</v>
      </c>
      <c r="B104" s="96"/>
      <c r="C104" s="93" t="s">
        <v>591</v>
      </c>
    </row>
    <row r="105" spans="1:3" ht="14.25" customHeight="1">
      <c r="A105" s="91" t="s">
        <v>488</v>
      </c>
      <c r="B105" s="96"/>
      <c r="C105" s="92" t="s">
        <v>592</v>
      </c>
    </row>
    <row r="106" spans="1:3" ht="14.25" customHeight="1">
      <c r="A106" s="91" t="s">
        <v>489</v>
      </c>
      <c r="B106" s="96"/>
      <c r="C106" s="92"/>
    </row>
    <row r="107" spans="1:3" ht="14.25" customHeight="1">
      <c r="B107" s="96"/>
      <c r="C107" s="93" t="s">
        <v>593</v>
      </c>
    </row>
    <row r="108" spans="1:3" ht="14.25" customHeight="1">
      <c r="A108" s="93" t="s">
        <v>490</v>
      </c>
      <c r="B108" s="96"/>
      <c r="C108" s="92" t="s">
        <v>594</v>
      </c>
    </row>
    <row r="109" spans="1:3" ht="14.25" customHeight="1">
      <c r="A109" s="91" t="s">
        <v>491</v>
      </c>
      <c r="B109" s="96"/>
      <c r="C109" s="92" t="s">
        <v>595</v>
      </c>
    </row>
    <row r="110" spans="1:3" ht="14.25" customHeight="1">
      <c r="A110" s="91" t="s">
        <v>493</v>
      </c>
      <c r="C110" s="92"/>
    </row>
    <row r="111" spans="1:3" ht="14.25" customHeight="1">
      <c r="A111" s="91" t="s">
        <v>495</v>
      </c>
      <c r="C111" s="166" t="s">
        <v>492</v>
      </c>
    </row>
    <row r="112" spans="1:3" ht="14.25" customHeight="1">
      <c r="A112" s="91" t="s">
        <v>497</v>
      </c>
      <c r="C112" s="98" t="s">
        <v>494</v>
      </c>
    </row>
    <row r="113" spans="1:3" ht="14.25" customHeight="1">
      <c r="A113" s="91" t="s">
        <v>499</v>
      </c>
      <c r="B113" s="93"/>
      <c r="C113" s="99" t="s">
        <v>496</v>
      </c>
    </row>
    <row r="114" spans="1:3" ht="14.25" customHeight="1">
      <c r="A114" s="91" t="s">
        <v>501</v>
      </c>
      <c r="B114" s="96"/>
      <c r="C114" s="99" t="s">
        <v>498</v>
      </c>
    </row>
    <row r="115" spans="1:3" ht="14.25" customHeight="1">
      <c r="A115" s="91" t="s">
        <v>502</v>
      </c>
      <c r="B115" s="96"/>
      <c r="C115" s="99" t="s">
        <v>500</v>
      </c>
    </row>
    <row r="116" spans="1:3" ht="14.25" customHeight="1">
      <c r="A116" s="91" t="s">
        <v>504</v>
      </c>
      <c r="B116" s="96"/>
      <c r="C116" s="92"/>
    </row>
    <row r="117" spans="1:3" ht="14.25" customHeight="1">
      <c r="A117" s="91" t="s">
        <v>506</v>
      </c>
      <c r="B117" s="96"/>
      <c r="C117" s="94" t="s">
        <v>503</v>
      </c>
    </row>
    <row r="118" spans="1:3" ht="14.25" customHeight="1">
      <c r="A118" s="91" t="s">
        <v>508</v>
      </c>
      <c r="B118" s="96"/>
      <c r="C118" s="92" t="s">
        <v>505</v>
      </c>
    </row>
    <row r="119" spans="1:3" ht="14.25" customHeight="1">
      <c r="A119" s="91" t="s">
        <v>510</v>
      </c>
      <c r="B119" s="96"/>
      <c r="C119" s="92" t="s">
        <v>507</v>
      </c>
    </row>
    <row r="120" spans="1:3" ht="14.25" customHeight="1">
      <c r="A120" s="91" t="s">
        <v>512</v>
      </c>
      <c r="B120" s="96"/>
      <c r="C120" s="92" t="s">
        <v>509</v>
      </c>
    </row>
    <row r="121" spans="1:3" ht="14.25" customHeight="1">
      <c r="A121" s="91" t="s">
        <v>514</v>
      </c>
      <c r="B121" s="96"/>
      <c r="C121" s="91" t="s">
        <v>511</v>
      </c>
    </row>
    <row r="122" spans="1:3" ht="14.25" customHeight="1">
      <c r="A122" s="96"/>
      <c r="B122" s="96"/>
      <c r="C122" s="92" t="s">
        <v>513</v>
      </c>
    </row>
    <row r="123" spans="1:3" ht="14.25" customHeight="1">
      <c r="A123" s="93" t="s">
        <v>517</v>
      </c>
      <c r="B123" s="96"/>
      <c r="C123" s="92" t="s">
        <v>515</v>
      </c>
    </row>
    <row r="124" spans="1:3" ht="14.25" customHeight="1">
      <c r="A124" s="91" t="s">
        <v>519</v>
      </c>
      <c r="B124" s="96"/>
      <c r="C124" s="91" t="s">
        <v>516</v>
      </c>
    </row>
    <row r="125" spans="1:3" ht="14.25" customHeight="1">
      <c r="A125" s="91" t="s">
        <v>521</v>
      </c>
      <c r="B125" s="96"/>
      <c r="C125" s="92" t="s">
        <v>518</v>
      </c>
    </row>
    <row r="126" spans="1:3" ht="14.25" customHeight="1">
      <c r="A126" s="91" t="s">
        <v>523</v>
      </c>
      <c r="B126" s="93"/>
      <c r="C126" s="92" t="s">
        <v>520</v>
      </c>
    </row>
    <row r="127" spans="1:3" ht="14.25" customHeight="1">
      <c r="A127" s="96" t="s">
        <v>525</v>
      </c>
      <c r="B127" s="96"/>
      <c r="C127" s="91" t="s">
        <v>522</v>
      </c>
    </row>
    <row r="128" spans="1:3" ht="14.25" customHeight="1">
      <c r="A128" s="91" t="s">
        <v>527</v>
      </c>
      <c r="B128" s="102"/>
      <c r="C128" s="92" t="s">
        <v>524</v>
      </c>
    </row>
    <row r="129" spans="1:3" ht="14.25" customHeight="1">
      <c r="A129" s="91" t="s">
        <v>529</v>
      </c>
      <c r="B129" s="96"/>
      <c r="C129" s="91" t="s">
        <v>526</v>
      </c>
    </row>
    <row r="130" spans="1:3" ht="14.25" customHeight="1">
      <c r="A130" s="91" t="s">
        <v>531</v>
      </c>
      <c r="B130" s="102"/>
      <c r="C130" s="91" t="s">
        <v>528</v>
      </c>
    </row>
    <row r="131" spans="1:3" ht="14.25" customHeight="1">
      <c r="A131" s="91"/>
      <c r="B131" s="96"/>
      <c r="C131" s="91" t="s">
        <v>530</v>
      </c>
    </row>
    <row r="132" spans="1:3" ht="14.25" customHeight="1">
      <c r="A132" s="93" t="s">
        <v>534</v>
      </c>
      <c r="B132" s="102"/>
      <c r="C132" s="91" t="s">
        <v>532</v>
      </c>
    </row>
    <row r="133" spans="1:3" ht="14.25" customHeight="1">
      <c r="A133" s="91" t="s">
        <v>536</v>
      </c>
      <c r="B133" s="102"/>
      <c r="C133" s="91" t="s">
        <v>533</v>
      </c>
    </row>
    <row r="134" spans="1:3" ht="14.25" customHeight="1">
      <c r="A134" s="91" t="s">
        <v>538</v>
      </c>
      <c r="B134" s="102"/>
      <c r="C134" s="91" t="s">
        <v>535</v>
      </c>
    </row>
    <row r="135" spans="1:3" ht="14.25" customHeight="1">
      <c r="A135" s="91" t="s">
        <v>540</v>
      </c>
      <c r="B135" s="102"/>
      <c r="C135" s="91" t="s">
        <v>537</v>
      </c>
    </row>
    <row r="136" spans="1:3" ht="14.25" customHeight="1">
      <c r="A136" s="91" t="s">
        <v>542</v>
      </c>
      <c r="B136" s="102"/>
      <c r="C136" s="91" t="s">
        <v>539</v>
      </c>
    </row>
    <row r="137" spans="1:3" ht="14.25" customHeight="1">
      <c r="A137" s="91" t="s">
        <v>543</v>
      </c>
      <c r="B137" s="102"/>
      <c r="C137" s="92" t="s">
        <v>541</v>
      </c>
    </row>
    <row r="138" spans="1:3" ht="14.25" customHeight="1">
      <c r="A138" s="91" t="s">
        <v>544</v>
      </c>
      <c r="B138" s="102"/>
      <c r="C138" s="92"/>
    </row>
    <row r="139" spans="1:3" ht="14.25" customHeight="1">
      <c r="A139" s="91" t="s">
        <v>545</v>
      </c>
      <c r="B139" s="102"/>
      <c r="C139" s="92"/>
    </row>
    <row r="140" spans="1:3" ht="14.25" customHeight="1">
      <c r="A140" s="91"/>
      <c r="B140" s="93"/>
      <c r="C140" s="92"/>
    </row>
    <row r="141" spans="1:3" ht="14.25" customHeight="1">
      <c r="A141" s="93" t="s">
        <v>546</v>
      </c>
      <c r="B141" s="102"/>
      <c r="C141" s="167" t="s">
        <v>618</v>
      </c>
    </row>
    <row r="142" spans="1:3" ht="14.25" customHeight="1">
      <c r="A142" s="91" t="s">
        <v>547</v>
      </c>
      <c r="B142" s="102"/>
      <c r="C142" s="102"/>
    </row>
    <row r="143" spans="1:3" ht="14.25" customHeight="1">
      <c r="A143" s="91" t="s">
        <v>548</v>
      </c>
      <c r="B143" s="102"/>
      <c r="C143" s="102"/>
    </row>
    <row r="144" spans="1:3" ht="14.25" customHeight="1">
      <c r="A144" s="91" t="s">
        <v>549</v>
      </c>
      <c r="B144" s="102"/>
      <c r="C144" s="102"/>
    </row>
    <row r="145" spans="1:3" ht="14.25" customHeight="1">
      <c r="A145" s="91" t="s">
        <v>550</v>
      </c>
      <c r="B145" s="102"/>
      <c r="C145" s="102"/>
    </row>
    <row r="146" spans="1:3" ht="14.25" customHeight="1">
      <c r="A146" s="96" t="s">
        <v>551</v>
      </c>
      <c r="B146" s="102"/>
      <c r="C146" s="102"/>
    </row>
    <row r="147" spans="1:3" ht="14.25" customHeight="1">
      <c r="A147" s="96" t="s">
        <v>552</v>
      </c>
      <c r="B147" s="102"/>
      <c r="C147" s="100" t="s">
        <v>230</v>
      </c>
    </row>
    <row r="148" spans="1:3" ht="14.25" customHeight="1">
      <c r="A148" s="91" t="s">
        <v>553</v>
      </c>
      <c r="B148" s="102"/>
      <c r="C148" s="96"/>
    </row>
    <row r="149" spans="1:3" ht="14.25" customHeight="1">
      <c r="A149" s="96" t="s">
        <v>554</v>
      </c>
      <c r="B149" s="102"/>
      <c r="C149" s="92"/>
    </row>
    <row r="150" spans="1:3" ht="14.25" customHeight="1">
      <c r="A150" s="91" t="s">
        <v>555</v>
      </c>
      <c r="B150" s="102"/>
      <c r="C150" s="93"/>
    </row>
    <row r="151" spans="1:3" ht="14.25" customHeight="1">
      <c r="A151" s="96" t="s">
        <v>556</v>
      </c>
      <c r="B151" s="102"/>
      <c r="C151" s="92"/>
    </row>
    <row r="152" spans="1:3" ht="14.25" customHeight="1">
      <c r="A152" s="90" t="s">
        <v>557</v>
      </c>
      <c r="B152" s="102"/>
      <c r="C152" s="92"/>
    </row>
    <row r="153" spans="1:3" ht="14.25" customHeight="1">
      <c r="A153" s="91" t="s">
        <v>558</v>
      </c>
      <c r="B153" s="102"/>
      <c r="C153" s="92"/>
    </row>
    <row r="154" spans="1:3" ht="14.25" customHeight="1">
      <c r="A154" s="91" t="s">
        <v>559</v>
      </c>
      <c r="B154" s="102"/>
      <c r="C154" s="93"/>
    </row>
    <row r="155" spans="1:3" ht="14.25" customHeight="1">
      <c r="A155" s="91" t="s">
        <v>560</v>
      </c>
      <c r="B155" s="102"/>
      <c r="C155" s="92"/>
    </row>
    <row r="156" spans="1:3" ht="14.25" customHeight="1">
      <c r="A156" s="96" t="s">
        <v>561</v>
      </c>
      <c r="B156" s="102"/>
      <c r="C156" s="92"/>
    </row>
    <row r="157" spans="1:3" ht="14.25" customHeight="1">
      <c r="A157" s="91" t="s">
        <v>562</v>
      </c>
      <c r="B157" s="102"/>
      <c r="C157" s="92"/>
    </row>
    <row r="158" spans="1:3" ht="14.25" customHeight="1">
      <c r="A158" s="96" t="s">
        <v>563</v>
      </c>
      <c r="B158" s="102"/>
      <c r="C158" s="92"/>
    </row>
    <row r="159" spans="1:3" ht="14.25" customHeight="1">
      <c r="A159" s="91" t="s">
        <v>564</v>
      </c>
      <c r="B159" s="93"/>
      <c r="C159" s="92"/>
    </row>
    <row r="160" spans="1:3" ht="14.25" customHeight="1">
      <c r="A160" s="91" t="s">
        <v>565</v>
      </c>
      <c r="B160" s="102"/>
      <c r="C160" s="92"/>
    </row>
    <row r="161" spans="1:3" ht="14.25" customHeight="1">
      <c r="A161" s="91" t="s">
        <v>566</v>
      </c>
      <c r="B161" s="102"/>
      <c r="C161" s="92"/>
    </row>
    <row r="162" spans="1:3" ht="14.25" customHeight="1">
      <c r="A162" s="102"/>
      <c r="B162" s="102"/>
      <c r="C162" s="92"/>
    </row>
    <row r="163" spans="1:3" ht="14.25" customHeight="1">
      <c r="A163" s="93" t="s">
        <v>567</v>
      </c>
      <c r="B163" s="102"/>
      <c r="C163" s="92"/>
    </row>
    <row r="164" spans="1:3" ht="14.25" customHeight="1">
      <c r="A164" s="92" t="s">
        <v>568</v>
      </c>
      <c r="B164" s="102"/>
      <c r="C164" s="92"/>
    </row>
    <row r="165" spans="1:3" ht="14.25" customHeight="1">
      <c r="A165" s="92" t="s">
        <v>569</v>
      </c>
      <c r="B165" s="102"/>
      <c r="C165" s="92"/>
    </row>
    <row r="166" spans="1:3" ht="14.25" customHeight="1">
      <c r="A166" s="92" t="s">
        <v>570</v>
      </c>
      <c r="B166" s="102"/>
      <c r="C166" s="92"/>
    </row>
    <row r="167" spans="1:3" ht="14.25" customHeight="1">
      <c r="A167" s="91" t="s">
        <v>571</v>
      </c>
      <c r="B167" s="102"/>
      <c r="C167" s="92"/>
    </row>
    <row r="168" spans="1:3" ht="14.25" customHeight="1">
      <c r="A168" s="91" t="s">
        <v>572</v>
      </c>
      <c r="B168" s="102"/>
      <c r="C168" s="92"/>
    </row>
    <row r="169" spans="1:3" ht="14.25" customHeight="1">
      <c r="A169" s="102"/>
      <c r="B169" s="102"/>
      <c r="C169" s="92"/>
    </row>
    <row r="170" spans="1:3" ht="14.25" customHeight="1">
      <c r="A170" s="93" t="s">
        <v>573</v>
      </c>
      <c r="B170" s="102"/>
      <c r="C170" s="92"/>
    </row>
    <row r="171" spans="1:3" ht="14.25" customHeight="1">
      <c r="A171" s="92" t="s">
        <v>574</v>
      </c>
      <c r="B171" s="102"/>
      <c r="C171" s="92"/>
    </row>
    <row r="172" spans="1:3" ht="14.25" customHeight="1">
      <c r="A172" s="92" t="s">
        <v>575</v>
      </c>
      <c r="B172" s="102"/>
      <c r="C172" s="92"/>
    </row>
    <row r="173" spans="1:3" ht="14.25" customHeight="1">
      <c r="A173" s="92" t="s">
        <v>576</v>
      </c>
      <c r="B173" s="102"/>
      <c r="C173" s="92"/>
    </row>
    <row r="174" spans="1:3" ht="14.25" customHeight="1">
      <c r="A174" s="101" t="s">
        <v>577</v>
      </c>
      <c r="B174" s="102"/>
      <c r="C174" s="92"/>
    </row>
    <row r="175" spans="1:3" ht="14.25" customHeight="1">
      <c r="A175" s="93" t="s">
        <v>578</v>
      </c>
      <c r="B175" s="93"/>
      <c r="C175" s="92"/>
    </row>
    <row r="176" spans="1:3" ht="14.25" customHeight="1">
      <c r="A176" s="97" t="s">
        <v>579</v>
      </c>
      <c r="B176" s="93"/>
      <c r="C176" s="92"/>
    </row>
    <row r="177" spans="1:3" ht="14.25" customHeight="1">
      <c r="A177" s="96" t="s">
        <v>580</v>
      </c>
      <c r="B177" s="102"/>
      <c r="C177" s="92"/>
    </row>
    <row r="178" spans="1:3" ht="14.25" customHeight="1">
      <c r="A178" s="91" t="s">
        <v>581</v>
      </c>
      <c r="B178" s="102"/>
      <c r="C178" s="92"/>
    </row>
    <row r="179" spans="1:3" ht="14.25" customHeight="1">
      <c r="A179" s="91" t="s">
        <v>582</v>
      </c>
      <c r="B179" s="102"/>
      <c r="C179" s="92"/>
    </row>
    <row r="180" spans="1:3" ht="14.25" customHeight="1">
      <c r="A180" s="91" t="s">
        <v>583</v>
      </c>
      <c r="B180" s="102"/>
      <c r="C180" s="92"/>
    </row>
    <row r="181" spans="1:3" ht="14.25" customHeight="1">
      <c r="A181" s="91" t="s">
        <v>584</v>
      </c>
      <c r="B181" s="102"/>
      <c r="C181" s="92"/>
    </row>
    <row r="182" spans="1:3" ht="14.25" customHeight="1">
      <c r="A182" s="91" t="s">
        <v>585</v>
      </c>
      <c r="B182" s="102"/>
      <c r="C182" s="92"/>
    </row>
    <row r="183" spans="1:3" ht="14.25" customHeight="1">
      <c r="A183" s="92"/>
      <c r="B183" s="102"/>
      <c r="C183" s="92"/>
    </row>
    <row r="184" spans="1:3" ht="14.25" customHeight="1">
      <c r="A184" s="92"/>
      <c r="B184" s="102"/>
      <c r="C184" s="92"/>
    </row>
    <row r="185" spans="1:3" ht="12.75" customHeight="1">
      <c r="A185" s="102"/>
      <c r="B185" s="102"/>
      <c r="C185" s="92"/>
    </row>
    <row r="186" spans="1:3" ht="12.75" customHeight="1">
      <c r="A186" s="93"/>
      <c r="B186" s="93"/>
      <c r="C186" s="92"/>
    </row>
    <row r="187" spans="1:3" ht="12.75" customHeight="1">
      <c r="A187" s="102"/>
      <c r="B187" s="102"/>
      <c r="C187" s="92"/>
    </row>
    <row r="188" spans="1:3" ht="12.75" customHeight="1">
      <c r="A188" s="102"/>
      <c r="B188" s="102"/>
      <c r="C188" s="92"/>
    </row>
    <row r="189" spans="1:3" ht="12.75" customHeight="1">
      <c r="A189" s="102"/>
      <c r="B189" s="102"/>
      <c r="C189" s="92"/>
    </row>
    <row r="190" spans="1:3" ht="12.75" customHeight="1">
      <c r="A190" s="102"/>
      <c r="B190" s="102"/>
      <c r="C190" s="92"/>
    </row>
    <row r="191" spans="1:3" ht="12.75" customHeight="1">
      <c r="A191" s="96"/>
      <c r="B191" s="102"/>
      <c r="C191" s="92"/>
    </row>
    <row r="192" spans="1:3" ht="12.75" customHeight="1">
      <c r="A192" s="96"/>
      <c r="B192" s="93"/>
    </row>
    <row r="193" spans="1:2" ht="12.75" customHeight="1">
      <c r="A193" s="102"/>
      <c r="B193" s="102"/>
    </row>
    <row r="194" spans="1:2" ht="12.75" customHeight="1">
      <c r="A194" s="102"/>
      <c r="B194" s="102"/>
    </row>
    <row r="195" spans="1:2" ht="12.75" customHeight="1">
      <c r="A195" s="102"/>
      <c r="B195" s="92"/>
    </row>
    <row r="196" spans="1:2" ht="12.75" customHeight="1">
      <c r="B196" s="102"/>
    </row>
    <row r="197" spans="1:2" ht="12.75" customHeight="1">
      <c r="B197" s="92"/>
    </row>
    <row r="198" spans="1:2" ht="12.75" customHeight="1">
      <c r="B198" s="102"/>
    </row>
    <row r="199" spans="1:2" ht="12.75" customHeight="1">
      <c r="B199" s="92"/>
    </row>
    <row r="200" spans="1:2" ht="12.75" customHeight="1">
      <c r="B200" s="92"/>
    </row>
    <row r="201" spans="1:2" ht="12.75" customHeight="1">
      <c r="B201" s="102"/>
    </row>
    <row r="202" spans="1:2" ht="12.75" customHeight="1">
      <c r="B202" s="92"/>
    </row>
    <row r="203" spans="1:2" ht="12.75" customHeight="1">
      <c r="B203" s="92"/>
    </row>
    <row r="204" spans="1:2" ht="12.75" customHeight="1"/>
    <row r="205" spans="1:2" ht="12.75" customHeight="1"/>
    <row r="206" spans="1:2" ht="12.75" customHeight="1"/>
    <row r="207" spans="1:2" ht="12.75" customHeight="1"/>
  </sheetData>
  <mergeCells count="1">
    <mergeCell ref="A2:C2"/>
  </mergeCells>
  <phoneticPr fontId="49" type="noConversion"/>
  <printOptions horizontalCentered="1"/>
  <pageMargins left="0.23611111111111099" right="0.23611111111111099" top="0.74791666666666701" bottom="0.74791666666666701" header="0.511811023622047" footer="0.511811023622047"/>
  <pageSetup paperSize="9" scale="52" orientation="portrait" horizontalDpi="300" verticalDpi="300" r:id="rId1"/>
  <rowBreaks count="1" manualBreakCount="1">
    <brk id="95" max="2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계약리스트</vt:lpstr>
      <vt:lpstr>계약서</vt:lpstr>
      <vt:lpstr>이용약관</vt:lpstr>
      <vt:lpstr>계약서!Print_Area</vt:lpstr>
      <vt:lpstr>이용약관!Print_Area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HWANG</dc:creator>
  <dc:description/>
  <cp:lastModifiedBy>유주 박</cp:lastModifiedBy>
  <cp:revision>0</cp:revision>
  <cp:lastPrinted>2026-04-23T08:28:27Z</cp:lastPrinted>
  <dcterms:created xsi:type="dcterms:W3CDTF">2022-02-09T13:46:00Z</dcterms:created>
  <dcterms:modified xsi:type="dcterms:W3CDTF">2026-04-24T04:02:43Z</dcterms:modified>
  <dc:language>en-US</dc:language>
</cp:coreProperties>
</file>