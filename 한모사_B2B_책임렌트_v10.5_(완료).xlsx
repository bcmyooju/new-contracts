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wlsy\Downloads\이륜차_계약서_작업\"/>
    </mc:Choice>
  </mc:AlternateContent>
  <xr:revisionPtr revIDLastSave="0" documentId="13_ncr:1_{AEE3B320-59C8-48DA-8F0D-6B4D1037B7BF}" xr6:coauthVersionLast="47" xr6:coauthVersionMax="47" xr10:uidLastSave="{00000000-0000-0000-0000-000000000000}"/>
  <bookViews>
    <workbookView xWindow="-108" yWindow="-108" windowWidth="30936" windowHeight="16776" tabRatio="500" activeTab="4" xr2:uid="{00000000-000D-0000-FFFF-FFFF00000000}"/>
  </bookViews>
  <sheets>
    <sheet name="계약리스트" sheetId="1" r:id="rId1"/>
    <sheet name="계약서" sheetId="2" r:id="rId2"/>
    <sheet name="이용약관" sheetId="3" r:id="rId3"/>
    <sheet name="별지_구상금" sheetId="4" r:id="rId4"/>
    <sheet name="별지_단가표" sheetId="5" r:id="rId5"/>
  </sheets>
  <definedNames>
    <definedName name="_xlnm.Print_Area" localSheetId="1">계약서!$A$1:$K$56</definedName>
    <definedName name="_xlnm.Print_Area" localSheetId="3">별지_구상금!$A$1:$I$41</definedName>
    <definedName name="_xlnm.Print_Area" localSheetId="4">별지_단가표!$A$1:$I$17</definedName>
    <definedName name="_xlnm.Print_Area" localSheetId="2">이용약관!$A$1:$D$153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C23" i="2"/>
  <c r="I22" i="2"/>
  <c r="F22" i="2"/>
  <c r="C22" i="2"/>
  <c r="I21" i="2"/>
  <c r="F21" i="2"/>
  <c r="C21" i="2"/>
  <c r="C17" i="2"/>
  <c r="I16" i="2"/>
  <c r="F16" i="2"/>
  <c r="C16" i="2"/>
  <c r="D153" i="3" s="1"/>
  <c r="F12" i="2"/>
  <c r="C12" i="2"/>
  <c r="I11" i="2"/>
  <c r="F11" i="2"/>
  <c r="C11" i="2"/>
  <c r="B153" i="3" s="1"/>
  <c r="C8" i="2"/>
  <c r="I7" i="2"/>
  <c r="F7" i="2"/>
  <c r="C7" i="2"/>
  <c r="I6" i="2"/>
  <c r="F6" i="2"/>
  <c r="C6" i="2"/>
  <c r="AB2" i="1"/>
  <c r="C52" i="2" l="1"/>
  <c r="H52" i="2"/>
  <c r="C37" i="4"/>
  <c r="C39" i="4"/>
</calcChain>
</file>

<file path=xl/sharedStrings.xml><?xml version="1.0" encoding="utf-8"?>
<sst xmlns="http://schemas.openxmlformats.org/spreadsheetml/2006/main" count="511" uniqueCount="468">
  <si>
    <t>구상금 관련 특약 확인서</t>
  </si>
  <si>
    <t>본 별지는 이륜차 책임렌트 계약(B2B)에 부속되며 본 계약서 본문과 동일한 효력을 가집니다.</t>
  </si>
  <si>
    <t>본인(계약자 및 연대보증인)은 본 계약과 관련하여 발생할 수 있는 "구상금"의 책임 범위, 변제 기한, 미변제 시 회사의 조치 사항에 대하여 별도로 충분히 설명 듣고 이해하였으며, 아래 내용 전부에 동의합니다.</t>
  </si>
  <si>
    <t>제1조  구상금의 정의</t>
  </si>
  <si>
    <t>"구상금"이란 본 계약 차량의 운행 중 발생한 사고로 보험사 또는 제3자가 회사에 청구하는 금액 일체를 말하며, 원금·지연이자·소송비용·변호사비 등 회사가 그와 관련하여 지출한 모든 비용을 포함한다.</t>
  </si>
  <si>
    <t>제2조  구상금이 발생하는 주요 사유</t>
  </si>
  <si>
    <t>다음 각 호에 해당하는 사고로 회사가 구상금을 청구받는 경우 그 책임은 전적으로 계약자에게 있다.</t>
  </si>
  <si>
    <t>①</t>
  </si>
  <si>
    <t>운행자성</t>
  </si>
  <si>
    <t>회사는 차량 소유자이나 자동차손해배상보장법상 운행자가 아니다. 운행자성은 전적으로 계약자(배달대행사)에게 있으며, 보험사가 회사에 청구하는 구상금은 계약자가 전액 부담한다.</t>
  </si>
  <si>
    <t>②</t>
  </si>
  <si>
    <t>사고 미고지 위반</t>
  </si>
  <si>
    <t>사고 발생 시 즉시 회사에 고지하지 아니하거나 지연·허위 고지로 발생하는 미보장 손해와 회사에 청구되는 구상금 일체를 계약자가 부담한다.</t>
  </si>
  <si>
    <t>③</t>
  </si>
  <si>
    <t>사용자(라이더) 관리 책임</t>
  </si>
  <si>
    <t>계약자가 사용자(라이더)의 신원·면허·보험연령·음주여부 등 운행자격 관리를 해태하여 발생한 사고·손해·구상금은 계약자가 전적으로 책임진다.</t>
  </si>
  <si>
    <t>④</t>
  </si>
  <si>
    <t>보험연령 미달자 운전</t>
  </si>
  <si>
    <t>보험연령 미달자가 본 차량을 운행하여 발생한 사고·손해·구상금은 회사의 신원·연령 확인 여부와 관계없이 계약자가 책임진다.</t>
  </si>
  <si>
    <t>⑤</t>
  </si>
  <si>
    <t>12대 중과실·면책사고</t>
  </si>
  <si>
    <t>신호위반·중앙선침범 등 12대 중과실 또는 보험약관상 면책사항에 해당하는 사고로 발생한 구상금은 계약자가 전액 부담한다.</t>
  </si>
  <si>
    <t>⑥</t>
  </si>
  <si>
    <t>무면허·음주·약물 운전</t>
  </si>
  <si>
    <t>무면허·음주·약물 영향 하의 운전 및 운전자 자격 미충족자의 운행으로 발생한 사고·구상금은 계약자가 전적으로 책임진다.</t>
  </si>
  <si>
    <t>⑦</t>
  </si>
  <si>
    <t>보험 보장 한도 초과</t>
  </si>
  <si>
    <t>대물배상 한도 초과분·대인배상Ⅱ 한도 초과분 등 보험사 보장 한도를 초과하는 손해는 계약자가 전액 부담한다.</t>
  </si>
  <si>
    <t>⑧</t>
  </si>
  <si>
    <t>기타 보험약관상 면책사유</t>
  </si>
  <si>
    <t>운전자 범위 위반·사고 후 도주·고의 사고·유상운송 부적합 보험·차량 무단 양도·전대·무보험 운행 등 보험약관상 면책사유에 해당하는 일체의 손해를 계약자가 전적으로 책임진다.</t>
  </si>
  <si>
    <t>제3조  구상금의 변제 기한</t>
  </si>
  <si>
    <t>회사가 보험사 또는 제3자로부터 구상금을 청구받았다는 사실을 계약자에게 통보한 날로부터 7일 이내에, 계약자는 구상금 전액 및 회사가 지출한 변호사비·소송비 일체를 회사에 변제하여야 한다.</t>
  </si>
  <si>
    <t>제4조  미변제 시 즉시 처리</t>
  </si>
  <si>
    <t>제3조의 변제 기한 내에 계약자가 구상금을 변제하지 않는 경우 본 계약은 사전 통지·최고 없이 해지되며, 회사는 다음 각 호의 조치를 동시에 또는 순차적으로 취할 수 있다.</t>
  </si>
  <si>
    <t>차량 즉시 회수</t>
  </si>
  <si>
    <t>회수에 소요된 일체의 비용(출장비·운송비·원상복구비 포함)은 계약자가 부담한다.</t>
  </si>
  <si>
    <t>보증금 전액 미반환</t>
  </si>
  <si>
    <t>계약자의 귀책으로 본 계약이 해지되는 경우 보증금은 반환되지 아니한다.</t>
  </si>
  <si>
    <t>위약금·손해배상금 청구</t>
  </si>
  <si>
    <t>위약금은 [잔여기간 총 렌트료 × 20%]로 산정하며, 기납부 보증금은 이와 별도로 계약 위반에 대한 위약벌로서 회사에 귀속되어 반환하지 않는다.</t>
  </si>
  <si>
    <t>연 15% 지연손해금</t>
  </si>
  <si>
    <t>미변제 금액에 대하여 연 15%의 지연손해금을 변제일까지 가산한다.</t>
  </si>
  <si>
    <t>신용정보 등록·채권추심</t>
  </si>
  <si>
    <t>계약자에게 통지한 후 관련 법령이 정하는 절차에 따라 신용정보회사·신용정보집중기관에 채무불이행 사실을 등록하거나 채권추심 전문기관에 추심을 위임할 수 있다.</t>
  </si>
  <si>
    <t>계열사 계약 동시 해지</t>
  </si>
  <si>
    <t>회사 또는 계열사(포어스바이크 유한회사 포함)와 체결한 다른 이륜차 계약도 동시 해지하고 차량을 일괄 회수할 수 있다.</t>
  </si>
  <si>
    <t>민·형사상 법적 조치</t>
  </si>
  <si>
    <t>계약자 및 연대보증인에 대하여 민·형사상 모든 법적 조치를 취할 수 있다.</t>
  </si>
  <si>
    <t>본인(계약자·연대보증인)은 위 특약 내용(제1조 ~ 제4조) 전부를 충분히 설명 듣고 이해하였으며, 본 특약에 동의함을 확인합니다.</t>
  </si>
  <si>
    <t>계약자</t>
  </si>
  <si>
    <t>(인)</t>
  </si>
  <si>
    <t>연대보증인</t>
  </si>
  <si>
    <t>공급자</t>
  </si>
  <si>
    <t>한국모터사이클리스 유한회사</t>
  </si>
  <si>
    <t>계약번호</t>
  </si>
  <si>
    <t>출고일자</t>
  </si>
  <si>
    <t>차종</t>
  </si>
  <si>
    <t>차대번호</t>
  </si>
  <si>
    <t>차량번호</t>
  </si>
  <si>
    <t>색상</t>
  </si>
  <si>
    <t>정비여부</t>
  </si>
  <si>
    <t>보험연령</t>
  </si>
  <si>
    <t>일사용료</t>
  </si>
  <si>
    <t>사용일수</t>
  </si>
  <si>
    <t>보증금</t>
  </si>
  <si>
    <t>사업장 업체명</t>
  </si>
  <si>
    <t>사업자번호</t>
  </si>
  <si>
    <t>대표자명</t>
  </si>
  <si>
    <t>업체주소</t>
  </si>
  <si>
    <t>사업장 연락처</t>
  </si>
  <si>
    <t>사업장 이메일</t>
  </si>
  <si>
    <t>대표자 주민번호</t>
  </si>
  <si>
    <t>대표자 연락처</t>
  </si>
  <si>
    <t>대표자 주소</t>
  </si>
  <si>
    <t>계약유형</t>
  </si>
  <si>
    <t>상품유형</t>
  </si>
  <si>
    <t>납입방법</t>
  </si>
  <si>
    <t>납입계좌</t>
  </si>
  <si>
    <t>요금결제일</t>
  </si>
  <si>
    <t>사업자유형</t>
  </si>
  <si>
    <t>법인등록번호</t>
  </si>
  <si>
    <t>계산서 발행 주기</t>
  </si>
  <si>
    <t>2026-04-24</t>
  </si>
  <si>
    <t>UHR150</t>
  </si>
  <si>
    <t>LWMTDKH95THJ00467</t>
  </si>
  <si>
    <t>1나88370</t>
  </si>
  <si>
    <t>화이트</t>
  </si>
  <si>
    <t>비포함</t>
  </si>
  <si>
    <t>만30세</t>
  </si>
  <si>
    <t>중앙 오토바이 가수점</t>
  </si>
  <si>
    <t>737-55-00719</t>
  </si>
  <si>
    <t>안종식</t>
  </si>
  <si>
    <t>경기도 오산시 가장로 763, 1층 5,6호(가수동)</t>
  </si>
  <si>
    <t>010-5813-7336</t>
  </si>
  <si>
    <t>jungang@example.com</t>
  </si>
  <si>
    <t>820530-1046518</t>
  </si>
  <si>
    <t>경기도 오산시 궐동로 77, 1층(궐동)</t>
  </si>
  <si>
    <t>렌트</t>
  </si>
  <si>
    <t>인수형</t>
  </si>
  <si>
    <t>계좌이체</t>
  </si>
  <si>
    <t>기업은행 929-028075-04-011 포어스바이크(유)</t>
  </si>
  <si>
    <t>월2회(15일,말일)</t>
  </si>
  <si>
    <t>개인사업자</t>
  </si>
  <si>
    <t>계약번호입력→</t>
  </si>
  <si>
    <t>이륜차 책임렌트 계약서</t>
  </si>
  <si>
    <t>■ 차량 정보</t>
  </si>
  <si>
    <t>계약일자</t>
  </si>
  <si>
    <t>※ 본 차량은 위 보험연령 이상의 운전자만 운행 가능. 미달자 운전 사고 시 발생하는 모든 손해·구상금은 계약자가 전적으로 책임집니다.</t>
  </si>
  <si>
    <t>■ 계약자</t>
  </si>
  <si>
    <t>업체명</t>
  </si>
  <si>
    <t>연락처</t>
  </si>
  <si>
    <t>※ 제출서류: 사업자등록증 사본, 대표자 신분증 사본</t>
  </si>
  <si>
    <t>■ 연대보증인</t>
  </si>
  <si>
    <t>성명</t>
  </si>
  <si>
    <t>주민등록번호</t>
  </si>
  <si>
    <t>주소</t>
  </si>
  <si>
    <t>※ 법인사업자의 경우 법인대표 개인 | 제출서류: 신분증 사본 | 보증 기한: 2년 | 보증 한도: 전체 이용료의 130%</t>
  </si>
  <si>
    <t>■ 계약 조건</t>
  </si>
  <si>
    <t>렌트 기간</t>
  </si>
  <si>
    <t>일사용료
(VAT포함)</t>
  </si>
  <si>
    <t>청구시작일</t>
  </si>
  <si>
    <t>■ 회사 정보</t>
  </si>
  <si>
    <t>상호</t>
  </si>
  <si>
    <t>647-86-03800</t>
  </si>
  <si>
    <t>대표이사</t>
  </si>
  <si>
    <t>김현수</t>
  </si>
  <si>
    <t>경기도 수원시 권선구 입북로59번길 15</t>
  </si>
  <si>
    <t>고객센터</t>
  </si>
  <si>
    <t>031-296-7845</t>
  </si>
  <si>
    <t>⚠ 주요 확인사항 (서명 전 필독)</t>
  </si>
  <si>
    <t>회사는 본 차량의 소유자이나 자동차손해배상보장법상 "운행자"가 아니며, 운행자성(운행지배·운행이익)은 전적으로 계약자에게 있습니다. 따라서 운행 중 발생하는 모든 인적·물적 손해의 운행자 책임은 계약자가 부담합니다.</t>
  </si>
  <si>
    <t>사고 즉시 고지 의무</t>
  </si>
  <si>
    <t>계약자(배달대행사)는 본 차량을 운행하는 사용자(라이더)의 신원·면허·보험연령·음주여부 등 운행자격을 직접 관리할 의무가 있습니다. 회사는 사용자의 신원·자격·연령을 사전에 확인할 의무가 없으며, 사용자가 일으킨 사고·손해·보험사 구상금은 사용자의 행위라 하더라도 관리·감독을 해태한 계약자가 전적으로 책임집니다(보험연령 미달자 운전, 무면허, 음주, 12대 중과실 등 면책사고 포함).</t>
  </si>
  <si>
    <t>신호위반·중앙선침범·무면허·음주운전 등 12대 중과실 또는 보험약관상 면책사항(고의·약물·범죄·운행자 범위 외 운전·도난중 운행 등)에 해당하는 사고로 회사에 보험사 구상금이 청구되는 경우, 계약자는 통보 후 7일 이내에 전액 변제하여야 합니다.</t>
  </si>
  <si>
    <t>구상금</t>
  </si>
  <si>
    <t>본 약관상 "구상금"이란 본 계약 차량 운행 중 발생한 사고로 보험사 또는 제3자가 회사에 청구하는 금액 일체를 말합니다. 운행자성·사고 미고지·사용자(라이더) 관리 책임·보험연령 미달자 운전·12대 중과실·면책사고·보험사 보장 한도 초과 손해 등 어떠한 사유로든 회사에 구상금이 청구되는 경우, 계약자는 통보일로부터 7일 이내에 구상금 전액 및 회사가 그와 관련하여 지출한 변호사비·소송비 일체를 회사에 변제하여야 합니다.</t>
  </si>
  <si>
    <t>미변제 시 즉시 처리</t>
  </si>
  <si>
    <r>
      <rPr>
        <b/>
        <sz val="8"/>
        <color rgb="FFC00000"/>
        <rFont val="맑은 고딕"/>
        <family val="3"/>
        <charset val="129"/>
      </rPr>
      <t xml:space="preserve">위 구상금 또는 본 계약상 모든 채무를 기한 내 변제하지 않는 경우 본 계약은 사전 통지·최고 없이 해지되며, 회사는 (1) 차량을 즉시 임의 회수하고 회수에 소요된 일체의 비용(출장비·운송비·원상복구비 포함)을 계약자에게 청구하며, (2) 보증금은 </t>
    </r>
    <r>
      <rPr>
        <b/>
        <u/>
        <sz val="8"/>
        <color rgb="FFFF0000"/>
        <rFont val="맑은 고딕"/>
        <family val="3"/>
        <charset val="129"/>
      </rPr>
      <t>계약자의 귀책으로 본 계약이 해지되는 경우</t>
    </r>
    <r>
      <rPr>
        <b/>
        <sz val="8"/>
        <color rgb="FFC00000"/>
        <rFont val="맑은 고딕"/>
        <family val="3"/>
        <charset val="129"/>
      </rPr>
      <t xml:space="preserve"> 반환하지 않고, (3) 위약금[잔여기간 총 렌트료 × 20%] 및 손해배상금을 별도 청구하며, (4) 미변제 금액에 대하여 연 15%의 지연손해금을 변제일까지 가산하고, (5) 계약자에게 통지한 후 관련 법령이 정하는 절차에 따라 신용정보회사·신용정보집중기관에 채무불이행 사실을 등록하거나 채권추심 전문기관에 추심을 위임할 수 있으며, (6) 회사 또는 회사의 계열사(포어스바이크 유한회사 포함)와 체결한 다른 이륜차 계약도 동시에 해지하고 해당 차량들도 일괄 회수할 수 있고, (7) 계약자 및 연대보증인에 대하여 민·형사상 모든 법적 조치를 취할 수 있습니다.</t>
    </r>
  </si>
  <si>
    <t>계열사 미납 교차 적용</t>
  </si>
  <si>
    <t>계약자가 회사 또는 회사의 계열사(포어스바이크 유한회사 포함)와 체결한 모든 이륜차 계약은 미수금 발생 시 상호 영향을 미칩니다. 포어스바이크에서 발생한 미수금은 본 계약에, 본 계약에서 발생한 미수금은 포어스바이크 계약에 동일하게 작용하며, 미수금이 7일 이상 지속되는 경우 어느 회사든 자사 계약을 해지하고 차량을 즉시 회수할 수 있습니다. 본 조 적용을 위하여 계약자는 회사와 포어스바이크 간 미수금·계약·결제 관련 정보 공유에 동의합니다. 공유 항목은 사업자등록번호, 미수금 금액·발생일, 연대보증인 성명·연락처에 한하며, 보유기간은 미수금 변제일까지로 합니다.</t>
  </si>
  <si>
    <t>보증금 처리</t>
  </si>
  <si>
    <t>계약 취소·중도 해지 시 보증금은 반환되지 않으며, 위약금 및 손해배상금은 별도로 청구됩니다.</t>
  </si>
  <si>
    <t>수납 방식 및 계산서</t>
  </si>
  <si>
    <t>본 계약 모든 대금은 수납대행사 포어스바이크(유) 명의 계좌로 직접 입금되며, 타 계좌 입금 시 수납이 확인되지 않을 수 있습니다. 세금계산서는 한국모터사이클리스 유한회사 명의로 발행되며, 발행 주기는 결제 주기와 동일합니다(월1회 결제 → 월1회 발행, 월2회 결제 → 월2회 발행).</t>
  </si>
  <si>
    <t>■ 개인(신용)정보 수집·이용, 금융거래정보 제공, 업무위탁 동의</t>
  </si>
  <si>
    <t>수집·이용 목적</t>
  </si>
  <si>
    <t>거래관계 설정·유지, 상품 제공, 법령상 의무이행, 분쟁처리, 차량 분실 방지, 사고 대응, 보험사고 처리, 채권 관리 등 계약 이행 전반</t>
  </si>
  <si>
    <t>수집 항목</t>
  </si>
  <si>
    <t>사업장 상호·사업자번호·주소·연락처·이메일, 대표자 성명·주민등록번호·휴대전화번호·주소, 거래계좌 정보, 차량 위치정보(FMS 수집 포함)</t>
  </si>
  <si>
    <t>보유·이용 기간</t>
  </si>
  <si>
    <t>수집 목적 달성 후 파기. 단, 전자상거래법 등 관련 법령에 따라 계약·결제 기록 5년, 불량이용자 재가입 방지 기록 해지 후 1년 보존</t>
  </si>
  <si>
    <t>금융거래정보 제공</t>
  </si>
  <si>
    <t>신용카드·자동이체 등록·해지 시까지 회사 및 결제대행사에 거래정보 제공 (금융실명법에 따라 동의)</t>
  </si>
  <si>
    <t>자동이체 동의</t>
  </si>
  <si>
    <t>매월 발생하는 렌트료, 보증금, 위약금, 과태료, 범칙금, 보험사 구상금 등을 신용카드 자동승인 또는 계좌 자동이체로 출금 거래 신청</t>
  </si>
  <si>
    <t>업무위탁 내역</t>
  </si>
  <si>
    <t xml:space="preserve">상기 "개인(신용)정보 수집·이용·제공 동의", "금융거래정보 제공 동의", "업무위탁 동의"에 대하여       □ 동의안함       □ 전부 동의함 </t>
  </si>
  <si>
    <t>■ 계약 체결</t>
  </si>
  <si>
    <t>본인은 본 이륜차 책임렌트 계약서와 이용약관의 내용을 전부 설명 듣고 확인하였으며, 본 계약에 따른 권리·의무와 운행자성·보험연령·사고 고지·면책사고 책임 등 제반 사항에 이의 없이 동의합니다.</t>
  </si>
  <si>
    <t>한국모터사이클리스 (유)</t>
  </si>
  <si>
    <t>■ 자동이체 신청 정보</t>
  </si>
  <si>
    <t>신용카드사명</t>
  </si>
  <si>
    <t>카드번호</t>
  </si>
  <si>
    <t>유효기간</t>
  </si>
  <si>
    <t>은행명</t>
  </si>
  <si>
    <t>계좌번호</t>
  </si>
  <si>
    <t>예금주명</t>
  </si>
  <si>
    <t>이륜차 책임렌트 계약 이용약관</t>
  </si>
  <si>
    <t>제1조 (목적)</t>
  </si>
  <si>
    <t>제8조 (지연손해금 및 처리 지체 위약금)</t>
  </si>
  <si>
    <t>이 약관은 한국모터사이클리스 유한회사(이하 "회사")와 본 계약을 체결한 계약자 간의 이륜차 렌트에 관</t>
  </si>
  <si>
    <t>① 계약자가 계약상 약정된 채무를 기한 내 이행하지 않는 경우 위약금이 발생하며, 위약금 발생 시 회사</t>
  </si>
  <si>
    <t>한 권리·의무를 규정함을 목적으로 한다.</t>
  </si>
  <si>
    <t>청구일로부터 7일 이내에 지급한다.</t>
  </si>
  <si>
    <t>② "지연손해금"이란, 계약자가 렌트료·해지위약금·수리비·과태료 등 회사에 지급할 금액의 납부를 지체한</t>
  </si>
  <si>
    <t>제2조 (용어의 정의)</t>
  </si>
  <si>
    <t>경우 발생하는 금원을 말하며, 다음 산식에 따라 산정한다.</t>
  </si>
  <si>
    <t>① "이륜차 렌트 계약"이란, 회사가 계약자의 요청에 따라 이륜차를 취득하여 일정 기간 사용하게 하고 그</t>
  </si>
  <si>
    <t>[지연손해금 = 연체금액 × 경과일수 × 연 15%]</t>
  </si>
  <si>
    <t>대가를 정기적으로 지급받는 계약을 말한다.</t>
  </si>
  <si>
    <t>③ "처리 지체 위약금"이란, 계약만료·해지 후 명의이전·사용폐지·이륜차 반환 등 처리절차의 지체로 회사</t>
  </si>
  <si>
    <t>② "이륜차"란, 회사가 본 계약서에 특정한 이륜차로서 인도 시 부착된 부속품·장착물을 포함한다.</t>
  </si>
  <si>
    <t>에 발생하는 비용 및 위약을 보전하는 금원을 말하며, 다음 각 호를 합산하여 산정한다.</t>
  </si>
  <si>
    <t>③ "계약기간"이란, 계약자가 본 계약에 따라 이륜차를 인도받아 사용하는 기간을 말한다.</t>
  </si>
  <si>
    <t>1. 반납형 또는 인수형(미완납) 계약: 사용수익 상실액[(일사용료 × 1.2) × 지체일수]</t>
  </si>
  <si>
    <t>④ "보증금"이란, 렌트료 등 본 계약상 채무이행을 담보하기 위해 계약자가 회사에 납부하는 금원을 말하</t>
  </si>
  <si>
    <t>2. 인수형(완납 후) 계약의 명의이전 지체: 차량 배기량·보험연령별 1일 단가 × 지체일수 [별지 보험상품</t>
  </si>
  <si>
    <t>며, 계약기간 만료 및 모든 채무 이행 완료 시 반환한다.</t>
  </si>
  <si>
    <t>단가표]</t>
  </si>
  <si>
    <t>⑤ "계약자"는 본 계약 1면에 "계약자"로 기재된 사업장을 말하며, 본 계약상 모든 채무를 부담한다.</t>
  </si>
  <si>
    <t>위 각 호와 별도로, 회사가 실제 부담한 의무보험 미가입 과태료·사용폐지/이전등록 신고지연 과태료·자동</t>
  </si>
  <si>
    <t>⑥ "연대보증인"이란, 본 계약 1면에 기재되어 계약자와 연대하여 모든 채무를 부담하는 자를 말한다.</t>
  </si>
  <si>
    <t>차세 등 명의 유지 제세공과금은 합산 청구한다.</t>
  </si>
  <si>
    <t>⑦ "사용자"란, 계약자가 지정·관리하는 자로서 실제로 이륜차를 운행하는 자를 말한다.</t>
  </si>
  <si>
    <t>⑧ "보험연령"이란, 본 계약 차량 보험에서 운전자로 보장 가능한 최저연령(본 계약 1면 기재 만 나이)을</t>
  </si>
  <si>
    <t>제9조 (연대보증인의 책임)</t>
  </si>
  <si>
    <t>말한다.</t>
  </si>
  <si>
    <t>① 연대보증인은 렌트료 지급채무를 포함하여 계약자가 회사에 부담하는 일체의 채무를 보증하며, 계약</t>
  </si>
  <si>
    <t>⑨ "위약금"이란, 계약자의 귀책사유로 주문 취소 또는 중도 해지 시 회사에 지급하여야 하는 금액을 말한</t>
  </si>
  <si>
    <t>자와 연대하여 그 채무를 이행한다.</t>
  </si>
  <si>
    <t>다.</t>
  </si>
  <si>
    <t>② 계약자가 회사 동의 없이 본 계약상 채무를 제3자에게 인수·승계시킨 경우에도 연대보증인은 채무가</t>
  </si>
  <si>
    <t>⑩ "구상금"이란, 본 계약 차량 운행 중 발생한 사고로 인해 보험사가 회사에 청구한 금액 일체를 말한다.</t>
  </si>
  <si>
    <t>전액 변제될 때까지 보증채무를 부담한다.</t>
  </si>
  <si>
    <t>⑪ "책임보험"이란 자동차손해배상보장법상 의무보험(대인배상Ⅰ·대물배상)을, "종합보험"이란 책임보험에</t>
  </si>
  <si>
    <t>③ 연대보증인은 계약자의 미변제 채무가 남아있는 경우 계약자의 채무를 회사보다 먼저 변제 받을 권리</t>
  </si>
  <si>
    <t>대인배상Ⅱ를 추가 담보하는 보험을 말한다.</t>
  </si>
  <si>
    <t>를 행사할 수 없다.</t>
  </si>
  <si>
    <t>⑫ "미수선처리"란, 사고 발생 시 계약자가 차량을 수리하지 아니하고 임의로 수리비 전부 또는 일부 금액</t>
  </si>
  <si>
    <t>④ 보험연령 변경 등 일부 계약 내용 변경 시 연대보증인이 별도 서명·날인하지 않더라도 동의한 것으로</t>
  </si>
  <si>
    <t>을 현금으로 지급받는 행위를 말한다.</t>
  </si>
  <si>
    <t>본다. 변경 내용이 연대보증인에게 불리한 경우 계약자는 즉시 통지하여야 하며, 14일 이내 이의 제기 시</t>
  </si>
  <si>
    <t>⑬ "플랫폼 일차감 프로그램"이란, 계약자가 가맹중인 배달플랫폼 본사와 회사 간의 제휴계약이 체결되어</t>
  </si>
  <si>
    <t>회사는 새 보증인의 추가·교체를 요구할 수 있다.</t>
  </si>
  <si>
    <t>있는 경우 해당 플랫폼사의 페이를 통해 렌트료·과태료 등 납부가 가능한 전산 시스템을 말한다.</t>
  </si>
  <si>
    <t>⑤ 계약자가 법인인 경우 본 계약 1면에 기재된 법인대표가 연대보증인이 된다. 개인사업자의 경우 사업</t>
  </si>
  <si>
    <t>자 본인이 채무자이므로 별도의 연대보증인을 두지 않는다.</t>
  </si>
  <si>
    <t>제3조 (서류 제출 및 이륜차 인도)</t>
  </si>
  <si>
    <t>① 계약자는 본 계약 체결에 필요한 서류를 회사에 제출하여야 하며, 보완 요구에도 성실히 응한다.</t>
  </si>
  <si>
    <t>제10조 (보험계약의 체결 및 관리)</t>
  </si>
  <si>
    <t>제출된 서류는 어떠한 경우에도 반환하지 않는다.</t>
  </si>
  <si>
    <t>① 회사는 이륜차 출고 시 계약자가 요청하는 보험연령에 따라 책임보험(대인배상Ⅰ·대물배상)에 가입하며,</t>
  </si>
  <si>
    <t xml:space="preserve">② 회사는 청구시작일부터 회사가 지정한 장소에 이륜차를 인도하며, 해당 날짜부터 계약이 개시된다. 인도 </t>
  </si>
  <si>
    <t>종합보험은 가입하지 않는다. 본 책임보험의 보장 한도는 보험사 약관 및 보험증권에 따르며, 보장 한도</t>
  </si>
  <si>
    <t>이후에는 계약자는 이륜차의 하자·결함을 이유로 렌트료 지급의무를 거부할 수 없다.</t>
  </si>
  <si>
    <t>를 초과하는 손해(대물 손해 한도 초과분·대인 한도 초과분 등)는 전적으로 계약자가 부담하며, 보험료는</t>
  </si>
  <si>
    <t>③ 출고 당일 단순 변심에 의한 취소 시, 계약자는 차량 회수 비용 일체 및 위약금 10만 원을 회사에 지급</t>
  </si>
  <si>
    <t>회사가 납부한다.</t>
  </si>
  <si>
    <t>한다.</t>
  </si>
  <si>
    <t>② 렌트료·과태료 등 미수금이 있을 경우 보험연령 변경이 불가하다. 보험사 정책상 보험 연령 변경이 불</t>
  </si>
  <si>
    <t>가능한 경우 회사는 계약자에게 즉시 통지한다.</t>
  </si>
  <si>
    <t>제4조 (소유권 유보 및 이전)</t>
  </si>
  <si>
    <t>③ 보험연령 변경에 따라 렌트료가 변경될 경우 본 차량 최초 계약 당시 단가표 기준으로 적용된다. 보험</t>
  </si>
  <si>
    <t>① 본 계약에 따른 이륜차의 소유권은 계약자가 모든 채무를 전액 이행할 때까지 회사에 유보된다.</t>
  </si>
  <si>
    <t>사 정책상 고가의 보험료를 수취하는 경우 보험사 보험료 정책에 따라 고가의 렌트료가 적용될 수 있다.</t>
  </si>
  <si>
    <t>② 인수형 계약의 경우, 계약자가 모든 채무를 완전히 이행한 때 회사는 회사의 내부 행정 절차에 따라 이</t>
  </si>
  <si>
    <t>④ 계약 해지 사유 발생 시 회사는 보험을 해지할 수 있으며, 이로 인해 발생하는 보험환급금은 회사에</t>
  </si>
  <si>
    <t>륜차의 소유권을 계약자에게 이전한다.</t>
  </si>
  <si>
    <t>귀속되고 계약자는 이에 대한 추가 환급을 청구할 수 없다.</t>
  </si>
  <si>
    <t>③ 반납형 계약의 경우 이륜차의 소유권은 계약 종료 후에도 회사에 귀속된다.</t>
  </si>
  <si>
    <t>⑤ 회사는 계약기간과 일치하게 보험계약을 체결한다. 계약 종료일 이후 무보험 상태에서 운행하여 손해</t>
  </si>
  <si>
    <t>④ 인수형 계약이라 하더라도 계약기간 만료 및 약정 금액의 완납 전에는 계약자는 이륜차의 소유권을 주</t>
  </si>
  <si>
    <t>가 발생하면 계약자가 배상책임 및 민·형사상 책임을 진다.</t>
  </si>
  <si>
    <t>장할 수 없다.</t>
  </si>
  <si>
    <t>제11조 (운행자성 및 운행지배)</t>
  </si>
  <si>
    <t>제5조 (보증금 및 계약금)</t>
  </si>
  <si>
    <t>① 본 계약 차량의 소유권은 회사에 있으나, 회사는 자동차손해배상보장법 제3조에서 정한 "자기를 위하여</t>
  </si>
  <si>
    <t>① 계약자는 계약 체결 시 회사가 지정하는 수납대행사(포어스바이크 유한회사) 계좌로 보증금을 지급한</t>
  </si>
  <si>
    <t>자동차를 운행하는 자"(이하 "운행자")에 해당하지 않는다. 회사는 본 계약 차량에 대한 운행지배 및 운행</t>
  </si>
  <si>
    <t>다. 사전 동의를 받아 보증금 지급이 지연된 경우 회사는 최대 7일의 유예기간을 둘 수 있다.</t>
  </si>
  <si>
    <t>이익을 갖지 않는다.</t>
  </si>
  <si>
    <t>② 전항의 유예기간 내 미지급 시 본 계약은 사전 통지·최고 없이 해지될 수 있으며, 계약자는 즉시 이륜차</t>
  </si>
  <si>
    <t>② 본 계약 차량의 운행자는 계약자이며, 운행 중 발생하는 모든 인적·물적 손해에 대한 운행자 책임은 전</t>
  </si>
  <si>
    <t>를 반환함과 동시에 (1) 인도일부터 반환일까지 일할 사용료, (2) 감가손실액, (3) 차량 등록비·번호판·보험</t>
  </si>
  <si>
    <t>적으로 계약자가 부담한다. 계약자가 사용자에게 차량을 운행하게 한 경우에도 운행자성은 여전히 계약</t>
  </si>
  <si>
    <t>료 등 회사가 이미 지출한 부대비용 일체를 배상한다.</t>
  </si>
  <si>
    <t>자에게 있다.</t>
  </si>
  <si>
    <t>③ 보증금은 계약기간 만료 및 모든 채무 이행 완료 시 반환한다. 다만, 미납 과태료·수리비·구상금 등이 확</t>
  </si>
  <si>
    <t>③ 제3자가 회사를 상대로 운행자 책임을 청구하는 경우 계약자는 자신의 비용·책임으로 회사를 면책시켜</t>
  </si>
  <si>
    <t>인될 수 있어 만료일로부터 1개월 경과 후 반환한다.</t>
  </si>
  <si>
    <t>야 하며, 회사가 부득이 배상한 경우 그 금액·관련 비용 일체를 즉시 회사에 상환하여야 한다.</t>
  </si>
  <si>
    <t>④ 미납 과태료·범칙금은 보증금에서 공제하고 잔액을 반환하며, 초과분은 계약자가 추가 납부한다.</t>
  </si>
  <si>
    <t>④ 계약자가 본 계약 차량을 사용자에게 운행하게 한 경우에도 운행자성은 여전히 계약자에게 있으며, 사</t>
  </si>
  <si>
    <t>⑤ 계약이 중도 해지된 경우 보증금은 반환하지 않으며, 위약금 및 손해배상금은 별도로 청구한다.</t>
  </si>
  <si>
    <t>용자가 일으킨 사고·손해·구상금은 사용자의 행위라 하더라도 관리·감독을 해태한 계약자가 전적으로 책</t>
  </si>
  <si>
    <t>임진다.</t>
  </si>
  <si>
    <t>제6조 (렌트료 및 결제)</t>
  </si>
  <si>
    <t xml:space="preserve">① 계약자는 공휴일과 무관하게 정해진 납부기한에 회사가 지정하는 수납대행사(포어스바이크 유한회사) </t>
  </si>
  <si>
    <t>제12조 (사고 발생 시 고지 의무)</t>
  </si>
  <si>
    <t>계좌로 렌트료 등 모든 비용을 직접 납부한다. 타 계좌 입금분은 수납이 확인되지 아니할 수 있다.</t>
  </si>
  <si>
    <t>① 회사는 본 계약 차량의 운행자가 아니므로 사고 발생 사실을 직접 인지할 수 없다. 따라서 본 조의 고지</t>
  </si>
  <si>
    <t>② 매도인 가격 인상, 정부 정책, 보험사 단가 변경 등 불가피한 사정으로 렌트료가 변동될 경우 회사는 계</t>
  </si>
  <si>
    <t>의무는 본 계약상 계약자의 핵심 의무에 해당한다.</t>
  </si>
  <si>
    <t>약자에게 개별 통지하며, 계약자는 출고 이전까지 계약을 취소할 수 있다.</t>
  </si>
  <si>
    <t>② 다음 사유 발생 시 계약자는 사용자로부터 통보받은 즉시 회사에 고지하여야 한다: 인적·물적 손해사고,</t>
  </si>
  <si>
    <t>③ 이륜차 도난·멸실·훼손 등으로 운행이 불가능한 사유가 발생하더라도 계약자는 렌트료 지급의무를 거부</t>
  </si>
  <si>
    <t>단독사고·차량 파손, 도난·멸실·분실, 보험사 접수 필요 사건, 무면허·음주·약물·범죄 목적 운전 등 면책사유</t>
  </si>
  <si>
    <t>할 수 없다.</t>
  </si>
  <si>
    <t>해당 운행 사실 인지.</t>
  </si>
  <si>
    <t>④ 보험연령 변경 등 렌트료가 변동될 경우 해당 차량 최초 계약 당시 단가표 기준으로 산정한다.</t>
  </si>
  <si>
    <t>③ 고지에는 사고 일시·장소·경위, 운전자 신원·면허·음주 여부, 상대방 정보, 보험사 접수번호, 차량상태가</t>
  </si>
  <si>
    <t>⑤ 계약자가 가맹중인 배달플랫폼 본사와 회사 간의 제휴계약이 체결되어 있는 경우, 해당 배달플랫폼사의</t>
  </si>
  <si>
    <t>포함된다.</t>
  </si>
  <si>
    <t>페이를 통하여 렌트료·과태료 등의 납부가 가능하다. 본 프로그램을 이용하는 계약자는 과태료·범칙금 등의</t>
  </si>
  <si>
    <t>④ 계약자가 고지 의무를 위반(미고지·지연 고지·허위 고지)하는 경우 다음 책임을 부담한다: (1) 보험사 면</t>
  </si>
  <si>
    <t>일회성 차감에 동의한다. 단, 다음 각 호에 해당하는 경우 플랫폼 일차감 프로그램은 즉시 중단되며, 본 조</t>
  </si>
  <si>
    <t>책으로 인한 미보장 손해, (2) 추가 발생 구상금·과태료·소송비용·변호사비, (3) 회사가 사고를 알지 못한 상</t>
  </si>
  <si>
    <t>제1항·2항·3항에 따라 결제방법이 즉시 변경된다.</t>
  </si>
  <si>
    <t>태에서 차량 처분·계약 갱신·보험 정산을 진행함으로써 발생한 손해 일체.</t>
  </si>
  <si>
    <t>1. 계약자와 배달플랫폼사 간의 가맹계약이 종료된 경우</t>
  </si>
  <si>
    <t>⑤ 위 책임 부담과 별도로 회사는 본 계약을 즉시 해지하고 차량을 회수할 수 있다. 보증금은 반환하지 아</t>
  </si>
  <si>
    <t>2. 배달플랫폼 본사와 회사 간의 제휴계약이 종료된 경우</t>
  </si>
  <si>
    <t>니하며, 위약금 및 손해배상금은 별도로 청구한다.</t>
  </si>
  <si>
    <t xml:space="preserve">3. 배달플랫폼사의 페이가 72시간 연속으로 회사가 요청하는 금액만큼 회사 계좌로 출금되지 아니한 </t>
  </si>
  <si>
    <t>경우</t>
  </si>
  <si>
    <t>제13조 (보험 면책사고 및 구상금)</t>
  </si>
  <si>
    <t>① 보험사가 면책하거나 회사에 구상금을 청구하는 사고로서 다음 각 호에 해당하는 경우, 그 손해 일체는</t>
  </si>
  <si>
    <t>제7조 (사용자의 자격 및 관리·감독 의무)</t>
  </si>
  <si>
    <t>계약자가 부담한다: (1) 고의·범죄·도난·무단이용 중 사고, (2) 무면허·음주·약물·보험연령 미달·운전자 자격</t>
  </si>
  <si>
    <t>① 본 계약 차량은 보험연령 이상의 운전자만이 운행할 수 있으며, 계약자는 사용자의 자격을 관리·감독할</t>
  </si>
  <si>
    <t>미충족자 운전, (3) 12대 중과실 사고, (4) 운전자 범위 위반, (5) 경기·시범·연습용 등 비일상적 사용, (6) 그</t>
  </si>
  <si>
    <t>의무를 부담한다.</t>
  </si>
  <si>
    <t>밖의 보험약관상 면책사항, (7) 책임보험 미보장 손해 또는 보장 한도 초과분.</t>
  </si>
  <si>
    <t>② 보험연령 미달자가 운행하여 발생한 모든 사고·손해·구상금은 회사의 라이더 신원·연령 확인 여부와 관</t>
  </si>
  <si>
    <t>② 회사가 본 조 사유와 관련하여 다음 각 호의 지출을 한 경우, 회사는 그 사실을 계약자에게 통보하며, 계</t>
  </si>
  <si>
    <t>계없이 계약자가 전적으로 책임진다.</t>
  </si>
  <si>
    <t>약자는 통보 후 7일 이내에 그 금액 및 관련 비용(변호사비·소송비 등) 일체를 회사에 변제한다: (1) 보험사</t>
  </si>
  <si>
    <t>③ 회사는 사용자의 신원·자격·연령을 사전에 확인할 의무를 부담하지 않는다.</t>
  </si>
  <si>
    <t>가 회사에 청구한 구상금, (2) 회사가 제3자에게 직접 지급한 손해배상금</t>
  </si>
  <si>
    <t xml:space="preserve">③ 7일 이내 미변제 시 본 계약은 사전 통지·최고 없이 해지될 수 있으며 회사는 계약된 모든 차량을 즉시 </t>
  </si>
  <si>
    <t>회수한다. 보증금은 반환하지 않으며, 위약금 및 손해배상금은 별도로 청구한다.</t>
  </si>
  <si>
    <t>제14조 (사고 처리 및 미수선처리 금지)</t>
  </si>
  <si>
    <t>제22조 (계약의 해지)</t>
  </si>
  <si>
    <t>① 사고 발생 시 계약자는 사용자가 회사가 지정하는 수리센터로 입고하여 수리를 진행하게 하며, 관계 법령</t>
  </si>
  <si>
    <t>① 계약자는 해지 예정일 최소 10일 전에 회사에 사전 통지한다.</t>
  </si>
  <si>
    <t>및 보험계약상의 절차에 따라 사고를 처리한다.</t>
  </si>
  <si>
    <t>② 회사의 중대한 귀책사유가 아닌 경우 계약자는 위약금을 회사에 지급한다.</t>
  </si>
  <si>
    <t>② 렌트 기간 중 미수선처리는 불가하다.</t>
  </si>
  <si>
    <t>③ 계약자는 해지일까지 회사가 지정한 장소에 이륜차를 반환하며, 관련 비용은 계약자가 부담한다.</t>
  </si>
  <si>
    <t>③ 회사는 차량 가치 감가하락의 대가로 지급되는 격락손해금을 계약 만기 시 지급한다. 단, 렌트료의 미납</t>
  </si>
  <si>
    <t>④ 최종 해지일은 이륜차가 회사에 반환된 날을 기준으로 하며, 계약자는 회사의 평가·정산 절차에 성실히</t>
  </si>
  <si>
    <t>이 없는 경우에 한한다.</t>
  </si>
  <si>
    <t>협조하여야 한다.</t>
  </si>
  <si>
    <t>⑤ 다음 각 호에 해당하는 경우 계약자는 사전 통지·최고 없이 기한이익을 상실하며, 회사는 본 계약을 해</t>
  </si>
  <si>
    <t>제15조 (계약자 및 사용자의 책임)</t>
  </si>
  <si>
    <t>지하고 차량 인도를 청구할 수 있다: (1) 이륜차 무단 양도·전대 또는 보험 인정 사용자 이외의 자에게 사</t>
  </si>
  <si>
    <t>① 계약자는 선량한 관리자의 주의로 이륜차를 유지·관리하며, 사용자의 채용·해고·교육·관리·운행 자격(보</t>
  </si>
  <si>
    <t>용, (2) 보험연령 미달자 운전 사실 발견, (3) 정해진 납부기한에 렌트료 미납 및 7일 이상 지체, (4) 통지받</t>
  </si>
  <si>
    <t>험연령·면허·음주 등) 확인을 직접 수행한다. 사용자가 일으킨 사고·손해·과태료·구상금은 관리 해태 여부 불</t>
  </si>
  <si>
    <t>은 수리비·과태료·구상금 등을 정당한 사유 없이 7일 이내 미납, (5) 무면허·음주운전 등 운전자 귀책 배상</t>
  </si>
  <si>
    <t>문 계약자가 전적으로 책임진다.</t>
  </si>
  <si>
    <t>금 청구 후 7일 이내 미납, (6) 제3자 담보 제공 등 회사 소유권 침해 또는 차량 규격·성능·표지의 무단 변경</t>
  </si>
  <si>
    <t>② 계약자는 계약기간 중 임의로 부착물을 추가하거나 이륜차 구조를 변경할 수 없다.</t>
  </si>
  <si>
    <t xml:space="preserve">·훼손, (7) 위치정보 장치 훼손·은닉, (8) 보험사 구상금 통보 후 7일 이내 미변제, (9) 사고 발생 시 고지 의무 </t>
  </si>
  <si>
    <t>③ 이륜차 소유권은 회사에 있으며, 계약자는 사용수익권·운행이익권을 가진다. 계약 해지 시 즉시 운행을</t>
  </si>
  <si>
    <t>위반.</t>
  </si>
  <si>
    <t>중단하고 이륜차를 반환한다.</t>
  </si>
  <si>
    <t>④ 제3자가 이륜차에 대해 권리를 주장하거나 강제집행 등으로 회사 소유권을 침해할 위험이 있는 경우,</t>
  </si>
  <si>
    <t>제23조 (이륜차 반환 및 계약만료 후 처리)</t>
  </si>
  <si>
    <t>계약자는 회사의 소유임을 주장·입증하고 즉시 회사에 통지한다.</t>
  </si>
  <si>
    <t>① 본 계약이 해지되는 경우 계약자는 즉시 회사가 지정한 장소로 이륜차를 반환한다.</t>
  </si>
  <si>
    <t>⑤ 계약자는 인도일부터 반환일까지 이륜차의 도난·멸실·훼손에 대한 책임을 부담하며, 지체 없이 회사에</t>
  </si>
  <si>
    <t>② 계약자가 반환을 지연·거부하는 경우 회사는 이륜차를 임의로 회수할 수 있으며, 계약자는 회사의 적법</t>
  </si>
  <si>
    <t>통보한 후 자신의 비용으로 다음 각 호 중 하나를 5일 이내에 이행한다. (1) 원상복구 수리, (2) 동일 차종</t>
  </si>
  <si>
    <t>한 회수에 대해 이의를 제기할 수 없다. 회수 비용 일체는 계약자가 부담한다.</t>
  </si>
  <si>
    <t>·색상·연식 등 구성이 동일한 차량으로 교체(교체차량은 회사 소유로 본 계약상 이륜차로 간주), (3) 인수형</t>
  </si>
  <si>
    <t>③ 계약자가 이륜차 반환을 지연한 경우, 해지일부터 최종 반환일까지 제8조에 따른 처리 지체 위약금을</t>
  </si>
  <si>
    <t>계약의 경우 잔여 렌트료 100%를 5일 내 지급하여 계약 종료, 반납형 계약의 경우 (1)·(2) 중 선택. 차량 대</t>
  </si>
  <si>
    <t>회사에 지급한다.</t>
  </si>
  <si>
    <t>체 시 발생하는 실비(취득세·인지세·번호판 발급비 등)는 변경건별로 즉시 납부한다.</t>
  </si>
  <si>
    <t>④ 계약자는 계약만료일 이후 이륜차를 운행하여서는 아니 되며, 만료 후 임의 운행으로 발생하는 사고에</t>
  </si>
  <si>
    <t>⑥ 이륜차의 등록·유지·사용·등록말소·폐차 등과 관련하여 렌트료에 포함되지 않은 비용 및 제세공과금(과</t>
  </si>
  <si>
    <t>회사는 민사상 책임을 지지 않는다.</t>
  </si>
  <si>
    <t>태료·범칙금·벌과금 등)은 전적으로 계약자가 부담한다.</t>
  </si>
  <si>
    <t>⑤ 인수형 계약: (1) 명의 이전 시 보험가입증명서·신분증 제출, (2) 사용폐지 시 만료일 익일에 번호판 등기</t>
  </si>
  <si>
    <t>발송 중 하나를 선택한다. 반납형 계약: 만료일 익일에 이륜차를 반환한다. 회사는 수리비를 보증금에서</t>
  </si>
  <si>
    <t>제16조 (계약의 이관 및 승계)</t>
  </si>
  <si>
    <t>차감 후 잔액을 지급하며, 수리비가 보증금을 초과하는 경우 차액을 계약자가 납부한다.</t>
  </si>
  <si>
    <t>① 계약자는 회사의 사전 승인 없이 본 계약상 권리·의무를 제3자에게 승계할 수 없다.</t>
  </si>
  <si>
    <t>⑥ 인수형 계약에서 명의이전 시 취·등록세는 계약자가 부담하며 신고는 회사가 대행한다.</t>
  </si>
  <si>
    <t>② 계약자가 제3자에게 승계하고자 하는 경우 인적사항·신용상태·영업상황 등 필요 정보를 제공하며, 회사</t>
  </si>
  <si>
    <t>⑦ 인수형 계약에 미납금이 있는 경우 만료일까지 전액 완납되어야 한다. D+3일 미납 시 차량 회수, D+</t>
  </si>
  <si>
    <t>는 심사기준에 부합하지 않으면 거절할 수 있다.</t>
  </si>
  <si>
    <t>15일 미완납 시 기한이익을 상실하며, 회사는 차량을 처분하여 미납금·연체이자·회수 및 처분비용에 충당</t>
  </si>
  <si>
    <t>③ 회사의 승인 없이 계약자가 제3자에게 넘긴 경우, 계약자는 렌트료 및 기타 채무 지급의무를 계속 이행</t>
  </si>
  <si>
    <t>할 수 있다. 충당 후 부족분은 계약자에게 청구한다.</t>
  </si>
  <si>
    <t>⑧ 명의이전·폐지·반납 서류는 만료일 익일까지 완료한다. 지체 시 계약자는 제8조 처리 지체 위약금</t>
  </si>
  <si>
    <t>④ 계약이관을 위해서는 렌트료·수리비·위약금·과태료 등 일체의 미납금이 없어야 한다. 승계받을 제3자가</t>
  </si>
  <si>
    <t>및 실비를 회사에 납부한다.</t>
  </si>
  <si>
    <t>계약이관서에 서명함으로써 절차는 완료된 것으로 본다.</t>
  </si>
  <si>
    <t>제24조 (변제충당 및 계열사 미납 교차)</t>
  </si>
  <si>
    <t>① 계약자가 납입한 금액이 납입일 현재 채무 전액을 충당하기에 부족한 경우, 회사는 납기일 기준으로</t>
  </si>
  <si>
    <t>제17조 (차량 위치정보 등 제공 동의)</t>
  </si>
  <si>
    <t>먼저 도래한 채무액부터 우선 충당한다.</t>
  </si>
  <si>
    <t>① 본 차량에는 도난·멸실·분실 위험 방지를 위해 위치정보 수집 장치가 부착되어 있으며, 계약자는 이를</t>
  </si>
  <si>
    <t>② 연체이자가 있는 경우 연체이자, 지연손해금, 위약금, 원금의 순으로 충당한다.</t>
  </si>
  <si>
    <t>인지하고 동의한다.</t>
  </si>
  <si>
    <t>③ 계약자가 회사 또는 회사의 계열사(포어스바이크 유한회사 포함)와 체결한 모든 이륜차 계약은 미수금</t>
  </si>
  <si>
    <t>② 계약자는 사용자가 운행되는 전 기간에 대하여 위치정보 수집·이용·제공의 적법성을 확보할 책임을 부</t>
  </si>
  <si>
    <t>이 양방향으로 작용한다. 즉, 계열사 계약에서 발생한 미수금은 본 계약에, 본 계약에서 발생한 미수금은</t>
  </si>
  <si>
    <t>담하며, 이와 관련하여 제3자로부터 회사에 제기되는 일체의 청구·손해·과태료에 대해 계약자가 전적으로</t>
  </si>
  <si>
    <t>계열사 계약에 동일하게 작용하여, 미수금이 7일 이상 지속되는 경우 어느 회사든 자사 계약을 해지하고</t>
  </si>
  <si>
    <t>책임진다.</t>
  </si>
  <si>
    <t xml:space="preserve"> 차량을 즉시 회수할 수 있다.</t>
  </si>
  <si>
    <t>③ 계약자는 위치정보 장치를 임의로 변경·제거·훼손할 수 없으며, 회사는 채무불이행, 계약 해지, 회수 절</t>
  </si>
  <si>
    <t>④ 본 조 적용을 위하여 계약자는 회사와 계열사 간 미수금·계약·결제 관련 정보 공유에 동의한다.</t>
  </si>
  <si>
    <t>차, 보험 처리 등 본 계약 이행·관리에 필요한 범위 내에서만 위치정보를 활용한다.</t>
  </si>
  <si>
    <t>제25조 (세금계산서 발급)</t>
  </si>
  <si>
    <t>제18조 (금지행위)</t>
  </si>
  <si>
    <t>① 세금계산서는 본 계약서에 명시된 사업자등록번호를 기준으로 회사 명의로 발행한다.</t>
  </si>
  <si>
    <t>계약자는 다음 행위를 하여서는 아니 된다: (1) 이륜차의 무단 양도·전대 등 본 계약상 권리를 제3자에게 양</t>
  </si>
  <si>
    <t>② 발행 대상이 변경되는 경우 계약자는 익월 5일까지 회사에 통지한다.</t>
  </si>
  <si>
    <t>도, (2) 보험 인정 사용자 이외의 자 또는 보험연령 미달자에게 운행하게 하는 행위, (3) 이륜차 규격·성능·기</t>
  </si>
  <si>
    <t>③ 세금계산서 또는 현금영수증 발행에 영향을 미치는 사항에 변경이 발생한 경우 즉시 회사에 통지하며,</t>
  </si>
  <si>
    <t>능의 임의 변경 또는 번호판 훼손, (4) 이륜차를 제3자에게 담보 제공 등 회사 소유권 침해 행위, (5) 이륜차</t>
  </si>
  <si>
    <t xml:space="preserve"> 통지의무 해태로 발생하는 불이익은 계약자가 부담한다.</t>
  </si>
  <si>
    <t>부착 표지 또는 위치정보 수집 장치의 훼손·은닉·위치 변경 등 본래의 효용을 해하는 행위.</t>
  </si>
  <si>
    <t>제26조 (준거법 및 관할)</t>
  </si>
  <si>
    <t>제19조 (제3자에 대한 면책)</t>
  </si>
  <si>
    <t>본 계약은 대한민국 법률에 따라 해석·적용하며, 본 계약과 관련하여 분쟁이 발생하는 경우 수원지방법원</t>
  </si>
  <si>
    <t>① 계약 기간 종료·해지 여부와 무관하게, 이륜차 인수일부터 반환일까지 제3자가 회사를 상대로 인적·물적</t>
  </si>
  <si>
    <t>을 전속 관할 법원으로 한다.</t>
  </si>
  <si>
    <t>손해배상을 청구하는 경우 계약자는 자신의 비용·책임으로 회사를 면책시킨다.</t>
  </si>
  <si>
    <t>② 회사가 소유자라는 이유로 직접 손해배상한 경우 계약자는 회사가 지급한 금액과 관련 제비용을 즉시</t>
  </si>
  <si>
    <t>제27조 (차량 평가 및 감가 기준)</t>
  </si>
  <si>
    <t>상환한다.</t>
  </si>
  <si>
    <t>계약 만료·해지로 이륜차가 회사에 반환된 경우, 회사는 다음 기준에 따라 감가액을 산정한다: (1) 커버류</t>
  </si>
  <si>
    <t>③ 회사가 제3자 청구에 방어를 한 경우 계약자는 방어 관련 지출된 소송비용 등 일체를 부담한다.</t>
  </si>
  <si>
    <t>교체·수리 필요 시 부위당 4%, (2) 차대 교체·수리 필요 시 부위당 6%, (3) 도장·판금 작업 필요 시 30~50만</t>
  </si>
  <si>
    <t>원 범위. 실제 수리비가 본 기준을 초과하는 경우 실비를 기준으로 청구할 수 있다.</t>
  </si>
  <si>
    <t>제20조 (해지위약금 등의 부과방법)</t>
  </si>
  <si>
    <t>제28조 (제조사 A/S 및 차량 하자)</t>
  </si>
  <si>
    <t>① 렌트계약 개시일 당시 신차를 인수받았거나 본 계약 차량이 제조사 보증기간 내에 있는 경우 차량</t>
  </si>
  <si>
    <t>② 반환된 이륜차·부착물·키 부속품 일체에 파손이 있는 경우 계약자는 원상복구 수리비를 회사 청구일로</t>
  </si>
  <si>
    <t>하자 발생 시 제조사의 A/S 정책에 따르며, 처리 과정에서 발생하는 비용 및 손해는 회사가 책임지지 아니</t>
  </si>
  <si>
    <t>부터 7일 이내에 지급한다.</t>
  </si>
  <si>
    <t>하고 이로 인하여 계약자의 렌트료 지급의무에는 영향을 미치지 않는다.</t>
  </si>
  <si>
    <t>② 계약자는 A/S 처리를 사유로 차량의 교체 또는 반납을 요구할 수 없다.</t>
  </si>
  <si>
    <t>제21조 (과태료·범칙금·제세공과금)</t>
  </si>
  <si>
    <t>① 계약자가 본 계약 차량의 운행과 관련하여 과태료·범칙금 등을 부과받은 경우, 회사는 그 사실을 계약</t>
  </si>
  <si>
    <t>제29조 (약관의 변경)</t>
  </si>
  <si>
    <t>자에게 안내하며, 계약자는 즉시 납부하여야 한다.</t>
  </si>
  <si>
    <t>① 회사는 본 약관을 변경할 수 있으며, 변경된 약관을 기존 계약에 소급 적용하는 경우 그 내용을 서면</t>
  </si>
  <si>
    <t>② 계약만기일까지 미납된 과태료·범칙금 등이 있는 경우, 회사는 해당 금액을 보증금에서 공제한 후 잔액</t>
  </si>
  <si>
    <t>으로 작성하여 적용 예정일로부터 14일 이전까지 계약자에게 통지한다.</t>
  </si>
  <si>
    <t>을 반환한다. 미납금이 보증금을 초과하는 경우 계약자는 그 차액을 추가 납부하여야 한다.</t>
  </si>
  <si>
    <t>② 계약자가 적용 예정일까지 이의를 제기하지 않는 경우, 변경된 약관을 승인한 것으로 본다.</t>
  </si>
  <si>
    <t>③ 계약만료 후 이륜차의 명의이전에 따른 취·등록세 등 제세공과금은 계약자가 부담한다.</t>
  </si>
  <si>
    <t>이용약관의 내용에 대해서 설명을 듣고 확인하였습니다.</t>
  </si>
  <si>
    <t>책임보험 단가표 (처리 지체 위약금 산정 기준)</t>
  </si>
  <si>
    <t>본 단가표는 회사 책임보험 365일 기준 1일 단가(VAT 포함, 일반자차 기준)이며, 처리 지체 위약금 산정 시 본 표의 단가를 적용한다.</t>
  </si>
  <si>
    <t>배기량</t>
  </si>
  <si>
    <t>보험유형</t>
  </si>
  <si>
    <t>35세</t>
  </si>
  <si>
    <t>30세</t>
  </si>
  <si>
    <t>26세</t>
  </si>
  <si>
    <t>24세</t>
  </si>
  <si>
    <t>21세</t>
  </si>
  <si>
    <t>소형</t>
  </si>
  <si>
    <t>3,700</t>
  </si>
  <si>
    <t>4,600</t>
  </si>
  <si>
    <t>5,400</t>
  </si>
  <si>
    <t>6,300</t>
  </si>
  <si>
    <t>7,800</t>
  </si>
  <si>
    <t>중형</t>
  </si>
  <si>
    <t>6,000</t>
  </si>
  <si>
    <t>7,500</t>
  </si>
  <si>
    <t>8,900</t>
  </si>
  <si>
    <t>10,400</t>
  </si>
  <si>
    <t>12,900</t>
  </si>
  <si>
    <t>대형</t>
  </si>
  <si>
    <t>8,000</t>
  </si>
  <si>
    <t>9,800</t>
  </si>
  <si>
    <t>11,700</t>
  </si>
  <si>
    <t>13,800</t>
  </si>
  <si>
    <t>17,100</t>
  </si>
  <si>
    <t>※ 처리 지체 위약금 산정 시 본 표에서 해당 계약의 「차량 배기량」과 「보험연령」에 매칭되는 1일 단가를 적용한다.</t>
  </si>
  <si>
    <t>【예시】 대형 차량 + 35세 라이더 → 8,000원 × 지체일수 / 중형 차량 + 26세 라이더 → 8,900원 × 지체일수</t>
  </si>
  <si>
    <t>※ 회사 보험상품 단가 변경 시 본 별지는 회사의 단가 정책에 따라 갱신되며, 갱신 후의 단가가 적용된다.</t>
  </si>
  <si>
    <t>※ 위약금 외에 회사가 실제 부담한 의무보험 미가입 과태료·사용폐지/이전등록 신고지연 과태료·자동차세 등 제세공과금은 본 약관 제8조 ③항 각 호 외의 부분에 따라 별도 합산 청구된다.</t>
  </si>
  <si>
    <t>공유 항목은 사업자등록번호, 미수금 금액·발생일, 연대보증인 성명·연락처에 한하며, 보유기간은 미수금</t>
    <phoneticPr fontId="21" type="noConversion"/>
  </si>
  <si>
    <t>변제일까지로 한다.</t>
    <phoneticPr fontId="21" type="noConversion"/>
  </si>
  <si>
    <t>① 위약금은 잔여기간 동안 회사가 입는 손해에 대한 배상액으로 [잔여기간 총 렌트료 × 20%]로 정하며,</t>
    <phoneticPr fontId="21" type="noConversion"/>
  </si>
  <si>
    <t>기납부 보증금은 이와 별도로 계약 위반에 대한 위약벌로서 회사에 귀속되어 반환하지 않는다. 계약자는</t>
    <phoneticPr fontId="21" type="noConversion"/>
  </si>
  <si>
    <t>위약금을 계약 해지일까지 회사에 지급하여야 한다.</t>
    <phoneticPr fontId="21" type="noConversion"/>
  </si>
  <si>
    <t>회사는 운행자가 아니므로 사고 발생 사실을 직접 인지할 수 없습니다. 사고(인적·물적 손해, 단독사고, 차량 파손, 도난, 멸실 등 일체) 발생 시 계약자는 즉시 회사에 고지하여야 하며, 미고지·지연 고지로 발생하는 모든 손해(보험 미보장 손해, 구상금·과태료, 소송비용·변호사비, 그 밖에 미고지·지연 고지로 인하여 회사가 입은 손해 일체)는 계약자가 전적으로 책임지며 회사는 본 계약을 즉시 해지하고 차량을 회수할 수 있습니다.</t>
  </si>
  <si>
    <t>책임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</si>
</sst>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>
    <font>
      <sz val="11"/>
      <color theme="1"/>
      <name val="Calibri"/>
      <family val="2"/>
      <charset val="1"/>
    </font>
    <font>
      <sz val="10"/>
      <color rgb="FF000000"/>
      <name val="맑은 고딕"/>
      <family val="3"/>
      <charset val="129"/>
    </font>
    <font>
      <sz val="10"/>
      <name val="맑은 고딕"/>
      <family val="3"/>
      <charset val="129"/>
    </font>
    <font>
      <b/>
      <sz val="12"/>
      <color rgb="FFC00000"/>
      <name val="맑은 고딕"/>
      <family val="3"/>
      <charset val="129"/>
    </font>
    <font>
      <b/>
      <sz val="9"/>
      <color rgb="FF1F3864"/>
      <name val="DejaVu Sans"/>
      <family val="2"/>
    </font>
    <font>
      <b/>
      <sz val="11"/>
      <color rgb="FFC0000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b/>
      <sz val="9"/>
      <color rgb="FF1F3864"/>
      <name val="맑은 고딕"/>
      <family val="3"/>
      <charset val="129"/>
    </font>
    <font>
      <sz val="8"/>
      <color rgb="FF2B2B2B"/>
      <name val="DejaVu Sans"/>
      <family val="2"/>
    </font>
    <font>
      <sz val="8"/>
      <color rgb="FF2B2B2B"/>
      <name val="DejaVu Sans"/>
      <family val="3"/>
      <charset val="129"/>
    </font>
    <font>
      <sz val="8"/>
      <color rgb="FF2B2B2B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2B2B2B"/>
      <name val="DejaVu Sans"/>
      <family val="1"/>
      <charset val="129"/>
    </font>
    <font>
      <sz val="8"/>
      <color theme="1"/>
      <name val="DejaVu Sans"/>
      <family val="3"/>
      <charset val="129"/>
    </font>
    <font>
      <b/>
      <sz val="10"/>
      <color rgb="FF1F3864"/>
      <name val="DejaVu Sans"/>
      <family val="2"/>
      <charset val="1"/>
    </font>
    <font>
      <sz val="10"/>
      <name val="DejaVu Sans"/>
      <family val="2"/>
      <charset val="1"/>
    </font>
    <font>
      <sz val="10"/>
      <color theme="1"/>
      <name val="Calibri"/>
      <family val="2"/>
      <charset val="1"/>
    </font>
    <font>
      <sz val="10"/>
      <color rgb="FF111111"/>
      <name val="맑은 고딕"/>
      <family val="3"/>
      <charset val="129"/>
    </font>
    <font>
      <b/>
      <sz val="11"/>
      <color rgb="FF0F172A"/>
      <name val="맑은 고딕"/>
      <family val="3"/>
      <charset val="129"/>
    </font>
    <font>
      <b/>
      <sz val="10"/>
      <color rgb="FF991B1B"/>
      <name val="맑은 고딕"/>
      <family val="3"/>
      <charset val="129"/>
    </font>
    <font>
      <b/>
      <sz val="11"/>
      <color rgb="FF111111"/>
      <name val="맑은 고딕"/>
      <family val="3"/>
      <charset val="129"/>
    </font>
    <font>
      <sz val="8"/>
      <name val="돋움"/>
      <family val="3"/>
      <charset val="129"/>
    </font>
    <font>
      <sz val="8"/>
      <color rgb="FF2B2B2B"/>
      <name val="DejaVu Sans"/>
      <family val="1"/>
    </font>
    <font>
      <b/>
      <sz val="9"/>
      <color rgb="FF1F4E89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sz val="8"/>
      <color rgb="FF2B2B2B"/>
      <name val="맑은 고딕"/>
      <family val="1"/>
      <charset val="129"/>
    </font>
    <font>
      <sz val="8"/>
      <color rgb="FF2B2B2B"/>
      <name val="DejaVu Sans"/>
      <family val="2"/>
      <charset val="129"/>
    </font>
    <font>
      <sz val="9"/>
      <color rgb="FF000000"/>
      <name val="맑은 고딕"/>
      <family val="3"/>
      <charset val="129"/>
    </font>
    <font>
      <sz val="8"/>
      <color theme="1"/>
      <name val="맑은 고딕"/>
      <family val="1"/>
      <charset val="129"/>
    </font>
    <font>
      <b/>
      <sz val="9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i/>
      <sz val="8"/>
      <color rgb="FF808080"/>
      <name val="맑은 고딕"/>
      <family val="3"/>
      <charset val="129"/>
    </font>
    <font>
      <b/>
      <sz val="18"/>
      <color rgb="FFFFFFFF"/>
      <name val="맑은 고딕"/>
      <family val="3"/>
      <charset val="129"/>
    </font>
    <font>
      <b/>
      <sz val="10"/>
      <color rgb="FF1F4E89"/>
      <name val="맑은 고딕"/>
      <family val="3"/>
      <charset val="129"/>
    </font>
    <font>
      <b/>
      <sz val="9"/>
      <color rgb="FF1F3864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8"/>
      <color rgb="FFC00000"/>
      <name val="맑은 고딕"/>
      <family val="3"/>
      <charset val="129"/>
    </font>
    <font>
      <i/>
      <sz val="8"/>
      <color rgb="FF595959"/>
      <name val="맑은 고딕"/>
      <family val="3"/>
      <charset val="129"/>
    </font>
    <font>
      <sz val="8"/>
      <color rgb="FF40404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1F4E89"/>
      <name val="맑은 고딕"/>
      <family val="3"/>
      <charset val="129"/>
    </font>
    <font>
      <sz val="8"/>
      <color rgb="FF2B2B2B"/>
      <name val="맑은 고딕"/>
      <family val="3"/>
      <charset val="129"/>
    </font>
    <font>
      <b/>
      <sz val="10"/>
      <name val="맑은 고딕"/>
      <family val="3"/>
      <charset val="129"/>
    </font>
    <font>
      <b/>
      <sz val="20"/>
      <color rgb="FF0F172A"/>
      <name val="맑은 고딕"/>
      <family val="3"/>
      <charset val="129"/>
    </font>
    <font>
      <i/>
      <sz val="10"/>
      <color rgb="FF6B7280"/>
      <name val="맑은 고딕"/>
      <family val="3"/>
      <charset val="129"/>
    </font>
    <font>
      <sz val="10"/>
      <color rgb="FF111111"/>
      <name val="맑은 고딕"/>
      <family val="3"/>
      <charset val="129"/>
    </font>
    <font>
      <b/>
      <sz val="12"/>
      <color rgb="FF0F172A"/>
      <name val="맑은 고딕"/>
      <family val="3"/>
      <charset val="129"/>
    </font>
    <font>
      <b/>
      <sz val="10"/>
      <color rgb="FF991B1B"/>
      <name val="맑은 고딕"/>
      <family val="3"/>
      <charset val="129"/>
    </font>
    <font>
      <sz val="9.5"/>
      <color rgb="FF111111"/>
      <name val="맑은 고딕"/>
      <family val="3"/>
      <charset val="129"/>
    </font>
    <font>
      <b/>
      <sz val="10"/>
      <color rgb="FF111111"/>
      <name val="맑은 고딕"/>
      <family val="3"/>
      <charset val="129"/>
    </font>
    <font>
      <sz val="11"/>
      <color rgb="FF111111"/>
      <name val="맑은 고딕"/>
      <family val="3"/>
      <charset val="129"/>
    </font>
    <font>
      <b/>
      <sz val="11"/>
      <color rgb="FF111111"/>
      <name val="맑은 고딕"/>
      <family val="3"/>
      <charset val="129"/>
    </font>
    <font>
      <b/>
      <sz val="16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666666"/>
      <name val="맑은 고딕"/>
      <family val="3"/>
      <charset val="129"/>
    </font>
    <font>
      <sz val="8"/>
      <name val="맑은 고딕"/>
      <family val="3"/>
      <charset val="129"/>
    </font>
    <font>
      <sz val="11"/>
      <name val="Calibri"/>
      <family val="2"/>
      <charset val="1"/>
    </font>
    <font>
      <sz val="9.5"/>
      <name val="맑은 고딕"/>
      <family val="3"/>
      <charset val="129"/>
    </font>
    <font>
      <b/>
      <sz val="8"/>
      <color rgb="FFC00000"/>
      <name val="맑은 고딕"/>
      <family val="3"/>
      <charset val="129"/>
    </font>
    <font>
      <sz val="8"/>
      <color rgb="FF404040"/>
      <name val="맑은 고딕"/>
      <family val="3"/>
      <charset val="129"/>
    </font>
    <font>
      <sz val="10"/>
      <name val="맑은 고딕"/>
      <family val="3"/>
      <charset val="129"/>
    </font>
    <font>
      <b/>
      <i/>
      <sz val="9"/>
      <name val="맑은 고딕"/>
      <family val="3"/>
      <charset val="129"/>
    </font>
    <font>
      <b/>
      <u/>
      <sz val="8"/>
      <color rgb="FFFF0000"/>
      <name val="맑은 고딕"/>
      <family val="3"/>
      <charset val="129"/>
    </font>
    <font>
      <sz val="11"/>
      <color rgb="FFC00000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89"/>
        <bgColor rgb="FF1F3864"/>
      </patternFill>
    </fill>
    <fill>
      <patternFill patternType="solid">
        <fgColor rgb="FF0E2E5C"/>
        <bgColor rgb="FF1F3864"/>
      </patternFill>
    </fill>
    <fill>
      <patternFill patternType="solid">
        <fgColor rgb="FFFFF2CC"/>
        <bgColor rgb="FFFFF4E3"/>
      </patternFill>
    </fill>
    <fill>
      <patternFill patternType="solid">
        <fgColor rgb="FFFFFFFF"/>
        <bgColor rgb="FFF9FAFB"/>
      </patternFill>
    </fill>
    <fill>
      <patternFill patternType="solid">
        <fgColor rgb="FFE8EEF7"/>
        <bgColor rgb="FFEAF0F8"/>
      </patternFill>
    </fill>
    <fill>
      <patternFill patternType="solid">
        <fgColor rgb="FFFBE5E5"/>
        <bgColor rgb="FFFFF4E3"/>
      </patternFill>
    </fill>
    <fill>
      <patternFill patternType="solid">
        <fgColor rgb="FFFFF4E3"/>
        <bgColor rgb="FFFFF2CC"/>
      </patternFill>
    </fill>
    <fill>
      <patternFill patternType="solid">
        <fgColor rgb="FFB22222"/>
        <bgColor rgb="FF991B1B"/>
      </patternFill>
    </fill>
    <fill>
      <patternFill patternType="solid">
        <fgColor rgb="FFF7F9FC"/>
        <bgColor rgb="FFF9FAFB"/>
      </patternFill>
    </fill>
    <fill>
      <patternFill patternType="solid">
        <fgColor rgb="FFEAF0F8"/>
        <bgColor rgb="FFE8EEF7"/>
      </patternFill>
    </fill>
    <fill>
      <patternFill patternType="solid">
        <fgColor rgb="FFF9FAFB"/>
        <bgColor rgb="FFF7F9FC"/>
      </patternFill>
    </fill>
    <fill>
      <patternFill patternType="solid">
        <fgColor rgb="FFE8EEF7"/>
        <bgColor rgb="FFF7F9FC"/>
      </patternFill>
    </fill>
    <fill>
      <patternFill patternType="solid">
        <fgColor rgb="FF1F3864"/>
        <bgColor rgb="FF2B2B2B"/>
      </patternFill>
    </fill>
    <fill>
      <patternFill patternType="solid">
        <fgColor rgb="FFEAF0F8"/>
        <bgColor rgb="FFF7F9FC"/>
      </patternFill>
    </fill>
    <fill>
      <patternFill patternType="solid">
        <fgColor rgb="FFFFFFFF"/>
        <bgColor rgb="FFF7F9FC"/>
      </patternFill>
    </fill>
    <fill>
      <patternFill patternType="solid">
        <fgColor rgb="FF1F3A5F"/>
        <bgColor rgb="FF1F3A5F"/>
      </patternFill>
    </fill>
    <fill>
      <patternFill patternType="solid">
        <fgColor rgb="FF2C4F7C"/>
        <bgColor rgb="FF2C4F7C"/>
      </patternFill>
    </fill>
    <fill>
      <patternFill patternType="solid">
        <fgColor rgb="FFFFF4E6"/>
        <bgColor rgb="FFFFF4E6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11111"/>
      </bottom>
      <diagonal/>
    </border>
    <border>
      <left/>
      <right/>
      <top/>
      <bottom style="thin">
        <color rgb="FFD1D5DB"/>
      </bottom>
      <diagonal/>
    </border>
    <border>
      <left/>
      <right/>
      <top style="medium">
        <color rgb="FF111111"/>
      </top>
      <bottom/>
      <diagonal/>
    </border>
    <border>
      <left/>
      <right/>
      <top/>
      <bottom style="thin">
        <color rgb="FF11111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rgb="FFBFBFBF"/>
      </right>
      <top style="thin">
        <color theme="0" tint="-0.249977111117893"/>
      </top>
      <bottom style="thin">
        <color rgb="FFBFBFBF"/>
      </bottom>
      <diagonal/>
    </border>
    <border>
      <left/>
      <right style="thin">
        <color rgb="FFBFBFBF"/>
      </right>
      <top style="thin">
        <color theme="0" tint="-0.249977111117893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theme="0" tint="-0.249977111117893"/>
      </top>
      <bottom style="thin">
        <color rgb="FFBFBFBF"/>
      </bottom>
      <diagonal/>
    </border>
    <border>
      <left/>
      <right/>
      <top style="thin">
        <color theme="0" tint="-0.249977111117893"/>
      </top>
      <bottom style="thin">
        <color rgb="FFBFBFBF"/>
      </bottom>
      <diagonal/>
    </border>
    <border>
      <left style="thin">
        <color theme="0" tint="-0.249977111117893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rgb="FFBFBFBF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FBFBF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20"/>
  </cellStyleXfs>
  <cellXfs count="117">
    <xf numFmtId="0" fontId="0" fillId="0" borderId="0" xfId="0" applyBorder="1"/>
    <xf numFmtId="0" fontId="1" fillId="0" borderId="1" xfId="0" applyFont="1" applyBorder="1" applyAlignment="1">
      <alignment horizontal="left" vertical="center" wrapText="1" indent="1"/>
    </xf>
    <xf numFmtId="0" fontId="0" fillId="0" borderId="0" xfId="0" applyBorder="1" applyAlignment="1">
      <alignment horizont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left" vertical="top" wrapText="1" indent="1"/>
    </xf>
    <xf numFmtId="0" fontId="10" fillId="0" borderId="0" xfId="0" applyFont="1" applyBorder="1" applyAlignment="1">
      <alignment horizontal="left" vertical="top" wrapText="1" indent="1"/>
    </xf>
    <xf numFmtId="0" fontId="12" fillId="0" borderId="0" xfId="0" applyFont="1" applyBorder="1" applyAlignment="1">
      <alignment horizontal="left" vertical="top" wrapText="1" indent="1"/>
    </xf>
    <xf numFmtId="0" fontId="9" fillId="0" borderId="0" xfId="0" applyFont="1" applyBorder="1" applyAlignment="1">
      <alignment horizontal="left" vertical="top" wrapText="1" indent="1"/>
    </xf>
    <xf numFmtId="0" fontId="14" fillId="0" borderId="0" xfId="0" applyFont="1" applyBorder="1" applyAlignment="1">
      <alignment horizontal="left" vertical="center" indent="1"/>
    </xf>
    <xf numFmtId="0" fontId="15" fillId="0" borderId="0" xfId="0" applyFont="1" applyBorder="1" applyAlignment="1">
      <alignment horizontal="left" vertical="center" indent="1"/>
    </xf>
    <xf numFmtId="0" fontId="6" fillId="0" borderId="0" xfId="0" applyFont="1" applyBorder="1" applyAlignment="1">
      <alignment horizontal="left" vertical="center" wrapText="1" indent="1"/>
    </xf>
    <xf numFmtId="0" fontId="16" fillId="0" borderId="0" xfId="0" applyFont="1" applyBorder="1"/>
    <xf numFmtId="0" fontId="18" fillId="0" borderId="0" xfId="0" applyFont="1" applyBorder="1" applyAlignment="1">
      <alignment horizontal="center" vertical="top"/>
    </xf>
    <xf numFmtId="0" fontId="19" fillId="0" borderId="0" xfId="0" applyFont="1" applyBorder="1" applyAlignment="1">
      <alignment horizontal="left" vertical="top" wrapText="1"/>
    </xf>
    <xf numFmtId="0" fontId="0" fillId="0" borderId="7" xfId="0" applyBorder="1"/>
    <xf numFmtId="0" fontId="20" fillId="0" borderId="0" xfId="0" applyFont="1" applyBorder="1" applyAlignment="1">
      <alignment horizontal="right" vertical="center"/>
    </xf>
    <xf numFmtId="0" fontId="22" fillId="0" borderId="0" xfId="0" applyFont="1" applyBorder="1" applyAlignment="1">
      <alignment horizontal="left" vertical="top" wrapText="1" indent="1"/>
    </xf>
    <xf numFmtId="0" fontId="13" fillId="0" borderId="0" xfId="0" applyFont="1" applyBorder="1" applyAlignment="1">
      <alignment horizontal="left" vertical="top" wrapText="1" indent="1"/>
    </xf>
    <xf numFmtId="0" fontId="25" fillId="0" borderId="0" xfId="0" applyFont="1" applyBorder="1" applyAlignment="1">
      <alignment horizontal="left" vertical="top" wrapText="1" indent="1"/>
    </xf>
    <xf numFmtId="0" fontId="26" fillId="0" borderId="0" xfId="0" applyFont="1" applyBorder="1" applyAlignment="1">
      <alignment horizontal="left" vertical="top" wrapText="1" indent="1"/>
    </xf>
    <xf numFmtId="0" fontId="4" fillId="15" borderId="0" xfId="0" applyFont="1" applyFill="1" applyBorder="1" applyAlignment="1">
      <alignment horizontal="left" vertical="center" wrapText="1"/>
    </xf>
    <xf numFmtId="0" fontId="23" fillId="6" borderId="0" xfId="0" applyFont="1" applyFill="1" applyBorder="1" applyAlignment="1">
      <alignment horizontal="left" vertical="center" wrapText="1" indent="1"/>
    </xf>
    <xf numFmtId="0" fontId="0" fillId="0" borderId="7" xfId="0" applyBorder="1" applyAlignment="1">
      <alignment horizontal="center"/>
    </xf>
    <xf numFmtId="0" fontId="7" fillId="16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left" vertical="center" wrapText="1" indent="1"/>
    </xf>
    <xf numFmtId="0" fontId="31" fillId="0" borderId="0" xfId="0" applyFont="1" applyBorder="1" applyAlignment="1">
      <alignment horizontal="center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4" fillId="11" borderId="1" xfId="0" applyFont="1" applyFill="1" applyBorder="1" applyAlignment="1">
      <alignment horizontal="center" vertical="center" wrapText="1"/>
    </xf>
    <xf numFmtId="0" fontId="34" fillId="6" borderId="9" xfId="0" applyFont="1" applyFill="1" applyBorder="1" applyAlignment="1">
      <alignment horizontal="center" vertical="center" wrapText="1"/>
    </xf>
    <xf numFmtId="0" fontId="34" fillId="11" borderId="0" xfId="0" applyFont="1" applyFill="1" applyBorder="1" applyAlignment="1">
      <alignment horizontal="left" vertical="center" wrapText="1" indent="1"/>
    </xf>
    <xf numFmtId="0" fontId="42" fillId="6" borderId="0" xfId="0" applyFont="1" applyFill="1" applyBorder="1" applyAlignment="1">
      <alignment horizontal="left" vertical="center" wrapText="1" indent="1"/>
    </xf>
    <xf numFmtId="0" fontId="42" fillId="13" borderId="0" xfId="0" applyFont="1" applyFill="1" applyBorder="1" applyAlignment="1">
      <alignment horizontal="left" vertical="center" wrapText="1" indent="1"/>
    </xf>
    <xf numFmtId="0" fontId="44" fillId="0" borderId="0" xfId="0" applyFont="1" applyBorder="1" applyAlignment="1">
      <alignment vertical="center"/>
    </xf>
    <xf numFmtId="0" fontId="49" fillId="0" borderId="0" xfId="0" applyFont="1" applyBorder="1" applyAlignment="1">
      <alignment horizontal="left" vertical="top" wrapText="1"/>
    </xf>
    <xf numFmtId="0" fontId="51" fillId="0" borderId="0" xfId="0" applyFont="1" applyBorder="1" applyAlignment="1">
      <alignment horizontal="center" vertical="center" shrinkToFit="1"/>
    </xf>
    <xf numFmtId="0" fontId="10" fillId="0" borderId="0" xfId="0" applyFont="1" applyBorder="1" applyAlignment="1">
      <alignment horizontal="left" vertical="top" wrapText="1" indent="1" shrinkToFit="1"/>
    </xf>
    <xf numFmtId="0" fontId="43" fillId="0" borderId="0" xfId="0" applyFont="1" applyBorder="1" applyAlignment="1">
      <alignment horizontal="left" vertical="top" wrapText="1" indent="1" shrinkToFit="1"/>
    </xf>
    <xf numFmtId="0" fontId="11" fillId="0" borderId="0" xfId="0" applyFont="1" applyBorder="1" applyAlignment="1">
      <alignment horizontal="left" vertical="top" wrapText="1" indent="1" shrinkToFit="1"/>
    </xf>
    <xf numFmtId="0" fontId="28" fillId="0" borderId="0" xfId="0" applyFont="1" applyBorder="1" applyAlignment="1">
      <alignment horizontal="left" vertical="top" wrapText="1" indent="1" shrinkToFit="1"/>
    </xf>
    <xf numFmtId="0" fontId="0" fillId="0" borderId="20" xfId="0"/>
    <xf numFmtId="0" fontId="56" fillId="18" borderId="21" xfId="0" applyFont="1" applyFill="1" applyBorder="1" applyAlignment="1">
      <alignment horizontal="center" vertical="center" wrapText="1"/>
    </xf>
    <xf numFmtId="0" fontId="57" fillId="0" borderId="21" xfId="0" applyFont="1" applyBorder="1" applyAlignment="1">
      <alignment horizontal="center" vertical="center" wrapText="1"/>
    </xf>
    <xf numFmtId="0" fontId="55" fillId="0" borderId="21" xfId="0" applyFont="1" applyBorder="1" applyAlignment="1">
      <alignment horizontal="center" vertical="center" wrapText="1"/>
    </xf>
    <xf numFmtId="0" fontId="57" fillId="0" borderId="0" xfId="0" applyFont="1" applyBorder="1" applyAlignment="1">
      <alignment vertical="center"/>
    </xf>
    <xf numFmtId="0" fontId="42" fillId="0" borderId="0" xfId="0" applyFont="1" applyBorder="1" applyAlignment="1">
      <alignment horizontal="left" vertical="center" wrapText="1" indent="1"/>
    </xf>
    <xf numFmtId="0" fontId="7" fillId="11" borderId="0" xfId="0" applyFont="1" applyFill="1" applyBorder="1" applyAlignment="1">
      <alignment horizontal="left" vertical="center" wrapText="1" indent="1"/>
    </xf>
    <xf numFmtId="0" fontId="59" fillId="0" borderId="0" xfId="0" applyFont="1" applyBorder="1" applyAlignment="1">
      <alignment horizontal="left" vertical="top" wrapText="1" indent="1" shrinkToFit="1"/>
    </xf>
    <xf numFmtId="3" fontId="64" fillId="0" borderId="21" xfId="0" applyNumberFormat="1" applyFont="1" applyBorder="1" applyAlignment="1">
      <alignment horizontal="center" vertical="center" wrapText="1"/>
    </xf>
    <xf numFmtId="0" fontId="5" fillId="5" borderId="20" xfId="0" applyFont="1" applyFill="1" applyAlignment="1">
      <alignment horizontal="center" vertical="center" wrapText="1"/>
    </xf>
    <xf numFmtId="0" fontId="0" fillId="0" borderId="0" xfId="0" applyBorder="1"/>
    <xf numFmtId="0" fontId="62" fillId="7" borderId="1" xfId="0" applyFont="1" applyFill="1" applyBorder="1" applyAlignment="1">
      <alignment horizontal="left" vertical="center" wrapText="1" indent="1"/>
    </xf>
    <xf numFmtId="0" fontId="0" fillId="0" borderId="4" xfId="0" applyBorder="1"/>
    <xf numFmtId="0" fontId="0" fillId="0" borderId="3" xfId="0" applyBorder="1"/>
    <xf numFmtId="0" fontId="1" fillId="0" borderId="9" xfId="0" applyFont="1" applyBorder="1" applyAlignment="1">
      <alignment horizontal="center" vertical="center" wrapText="1"/>
    </xf>
    <xf numFmtId="0" fontId="0" fillId="0" borderId="18" xfId="0" applyBorder="1"/>
    <xf numFmtId="0" fontId="40" fillId="10" borderId="1" xfId="0" applyFont="1" applyFill="1" applyBorder="1" applyAlignment="1">
      <alignment horizontal="left" vertical="center" wrapText="1" indent="1"/>
    </xf>
    <xf numFmtId="0" fontId="1" fillId="5" borderId="1" xfId="0" applyFont="1" applyFill="1" applyBorder="1" applyAlignment="1">
      <alignment horizontal="left" vertical="center" wrapText="1" indent="1"/>
    </xf>
    <xf numFmtId="0" fontId="35" fillId="2" borderId="20" xfId="0" applyFont="1" applyFill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36" fillId="7" borderId="1" xfId="0" applyFont="1" applyFill="1" applyBorder="1" applyAlignment="1">
      <alignment horizontal="center" vertical="center" wrapText="1"/>
    </xf>
    <xf numFmtId="0" fontId="38" fillId="7" borderId="1" xfId="0" applyFont="1" applyFill="1" applyBorder="1" applyAlignment="1">
      <alignment horizontal="left" vertical="center" wrapText="1" indent="1"/>
    </xf>
    <xf numFmtId="0" fontId="34" fillId="10" borderId="17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34" fillId="10" borderId="14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center" wrapText="1" indent="1"/>
    </xf>
    <xf numFmtId="0" fontId="40" fillId="10" borderId="12" xfId="0" applyFont="1" applyFill="1" applyBorder="1" applyAlignment="1">
      <alignment horizontal="left" vertical="center" wrapText="1" indent="1"/>
    </xf>
    <xf numFmtId="0" fontId="0" fillId="0" borderId="13" xfId="0" applyBorder="1"/>
    <xf numFmtId="0" fontId="0" fillId="0" borderId="11" xfId="0" applyBorder="1"/>
    <xf numFmtId="0" fontId="34" fillId="8" borderId="1" xfId="0" applyFont="1" applyFill="1" applyBorder="1" applyAlignment="1">
      <alignment horizontal="center" vertical="center" wrapText="1"/>
    </xf>
    <xf numFmtId="0" fontId="35" fillId="2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6" fillId="7" borderId="1" xfId="0" applyFont="1" applyFill="1" applyBorder="1" applyAlignment="1">
      <alignment horizontal="center" vertical="center" wrapText="1"/>
    </xf>
    <xf numFmtId="0" fontId="67" fillId="0" borderId="4" xfId="0" applyFont="1" applyBorder="1"/>
    <xf numFmtId="0" fontId="67" fillId="0" borderId="3" xfId="0" applyFont="1" applyBorder="1"/>
    <xf numFmtId="0" fontId="32" fillId="3" borderId="20" xfId="0" applyFont="1" applyFill="1" applyAlignment="1">
      <alignment horizontal="center" vertical="center" wrapText="1"/>
    </xf>
    <xf numFmtId="0" fontId="40" fillId="8" borderId="1" xfId="0" applyFont="1" applyFill="1" applyBorder="1" applyAlignment="1">
      <alignment horizontal="left" vertical="center" wrapText="1" indent="1"/>
    </xf>
    <xf numFmtId="0" fontId="33" fillId="5" borderId="20" xfId="0" applyFont="1" applyFill="1" applyAlignment="1">
      <alignment horizontal="left" vertical="center" wrapText="1" indent="1"/>
    </xf>
    <xf numFmtId="0" fontId="37" fillId="4" borderId="1" xfId="0" applyFont="1" applyFill="1" applyBorder="1" applyAlignment="1">
      <alignment horizontal="left" vertical="center" wrapText="1" indent="1"/>
    </xf>
    <xf numFmtId="0" fontId="7" fillId="5" borderId="20" xfId="0" applyFont="1" applyFill="1" applyAlignment="1">
      <alignment horizontal="right" vertical="center" wrapText="1"/>
    </xf>
    <xf numFmtId="0" fontId="41" fillId="16" borderId="1" xfId="0" applyFont="1" applyFill="1" applyBorder="1" applyAlignment="1">
      <alignment horizontal="center" vertical="center" wrapText="1"/>
    </xf>
    <xf numFmtId="0" fontId="63" fillId="8" borderId="1" xfId="0" applyFont="1" applyFill="1" applyBorder="1" applyAlignment="1">
      <alignment horizontal="left" vertical="center" wrapText="1" indent="1"/>
    </xf>
    <xf numFmtId="0" fontId="27" fillId="16" borderId="1" xfId="0" applyFont="1" applyFill="1" applyBorder="1" applyAlignment="1">
      <alignment horizontal="center" vertical="center" wrapText="1"/>
    </xf>
    <xf numFmtId="0" fontId="35" fillId="2" borderId="9" xfId="0" applyFont="1" applyFill="1" applyBorder="1" applyAlignment="1">
      <alignment horizontal="center" vertical="center" wrapText="1"/>
    </xf>
    <xf numFmtId="0" fontId="0" fillId="0" borderId="19" xfId="0" applyBorder="1"/>
    <xf numFmtId="0" fontId="34" fillId="10" borderId="10" xfId="0" applyFont="1" applyFill="1" applyBorder="1" applyAlignment="1">
      <alignment horizontal="center" vertical="center" wrapText="1"/>
    </xf>
    <xf numFmtId="0" fontId="30" fillId="16" borderId="1" xfId="0" applyFont="1" applyFill="1" applyBorder="1" applyAlignment="1">
      <alignment horizontal="center" vertical="center" wrapText="1"/>
    </xf>
    <xf numFmtId="0" fontId="2" fillId="0" borderId="20" xfId="0" applyFont="1"/>
    <xf numFmtId="0" fontId="39" fillId="8" borderId="1" xfId="0" applyFont="1" applyFill="1" applyBorder="1" applyAlignment="1">
      <alignment horizontal="left" vertical="center" wrapText="1" indent="1"/>
    </xf>
    <xf numFmtId="0" fontId="35" fillId="9" borderId="20" xfId="0" applyFont="1" applyFill="1" applyAlignment="1">
      <alignment horizontal="center" vertical="center" wrapText="1"/>
    </xf>
    <xf numFmtId="0" fontId="24" fillId="14" borderId="20" xfId="0" applyFont="1" applyFill="1" applyAlignment="1">
      <alignment horizontal="center" vertical="center" wrapText="1" shrinkToFit="1"/>
    </xf>
    <xf numFmtId="0" fontId="45" fillId="0" borderId="20" xfId="0" applyFont="1" applyAlignment="1">
      <alignment horizontal="left" vertical="center"/>
    </xf>
    <xf numFmtId="0" fontId="50" fillId="0" borderId="20" xfId="0" applyFont="1" applyAlignment="1">
      <alignment horizontal="left" vertical="top" wrapText="1"/>
    </xf>
    <xf numFmtId="0" fontId="52" fillId="0" borderId="8" xfId="0" applyFont="1" applyBorder="1" applyAlignment="1">
      <alignment horizontal="center" vertical="center"/>
    </xf>
    <xf numFmtId="0" fontId="0" fillId="0" borderId="8" xfId="0" applyBorder="1"/>
    <xf numFmtId="0" fontId="17" fillId="0" borderId="20" xfId="0" applyFont="1" applyAlignment="1">
      <alignment horizontal="left" vertical="top" wrapText="1" indent="1"/>
    </xf>
    <xf numFmtId="0" fontId="61" fillId="0" borderId="20" xfId="0" applyFont="1" applyAlignment="1">
      <alignment horizontal="left" vertical="top" wrapText="1"/>
    </xf>
    <xf numFmtId="0" fontId="48" fillId="0" borderId="6" xfId="0" applyFont="1" applyBorder="1" applyAlignment="1">
      <alignment horizontal="left"/>
    </xf>
    <xf numFmtId="0" fontId="0" fillId="0" borderId="6" xfId="0" applyBorder="1"/>
    <xf numFmtId="0" fontId="2" fillId="12" borderId="20" xfId="0" applyFont="1" applyFill="1" applyAlignment="1">
      <alignment horizontal="left" vertical="center" wrapText="1" indent="1"/>
    </xf>
    <xf numFmtId="0" fontId="46" fillId="0" borderId="5" xfId="0" applyFont="1" applyBorder="1" applyAlignment="1">
      <alignment horizontal="left" vertical="center"/>
    </xf>
    <xf numFmtId="0" fontId="0" fillId="0" borderId="5" xfId="0" applyBorder="1"/>
    <xf numFmtId="0" fontId="47" fillId="0" borderId="20" xfId="0" applyFont="1" applyAlignment="1">
      <alignment horizontal="left" vertical="top" wrapText="1" indent="1"/>
    </xf>
    <xf numFmtId="0" fontId="60" fillId="0" borderId="0" xfId="0" applyFont="1" applyBorder="1"/>
    <xf numFmtId="0" fontId="53" fillId="0" borderId="8" xfId="0" applyFont="1" applyBorder="1" applyAlignment="1">
      <alignment horizontal="center" vertical="center"/>
    </xf>
    <xf numFmtId="0" fontId="2" fillId="0" borderId="20" xfId="0" applyFont="1" applyAlignment="1">
      <alignment horizontal="left" vertical="top" wrapText="1" indent="1"/>
    </xf>
    <xf numFmtId="0" fontId="2" fillId="0" borderId="20" xfId="0" applyFont="1" applyAlignment="1">
      <alignment horizontal="left" vertical="center" wrapText="1"/>
    </xf>
    <xf numFmtId="0" fontId="55" fillId="0" borderId="20" xfId="0" applyFont="1" applyAlignment="1">
      <alignment horizontal="left" vertical="center" wrapText="1"/>
    </xf>
    <xf numFmtId="0" fontId="65" fillId="0" borderId="20" xfId="0" applyFont="1" applyAlignment="1">
      <alignment horizontal="left" vertical="center" wrapText="1"/>
    </xf>
    <xf numFmtId="0" fontId="54" fillId="17" borderId="20" xfId="0" applyFont="1" applyFill="1" applyAlignment="1">
      <alignment horizontal="center" vertical="center" wrapText="1"/>
    </xf>
    <xf numFmtId="0" fontId="58" fillId="0" borderId="20" xfId="0" applyFont="1" applyAlignment="1">
      <alignment horizontal="left" vertical="center" wrapText="1"/>
    </xf>
    <xf numFmtId="0" fontId="57" fillId="19" borderId="20" xfId="0" applyFont="1" applyFill="1" applyAlignment="1">
      <alignment horizontal="left" vertical="center" wrapText="1"/>
    </xf>
    <xf numFmtId="0" fontId="44" fillId="0" borderId="2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111111"/>
      <rgbColor rgb="FF808000"/>
      <rgbColor rgb="FF800080"/>
      <rgbColor rgb="FF008080"/>
      <rgbColor rgb="FFBFBFBF"/>
      <rgbColor rgb="FF808080"/>
      <rgbColor rgb="FF9999FF"/>
      <rgbColor rgb="FFB22222"/>
      <rgbColor rgb="FFFFF2CC"/>
      <rgbColor rgb="FFEAF0F8"/>
      <rgbColor rgb="FF660066"/>
      <rgbColor rgb="FFFF8080"/>
      <rgbColor rgb="FF1F4E89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F7F9FC"/>
      <rgbColor rgb="FFFFF4E3"/>
      <rgbColor rgb="FFF9FAFB"/>
      <rgbColor rgb="FFFF99CC"/>
      <rgbColor rgb="FFCC99FF"/>
      <rgbColor rgb="FFFBE5E5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E2E5C"/>
      <rgbColor rgb="FF339966"/>
      <rgbColor rgb="FF0F172A"/>
      <rgbColor rgb="FF404040"/>
      <rgbColor rgb="FF991B1B"/>
      <rgbColor rgb="FF595959"/>
      <rgbColor rgb="FF1F3864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"/>
  <sheetViews>
    <sheetView view="pageBreakPreview"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/>
  <cols>
    <col min="1" max="25" width="18" customWidth="1"/>
    <col min="26" max="26" width="14" customWidth="1"/>
    <col min="27" max="27" width="18" customWidth="1"/>
    <col min="28" max="28" width="22" customWidth="1"/>
  </cols>
  <sheetData>
    <row r="1" spans="1:28" ht="30" customHeight="1">
      <c r="A1" s="26" t="s">
        <v>55</v>
      </c>
      <c r="B1" s="26" t="s">
        <v>56</v>
      </c>
      <c r="C1" s="26" t="s">
        <v>57</v>
      </c>
      <c r="D1" s="26" t="s">
        <v>58</v>
      </c>
      <c r="E1" s="26" t="s">
        <v>59</v>
      </c>
      <c r="F1" s="26" t="s">
        <v>60</v>
      </c>
      <c r="G1" s="26" t="s">
        <v>61</v>
      </c>
      <c r="H1" s="26" t="s">
        <v>62</v>
      </c>
      <c r="I1" s="26" t="s">
        <v>63</v>
      </c>
      <c r="J1" s="26" t="s">
        <v>64</v>
      </c>
      <c r="K1" s="26" t="s">
        <v>65</v>
      </c>
      <c r="L1" s="26" t="s">
        <v>66</v>
      </c>
      <c r="M1" s="26" t="s">
        <v>67</v>
      </c>
      <c r="N1" s="26" t="s">
        <v>68</v>
      </c>
      <c r="O1" s="26" t="s">
        <v>69</v>
      </c>
      <c r="P1" s="26" t="s">
        <v>70</v>
      </c>
      <c r="Q1" s="26" t="s">
        <v>71</v>
      </c>
      <c r="R1" s="26" t="s">
        <v>72</v>
      </c>
      <c r="S1" s="26" t="s">
        <v>73</v>
      </c>
      <c r="T1" s="26" t="s">
        <v>74</v>
      </c>
      <c r="U1" s="26" t="s">
        <v>75</v>
      </c>
      <c r="V1" s="26" t="s">
        <v>76</v>
      </c>
      <c r="W1" s="26" t="s">
        <v>77</v>
      </c>
      <c r="X1" s="26" t="s">
        <v>78</v>
      </c>
      <c r="Y1" s="26" t="s">
        <v>79</v>
      </c>
      <c r="Z1" s="26" t="s">
        <v>80</v>
      </c>
      <c r="AA1" s="26" t="s">
        <v>81</v>
      </c>
      <c r="AB1" s="26" t="s">
        <v>82</v>
      </c>
    </row>
    <row r="2" spans="1:28" ht="46.5" customHeight="1">
      <c r="A2" s="1">
        <v>1</v>
      </c>
      <c r="B2" s="1" t="s">
        <v>83</v>
      </c>
      <c r="C2" s="1" t="s">
        <v>84</v>
      </c>
      <c r="D2" s="1" t="s">
        <v>85</v>
      </c>
      <c r="E2" s="1" t="s">
        <v>86</v>
      </c>
      <c r="F2" s="27" t="s">
        <v>87</v>
      </c>
      <c r="G2" s="27" t="s">
        <v>88</v>
      </c>
      <c r="H2" s="27" t="s">
        <v>89</v>
      </c>
      <c r="I2" s="1">
        <v>26400</v>
      </c>
      <c r="J2" s="1">
        <v>365</v>
      </c>
      <c r="K2" s="1">
        <v>300000</v>
      </c>
      <c r="L2" s="27" t="s">
        <v>90</v>
      </c>
      <c r="M2" s="1" t="s">
        <v>91</v>
      </c>
      <c r="N2" s="27" t="s">
        <v>92</v>
      </c>
      <c r="O2" s="27" t="s">
        <v>93</v>
      </c>
      <c r="P2" s="1" t="s">
        <v>94</v>
      </c>
      <c r="Q2" s="1" t="s">
        <v>95</v>
      </c>
      <c r="R2" s="1" t="s">
        <v>96</v>
      </c>
      <c r="S2" s="1" t="s">
        <v>94</v>
      </c>
      <c r="T2" s="27" t="s">
        <v>97</v>
      </c>
      <c r="U2" s="27" t="s">
        <v>98</v>
      </c>
      <c r="V2" s="27" t="s">
        <v>99</v>
      </c>
      <c r="W2" s="27" t="s">
        <v>100</v>
      </c>
      <c r="X2" s="27" t="s">
        <v>101</v>
      </c>
      <c r="Y2" s="27" t="s">
        <v>102</v>
      </c>
      <c r="Z2" s="27" t="s">
        <v>103</v>
      </c>
      <c r="AA2" s="1"/>
      <c r="AB2" s="1" t="str">
        <f>IF(Y2="월2회(15일,말일)","월2회 (15일·말일)",IF(Y2="","","월1회 (말일)"))</f>
        <v>월2회 (15일·말일)</v>
      </c>
    </row>
  </sheetData>
  <phoneticPr fontId="21" type="noConversion"/>
  <dataValidations count="1">
    <dataValidation type="list" allowBlank="1" errorTitle="사업자유형 선택" error="개인사업자 또는 법인만 선택" sqref="Z2:Z1002" xr:uid="{00000000-0002-0000-0000-000000000000}">
      <formula1>"개인사업자,법인"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110"/>
  <sheetViews>
    <sheetView view="pageBreakPreview" zoomScale="115" zoomScaleNormal="100" zoomScaleSheetLayoutView="115" workbookViewId="0">
      <selection activeCell="B13" sqref="B13:J13"/>
    </sheetView>
  </sheetViews>
  <sheetFormatPr defaultColWidth="8.6640625" defaultRowHeight="14.4"/>
  <cols>
    <col min="1" max="1" width="1.5546875" customWidth="1"/>
    <col min="2" max="2" width="11" customWidth="1"/>
    <col min="3" max="3" width="10" customWidth="1"/>
    <col min="4" max="4" width="19.5546875" customWidth="1"/>
    <col min="5" max="5" width="11" style="2" customWidth="1"/>
    <col min="6" max="6" width="16" customWidth="1"/>
    <col min="7" max="7" width="10" customWidth="1"/>
    <col min="8" max="8" width="16" customWidth="1"/>
    <col min="9" max="9" width="10" customWidth="1"/>
    <col min="10" max="10" width="14" customWidth="1"/>
    <col min="11" max="11" width="1.5546875" customWidth="1"/>
    <col min="12" max="12" width="6" customWidth="1"/>
  </cols>
  <sheetData>
    <row r="1" spans="1:12" ht="7.5" customHeight="1">
      <c r="A1" s="3"/>
      <c r="B1" s="3"/>
      <c r="C1" s="3"/>
      <c r="D1" s="3"/>
      <c r="E1" s="4"/>
      <c r="F1" s="3"/>
      <c r="G1" s="3"/>
      <c r="H1" s="3"/>
      <c r="I1" s="3"/>
      <c r="J1" s="3"/>
      <c r="K1" s="3"/>
      <c r="L1" s="28" t="s">
        <v>104</v>
      </c>
    </row>
    <row r="2" spans="1:12" ht="48" customHeight="1">
      <c r="A2" s="3"/>
      <c r="B2" s="79" t="s">
        <v>105</v>
      </c>
      <c r="C2" s="53"/>
      <c r="D2" s="53"/>
      <c r="E2" s="62"/>
      <c r="F2" s="53"/>
      <c r="G2" s="53"/>
      <c r="H2" s="53"/>
      <c r="I2" s="53"/>
      <c r="J2" s="53"/>
      <c r="K2" s="3"/>
      <c r="L2" s="5">
        <v>1</v>
      </c>
    </row>
    <row r="3" spans="1:12" ht="24" customHeight="1">
      <c r="A3" s="3"/>
      <c r="B3" s="81" t="s">
        <v>54</v>
      </c>
      <c r="C3" s="53"/>
      <c r="D3" s="53"/>
      <c r="E3" s="62"/>
      <c r="F3" s="83"/>
      <c r="G3" s="53"/>
      <c r="H3" s="53"/>
      <c r="I3" s="52"/>
      <c r="J3" s="53"/>
      <c r="K3" s="3"/>
      <c r="L3" s="3"/>
    </row>
    <row r="4" spans="1:12" ht="7.5" customHeight="1">
      <c r="A4" s="3"/>
      <c r="B4" s="3"/>
      <c r="C4" s="3"/>
      <c r="D4" s="3"/>
      <c r="E4" s="4"/>
      <c r="F4" s="3"/>
      <c r="G4" s="3"/>
      <c r="H4" s="3"/>
      <c r="I4" s="3"/>
      <c r="J4" s="3"/>
      <c r="K4" s="3"/>
      <c r="L4" s="3"/>
    </row>
    <row r="5" spans="1:12" ht="25.5" customHeight="1">
      <c r="A5" s="3"/>
      <c r="B5" s="61" t="s">
        <v>106</v>
      </c>
      <c r="C5" s="53"/>
      <c r="D5" s="53"/>
      <c r="E5" s="62"/>
      <c r="F5" s="53"/>
      <c r="G5" s="53"/>
      <c r="H5" s="53"/>
      <c r="I5" s="53"/>
      <c r="J5" s="53"/>
      <c r="K5" s="3"/>
      <c r="L5" s="3"/>
    </row>
    <row r="6" spans="1:12" ht="21.75" customHeight="1">
      <c r="A6" s="3"/>
      <c r="B6" s="29" t="s">
        <v>57</v>
      </c>
      <c r="C6" s="60" t="str">
        <f>IFERROR(IF(VLOOKUP($L$2,계약리스트!$A$2:$AD$10000,3,0)="","",VLOOKUP($L$2,계약리스트!$A$2:$AD$10000,3,0)),"")</f>
        <v>UHR150</v>
      </c>
      <c r="D6" s="56"/>
      <c r="E6" s="29" t="s">
        <v>59</v>
      </c>
      <c r="F6" s="60" t="str">
        <f>IFERROR(IF(VLOOKUP($L$2,계약리스트!$A$2:$AD$10000,5,0)="","",VLOOKUP($L$2,계약리스트!$A$2:$AD$10000,5,0)),"")</f>
        <v>1나88370</v>
      </c>
      <c r="G6" s="56"/>
      <c r="H6" s="29" t="s">
        <v>60</v>
      </c>
      <c r="I6" s="60" t="str">
        <f>IFERROR(IF(VLOOKUP($L$2,계약리스트!$A$2:$AD$10000,6,0)="","",VLOOKUP($L$2,계약리스트!$A$2:$AD$10000,6,0)),"")</f>
        <v>화이트</v>
      </c>
      <c r="J6" s="56"/>
      <c r="K6" s="3"/>
      <c r="L6" s="3"/>
    </row>
    <row r="7" spans="1:12" ht="21.75" customHeight="1">
      <c r="A7" s="3"/>
      <c r="B7" s="29" t="s">
        <v>58</v>
      </c>
      <c r="C7" s="60" t="str">
        <f>IFERROR(IF(VLOOKUP($L$2,계약리스트!$A$2:$AD$10000,4,0)="","",VLOOKUP($L$2,계약리스트!$A$2:$AD$10000,4,0)),"")</f>
        <v>LWMTDKH95THJ00467</v>
      </c>
      <c r="D7" s="56"/>
      <c r="E7" s="29" t="s">
        <v>61</v>
      </c>
      <c r="F7" s="60" t="str">
        <f>IFERROR(IF(VLOOKUP($L$2,계약리스트!$A$2:$AD$10000,7,0)="","",VLOOKUP($L$2,계약리스트!$A$2:$AD$10000,7,0)),"")</f>
        <v>비포함</v>
      </c>
      <c r="G7" s="56"/>
      <c r="H7" s="29" t="s">
        <v>107</v>
      </c>
      <c r="I7" s="60" t="str">
        <f>IFERROR(IF(VLOOKUP($L$2,계약리스트!$A$2:$AD$10000,2,0)="","",VLOOKUP($L$2,계약리스트!$A$2:$AD$10000,2,0)),"")</f>
        <v>2026-04-24</v>
      </c>
      <c r="J7" s="56"/>
      <c r="K7" s="3"/>
      <c r="L7" s="3"/>
    </row>
    <row r="8" spans="1:12" ht="25.5" customHeight="1">
      <c r="A8" s="3"/>
      <c r="B8" s="30" t="s">
        <v>62</v>
      </c>
      <c r="C8" s="82" t="str">
        <f>IFERROR(IF(VLOOKUP($L$2,계약리스트!$A$2:$AD$10000,8,0)="","",VLOOKUP($L$2,계약리스트!$A$2:$AD$10000,8,0)),"")</f>
        <v>만30세</v>
      </c>
      <c r="D8" s="56"/>
      <c r="E8" s="64" t="s">
        <v>108</v>
      </c>
      <c r="F8" s="55"/>
      <c r="G8" s="55"/>
      <c r="H8" s="55"/>
      <c r="I8" s="55"/>
      <c r="J8" s="56"/>
      <c r="K8" s="3"/>
      <c r="L8" s="3"/>
    </row>
    <row r="9" spans="1:12" ht="7.5" customHeight="1">
      <c r="A9" s="3"/>
      <c r="B9" s="3"/>
      <c r="C9" s="3"/>
      <c r="D9" s="3"/>
      <c r="E9" s="4"/>
      <c r="F9" s="3"/>
      <c r="G9" s="3"/>
      <c r="H9" s="3"/>
      <c r="I9" s="3"/>
      <c r="J9" s="3"/>
      <c r="K9" s="3"/>
      <c r="L9" s="3"/>
    </row>
    <row r="10" spans="1:12" ht="25.5" customHeight="1">
      <c r="A10" s="3"/>
      <c r="B10" s="61" t="s">
        <v>109</v>
      </c>
      <c r="C10" s="53"/>
      <c r="D10" s="53"/>
      <c r="E10" s="62"/>
      <c r="F10" s="53"/>
      <c r="G10" s="53"/>
      <c r="H10" s="53"/>
      <c r="I10" s="53"/>
      <c r="J10" s="53"/>
      <c r="K10" s="3"/>
      <c r="L10" s="3"/>
    </row>
    <row r="11" spans="1:12" ht="21.75" customHeight="1">
      <c r="A11" s="3"/>
      <c r="B11" s="29" t="s">
        <v>110</v>
      </c>
      <c r="C11" s="60" t="str">
        <f>IFERROR(IF(VLOOKUP($L$2,계약리스트!$A$2:$AD$10000,12,0)="","",VLOOKUP($L$2,계약리스트!$A$2:$AD$10000,12,0)),"")</f>
        <v>중앙 오토바이 가수점</v>
      </c>
      <c r="D11" s="56"/>
      <c r="E11" s="29" t="s">
        <v>67</v>
      </c>
      <c r="F11" s="60" t="str">
        <f>IFERROR(IF(VLOOKUP($L$2,계약리스트!$A$2:$AD$10000,13,0)="","",VLOOKUP($L$2,계약리스트!$A$2:$AD$10000,13,0)),"")</f>
        <v>737-55-00719</v>
      </c>
      <c r="G11" s="56"/>
      <c r="H11" s="29" t="s">
        <v>68</v>
      </c>
      <c r="I11" s="60" t="str">
        <f>IFERROR(IF(VLOOKUP($L$2,계약리스트!$A$2:$AD$10000,14,0)="","",VLOOKUP($L$2,계약리스트!$A$2:$AD$10000,14,0)),"")</f>
        <v>안종식</v>
      </c>
      <c r="J11" s="56"/>
      <c r="K11" s="3"/>
      <c r="L11" s="3"/>
    </row>
    <row r="12" spans="1:12" ht="21.75" customHeight="1">
      <c r="A12" s="3"/>
      <c r="B12" s="29" t="s">
        <v>111</v>
      </c>
      <c r="C12" s="60" t="str">
        <f>IFERROR(IF(VLOOKUP($L$2,계약리스트!$A$2:$AD$10000,16,0)="","",VLOOKUP($L$2,계약리스트!$A$2:$AD$10000,16,0)),"")</f>
        <v>010-5813-7336</v>
      </c>
      <c r="D12" s="56"/>
      <c r="E12" s="29" t="s">
        <v>69</v>
      </c>
      <c r="F12" s="69" t="str">
        <f>IFERROR(IF(VLOOKUP($L$2,계약리스트!$A$2:$AD$10000,15,0)="","",VLOOKUP($L$2,계약리스트!$A$2:$AD$10000,15,0)),"")</f>
        <v>경기도 오산시 가장로 763, 1층 5,6호(가수동)</v>
      </c>
      <c r="G12" s="55"/>
      <c r="H12" s="55"/>
      <c r="I12" s="55"/>
      <c r="J12" s="56"/>
      <c r="K12" s="3"/>
      <c r="L12" s="3"/>
    </row>
    <row r="13" spans="1:12" ht="19.5" customHeight="1">
      <c r="A13" s="3"/>
      <c r="B13" s="92" t="s">
        <v>112</v>
      </c>
      <c r="C13" s="55"/>
      <c r="D13" s="55"/>
      <c r="E13" s="55"/>
      <c r="F13" s="55"/>
      <c r="G13" s="55"/>
      <c r="H13" s="55"/>
      <c r="I13" s="55"/>
      <c r="J13" s="56"/>
      <c r="K13" s="3"/>
      <c r="L13" s="3"/>
    </row>
    <row r="14" spans="1:12" ht="7.5" customHeight="1">
      <c r="A14" s="3"/>
      <c r="B14" s="3"/>
      <c r="C14" s="3"/>
      <c r="D14" s="3"/>
      <c r="E14" s="4"/>
      <c r="F14" s="3"/>
      <c r="G14" s="3"/>
      <c r="H14" s="3"/>
      <c r="I14" s="3"/>
      <c r="J14" s="3"/>
      <c r="K14" s="3"/>
      <c r="L14" s="3"/>
    </row>
    <row r="15" spans="1:12" ht="25.5" customHeight="1">
      <c r="A15" s="3"/>
      <c r="B15" s="61" t="s">
        <v>113</v>
      </c>
      <c r="C15" s="53"/>
      <c r="D15" s="53"/>
      <c r="E15" s="62"/>
      <c r="F15" s="53"/>
      <c r="G15" s="53"/>
      <c r="H15" s="53"/>
      <c r="I15" s="53"/>
      <c r="J15" s="53"/>
      <c r="K15" s="3"/>
      <c r="L15" s="3"/>
    </row>
    <row r="16" spans="1:12" ht="21.75" customHeight="1">
      <c r="A16" s="3"/>
      <c r="B16" s="29" t="s">
        <v>114</v>
      </c>
      <c r="C16" s="60" t="str">
        <f>IFERROR(IF(VLOOKUP($L$2,계약리스트!$A$2:$AD$10000,14,0)="","",VLOOKUP($L$2,계약리스트!$A$2:$AD$10000,14,0)),"")</f>
        <v>안종식</v>
      </c>
      <c r="D16" s="56"/>
      <c r="E16" s="29" t="s">
        <v>115</v>
      </c>
      <c r="F16" s="60" t="str">
        <f>IFERROR(IF(VLOOKUP($L$2,계약리스트!$A$2:$AD$10000,18,0)="","",VLOOKUP($L$2,계약리스트!$A$2:$AD$10000,18,0)),"")</f>
        <v>820530-1046518</v>
      </c>
      <c r="G16" s="56"/>
      <c r="H16" s="29" t="s">
        <v>111</v>
      </c>
      <c r="I16" s="60" t="str">
        <f>IFERROR(IF(VLOOKUP($L$2,계약리스트!$A$2:$AD$10000,19,0)="","",VLOOKUP($L$2,계약리스트!$A$2:$AD$10000,19,0)),"")</f>
        <v>010-5813-7336</v>
      </c>
      <c r="J16" s="56"/>
      <c r="K16" s="3"/>
      <c r="L16" s="3"/>
    </row>
    <row r="17" spans="1:12" ht="21.75" customHeight="1">
      <c r="A17" s="3"/>
      <c r="B17" s="29" t="s">
        <v>116</v>
      </c>
      <c r="C17" s="69" t="str">
        <f>IFERROR(IF(VLOOKUP($L$2,계약리스트!$A$2:$AD$10000,20,0)="","",VLOOKUP($L$2,계약리스트!$A$2:$AD$10000,20,0)),"")</f>
        <v>경기도 오산시 궐동로 77, 1층(궐동)</v>
      </c>
      <c r="D17" s="55"/>
      <c r="E17" s="55"/>
      <c r="F17" s="55"/>
      <c r="G17" s="55"/>
      <c r="H17" s="55"/>
      <c r="I17" s="55"/>
      <c r="J17" s="56"/>
      <c r="K17" s="3"/>
      <c r="L17" s="3"/>
    </row>
    <row r="18" spans="1:12" ht="19.5" customHeight="1">
      <c r="A18" s="3"/>
      <c r="B18" s="92" t="s">
        <v>117</v>
      </c>
      <c r="C18" s="55"/>
      <c r="D18" s="55"/>
      <c r="E18" s="55"/>
      <c r="F18" s="55"/>
      <c r="G18" s="55"/>
      <c r="H18" s="55"/>
      <c r="I18" s="55"/>
      <c r="J18" s="56"/>
      <c r="K18" s="3"/>
      <c r="L18" s="3"/>
    </row>
    <row r="19" spans="1:12" ht="7.5" customHeight="1">
      <c r="A19" s="3"/>
      <c r="B19" s="3"/>
      <c r="C19" s="3"/>
      <c r="D19" s="3"/>
      <c r="E19" s="4"/>
      <c r="F19" s="3"/>
      <c r="G19" s="3"/>
      <c r="H19" s="3"/>
      <c r="I19" s="3"/>
      <c r="J19" s="3"/>
      <c r="K19" s="3"/>
      <c r="L19" s="3"/>
    </row>
    <row r="20" spans="1:12" ht="25.5" customHeight="1">
      <c r="A20" s="3"/>
      <c r="B20" s="74" t="s">
        <v>118</v>
      </c>
      <c r="C20" s="75"/>
      <c r="D20" s="75"/>
      <c r="E20" s="75"/>
      <c r="F20" s="75"/>
      <c r="G20" s="75"/>
      <c r="H20" s="75"/>
      <c r="I20" s="75"/>
      <c r="J20" s="75"/>
      <c r="K20" s="3"/>
      <c r="L20" s="3"/>
    </row>
    <row r="21" spans="1:12" ht="21.75" customHeight="1">
      <c r="A21" s="3"/>
      <c r="B21" s="29" t="s">
        <v>75</v>
      </c>
      <c r="C21" s="60" t="str">
        <f>IFERROR(IF(VLOOKUP($L$2,계약리스트!$A$2:$AD$10000,21,0)="","",VLOOKUP($L$2,계약리스트!$A$2:$AD$10000,21,0)),"")</f>
        <v>렌트</v>
      </c>
      <c r="D21" s="56"/>
      <c r="E21" s="29" t="s">
        <v>76</v>
      </c>
      <c r="F21" s="60" t="str">
        <f>IFERROR(IF(VLOOKUP($L$2,계약리스트!$A$2:$AD$10000,22,0)="","",VLOOKUP($L$2,계약리스트!$A$2:$AD$10000,22,0)),"")</f>
        <v>인수형</v>
      </c>
      <c r="G21" s="56"/>
      <c r="H21" s="29" t="s">
        <v>119</v>
      </c>
      <c r="I21" s="60" t="str">
        <f>IFERROR(VLOOKUP($L$2,계약리스트!$A$2:$AD$10000,10,0)&amp;"일","")</f>
        <v>365일</v>
      </c>
      <c r="J21" s="56"/>
      <c r="K21" s="3"/>
      <c r="L21" s="3"/>
    </row>
    <row r="22" spans="1:12" ht="21.75" customHeight="1">
      <c r="A22" s="3"/>
      <c r="B22" s="29" t="s">
        <v>120</v>
      </c>
      <c r="C22" s="60" t="str">
        <f>IFERROR(TEXT(VLOOKUP($L$2,계약리스트!$A$2:$AD$10000,9,0),"#,##0")&amp;" 원","")</f>
        <v>26,400 원</v>
      </c>
      <c r="D22" s="56"/>
      <c r="E22" s="29" t="s">
        <v>65</v>
      </c>
      <c r="F22" s="60" t="str">
        <f>IFERROR(TEXT(VLOOKUP($L$2,계약리스트!$A$2:$AD$10000,11,0),"#,##0")&amp;" 원","")</f>
        <v>300,000 원</v>
      </c>
      <c r="G22" s="56"/>
      <c r="H22" s="29" t="s">
        <v>79</v>
      </c>
      <c r="I22" s="60" t="str">
        <f>IFERROR(IF(VLOOKUP($L$2,계약리스트!$A$2:$AD$10000,25,0)="","",VLOOKUP($L$2,계약리스트!$A$2:$AD$10000,25,0)),"")</f>
        <v>월2회(15일,말일)</v>
      </c>
      <c r="J22" s="56"/>
      <c r="K22" s="3"/>
      <c r="L22" s="3"/>
    </row>
    <row r="23" spans="1:12" ht="21.75" customHeight="1">
      <c r="A23" s="3"/>
      <c r="B23" s="29" t="s">
        <v>77</v>
      </c>
      <c r="C23" s="60" t="str">
        <f>IFERROR(IF(VLOOKUP($L$2,계약리스트!$A$2:$AD$10000,23,0)="","",VLOOKUP($L$2,계약리스트!$A$2:$AD$10000,23,0)),"")</f>
        <v>계좌이체</v>
      </c>
      <c r="D23" s="56"/>
      <c r="E23" s="29" t="s">
        <v>121</v>
      </c>
      <c r="F23" s="69" t="str">
        <f>TEXT(_xlfn.XLOOKUP(L2,계약리스트!A:A,계약리스트!B:B),"yyyy년 mm월 dd일")</f>
        <v>2026년 04월 24일</v>
      </c>
      <c r="G23" s="55"/>
      <c r="H23" s="55"/>
      <c r="I23" s="55"/>
      <c r="J23" s="56"/>
      <c r="K23" s="3"/>
      <c r="L23" s="3"/>
    </row>
    <row r="24" spans="1:12" ht="21.75" customHeight="1">
      <c r="A24" s="3"/>
      <c r="B24" s="29" t="s">
        <v>78</v>
      </c>
      <c r="C24" s="69" t="s">
        <v>101</v>
      </c>
      <c r="D24" s="55"/>
      <c r="E24" s="55"/>
      <c r="F24" s="55"/>
      <c r="G24" s="55"/>
      <c r="H24" s="55"/>
      <c r="I24" s="55"/>
      <c r="J24" s="56"/>
      <c r="K24" s="3"/>
      <c r="L24" s="3"/>
    </row>
    <row r="25" spans="1:12" ht="7.5" customHeight="1">
      <c r="A25" s="3"/>
      <c r="B25" s="3"/>
      <c r="C25" s="3"/>
      <c r="D25" s="3"/>
      <c r="E25" s="4"/>
      <c r="F25" s="3"/>
      <c r="G25" s="3"/>
      <c r="H25" s="3"/>
      <c r="I25" s="3"/>
      <c r="J25" s="3"/>
      <c r="K25" s="3"/>
      <c r="L25" s="3"/>
    </row>
    <row r="26" spans="1:12" ht="25.5" customHeight="1">
      <c r="A26" s="3"/>
      <c r="B26" s="61" t="s">
        <v>122</v>
      </c>
      <c r="C26" s="53"/>
      <c r="D26" s="53"/>
      <c r="E26" s="62"/>
      <c r="F26" s="53"/>
      <c r="G26" s="53"/>
      <c r="H26" s="53"/>
      <c r="I26" s="53"/>
      <c r="J26" s="53"/>
      <c r="K26" s="3"/>
      <c r="L26" s="3"/>
    </row>
    <row r="27" spans="1:12" ht="21.75" customHeight="1">
      <c r="A27" s="3"/>
      <c r="B27" s="29" t="s">
        <v>123</v>
      </c>
      <c r="C27" s="69" t="s">
        <v>54</v>
      </c>
      <c r="D27" s="56"/>
      <c r="E27" s="29" t="s">
        <v>67</v>
      </c>
      <c r="F27" s="60" t="s">
        <v>124</v>
      </c>
      <c r="G27" s="56"/>
      <c r="H27" s="29" t="s">
        <v>125</v>
      </c>
      <c r="I27" s="69" t="s">
        <v>126</v>
      </c>
      <c r="J27" s="56"/>
      <c r="K27" s="3"/>
      <c r="L27" s="3"/>
    </row>
    <row r="28" spans="1:12" ht="21.75" customHeight="1">
      <c r="A28" s="3"/>
      <c r="B28" s="29" t="s">
        <v>116</v>
      </c>
      <c r="C28" s="69" t="s">
        <v>127</v>
      </c>
      <c r="D28" s="55"/>
      <c r="E28" s="55"/>
      <c r="F28" s="56"/>
      <c r="G28" s="29" t="s">
        <v>128</v>
      </c>
      <c r="H28" s="60" t="s">
        <v>129</v>
      </c>
      <c r="I28" s="55"/>
      <c r="J28" s="56"/>
      <c r="K28" s="3"/>
      <c r="L28" s="3"/>
    </row>
    <row r="29" spans="1:12" ht="7.5" customHeight="1">
      <c r="A29" s="3"/>
      <c r="B29" s="3"/>
      <c r="C29" s="3"/>
      <c r="D29" s="3"/>
      <c r="E29" s="4"/>
      <c r="F29" s="3"/>
      <c r="G29" s="3"/>
      <c r="H29" s="3"/>
      <c r="I29" s="3"/>
      <c r="J29" s="3"/>
      <c r="K29" s="3"/>
      <c r="L29" s="3"/>
    </row>
    <row r="30" spans="1:12" ht="25.5" customHeight="1">
      <c r="A30" s="3"/>
      <c r="B30" s="93" t="s">
        <v>130</v>
      </c>
      <c r="C30" s="53"/>
      <c r="D30" s="53"/>
      <c r="E30" s="62"/>
      <c r="F30" s="53"/>
      <c r="G30" s="53"/>
      <c r="H30" s="53"/>
      <c r="I30" s="53"/>
      <c r="J30" s="53"/>
      <c r="K30" s="3"/>
      <c r="L30" s="3"/>
    </row>
    <row r="31" spans="1:12" ht="31.5" customHeight="1">
      <c r="A31" s="3"/>
      <c r="B31" s="63" t="s">
        <v>8</v>
      </c>
      <c r="C31" s="56"/>
      <c r="D31" s="64" t="s">
        <v>131</v>
      </c>
      <c r="E31" s="55"/>
      <c r="F31" s="55"/>
      <c r="G31" s="55"/>
      <c r="H31" s="55"/>
      <c r="I31" s="55"/>
      <c r="J31" s="56"/>
      <c r="K31" s="3"/>
      <c r="L31" s="3"/>
    </row>
    <row r="32" spans="1:12" ht="57" customHeight="1">
      <c r="A32" s="3"/>
      <c r="B32" s="63" t="s">
        <v>132</v>
      </c>
      <c r="C32" s="56"/>
      <c r="D32" s="64" t="s">
        <v>466</v>
      </c>
      <c r="E32" s="77"/>
      <c r="F32" s="77"/>
      <c r="G32" s="77"/>
      <c r="H32" s="77"/>
      <c r="I32" s="77"/>
      <c r="J32" s="78"/>
      <c r="K32" s="3"/>
      <c r="L32" s="3"/>
    </row>
    <row r="33" spans="1:12" ht="37.799999999999997" customHeight="1">
      <c r="A33" s="3"/>
      <c r="B33" s="63" t="s">
        <v>14</v>
      </c>
      <c r="C33" s="56"/>
      <c r="D33" s="64" t="s">
        <v>133</v>
      </c>
      <c r="E33" s="55"/>
      <c r="F33" s="55"/>
      <c r="G33" s="55"/>
      <c r="H33" s="55"/>
      <c r="I33" s="55"/>
      <c r="J33" s="56"/>
      <c r="K33" s="3"/>
      <c r="L33" s="3"/>
    </row>
    <row r="34" spans="1:12" ht="31.5" customHeight="1">
      <c r="A34" s="3"/>
      <c r="B34" s="76" t="s">
        <v>20</v>
      </c>
      <c r="C34" s="56"/>
      <c r="D34" s="64" t="s">
        <v>134</v>
      </c>
      <c r="E34" s="55"/>
      <c r="F34" s="55"/>
      <c r="G34" s="55"/>
      <c r="H34" s="55"/>
      <c r="I34" s="55"/>
      <c r="J34" s="56"/>
      <c r="K34" s="3"/>
      <c r="L34" s="3"/>
    </row>
    <row r="35" spans="1:12" ht="54.6" customHeight="1">
      <c r="B35" s="76" t="s">
        <v>135</v>
      </c>
      <c r="C35" s="56"/>
      <c r="D35" s="64" t="s">
        <v>136</v>
      </c>
      <c r="E35" s="55"/>
      <c r="F35" s="55"/>
      <c r="G35" s="55"/>
      <c r="H35" s="55"/>
      <c r="I35" s="55"/>
      <c r="J35" s="56"/>
    </row>
    <row r="36" spans="1:12" ht="90" customHeight="1">
      <c r="A36" s="3"/>
      <c r="B36" s="63" t="s">
        <v>137</v>
      </c>
      <c r="C36" s="56"/>
      <c r="D36" s="54" t="s">
        <v>138</v>
      </c>
      <c r="E36" s="55"/>
      <c r="F36" s="55"/>
      <c r="G36" s="55"/>
      <c r="H36" s="55"/>
      <c r="I36" s="55"/>
      <c r="J36" s="56"/>
      <c r="K36" s="3"/>
      <c r="L36" s="3"/>
    </row>
    <row r="37" spans="1:12" ht="67.95" customHeight="1">
      <c r="A37" s="3"/>
      <c r="B37" s="73" t="s">
        <v>139</v>
      </c>
      <c r="C37" s="56"/>
      <c r="D37" s="85" t="s">
        <v>140</v>
      </c>
      <c r="E37" s="55"/>
      <c r="F37" s="55"/>
      <c r="G37" s="55"/>
      <c r="H37" s="55"/>
      <c r="I37" s="55"/>
      <c r="J37" s="56"/>
      <c r="K37" s="3"/>
      <c r="L37" s="3"/>
    </row>
    <row r="38" spans="1:12" ht="32.4" customHeight="1">
      <c r="A38" s="3"/>
      <c r="B38" s="73" t="s">
        <v>141</v>
      </c>
      <c r="C38" s="56"/>
      <c r="D38" s="80" t="s">
        <v>142</v>
      </c>
      <c r="E38" s="55"/>
      <c r="F38" s="55"/>
      <c r="G38" s="55"/>
      <c r="H38" s="55"/>
      <c r="I38" s="55"/>
      <c r="J38" s="56"/>
      <c r="K38" s="3"/>
      <c r="L38" s="3"/>
    </row>
    <row r="39" spans="1:12" ht="40.799999999999997" customHeight="1">
      <c r="A39" s="3"/>
      <c r="B39" s="73" t="s">
        <v>143</v>
      </c>
      <c r="C39" s="56"/>
      <c r="D39" s="80" t="s">
        <v>144</v>
      </c>
      <c r="E39" s="55"/>
      <c r="F39" s="55"/>
      <c r="G39" s="55"/>
      <c r="H39" s="55"/>
      <c r="I39" s="55"/>
      <c r="J39" s="56"/>
      <c r="K39" s="3"/>
      <c r="L39" s="3"/>
    </row>
    <row r="40" spans="1:12" ht="25.5" customHeight="1">
      <c r="A40" s="3"/>
      <c r="B40" s="91"/>
      <c r="C40" s="53"/>
      <c r="D40" s="53"/>
      <c r="E40" s="62"/>
      <c r="F40" s="53"/>
      <c r="G40" s="53"/>
      <c r="H40" s="53"/>
      <c r="I40" s="53"/>
      <c r="J40" s="53"/>
      <c r="K40" s="3"/>
      <c r="L40" s="3"/>
    </row>
    <row r="41" spans="1:12" ht="25.5" customHeight="1">
      <c r="A41" s="3"/>
      <c r="B41" s="61" t="s">
        <v>145</v>
      </c>
      <c r="C41" s="53"/>
      <c r="D41" s="53"/>
      <c r="E41" s="62"/>
      <c r="F41" s="53"/>
      <c r="G41" s="53"/>
      <c r="H41" s="53"/>
      <c r="I41" s="53"/>
      <c r="J41" s="53"/>
      <c r="K41" s="3"/>
      <c r="L41" s="3"/>
    </row>
    <row r="42" spans="1:12" ht="25.5" customHeight="1">
      <c r="A42" s="3"/>
      <c r="B42" s="89" t="s">
        <v>146</v>
      </c>
      <c r="C42" s="72"/>
      <c r="D42" s="70" t="s">
        <v>147</v>
      </c>
      <c r="E42" s="71"/>
      <c r="F42" s="71"/>
      <c r="G42" s="71"/>
      <c r="H42" s="71"/>
      <c r="I42" s="71"/>
      <c r="J42" s="72"/>
      <c r="K42" s="3"/>
      <c r="L42" s="3"/>
    </row>
    <row r="43" spans="1:12" ht="25.5" customHeight="1">
      <c r="A43" s="3"/>
      <c r="B43" s="68" t="s">
        <v>148</v>
      </c>
      <c r="C43" s="56"/>
      <c r="D43" s="59" t="s">
        <v>149</v>
      </c>
      <c r="E43" s="55"/>
      <c r="F43" s="55"/>
      <c r="G43" s="55"/>
      <c r="H43" s="55"/>
      <c r="I43" s="55"/>
      <c r="J43" s="56"/>
      <c r="K43" s="3"/>
      <c r="L43" s="3"/>
    </row>
    <row r="44" spans="1:12" ht="25.5" customHeight="1">
      <c r="A44" s="3"/>
      <c r="B44" s="68" t="s">
        <v>150</v>
      </c>
      <c r="C44" s="56"/>
      <c r="D44" s="59" t="s">
        <v>151</v>
      </c>
      <c r="E44" s="55"/>
      <c r="F44" s="55"/>
      <c r="G44" s="55"/>
      <c r="H44" s="55"/>
      <c r="I44" s="55"/>
      <c r="J44" s="56"/>
      <c r="K44" s="3"/>
      <c r="L44" s="3"/>
    </row>
    <row r="45" spans="1:12" ht="25.5" customHeight="1">
      <c r="A45" s="3"/>
      <c r="B45" s="68" t="s">
        <v>152</v>
      </c>
      <c r="C45" s="56"/>
      <c r="D45" s="59" t="s">
        <v>153</v>
      </c>
      <c r="E45" s="55"/>
      <c r="F45" s="55"/>
      <c r="G45" s="55"/>
      <c r="H45" s="55"/>
      <c r="I45" s="55"/>
      <c r="J45" s="56"/>
      <c r="K45" s="3"/>
      <c r="L45" s="3"/>
    </row>
    <row r="46" spans="1:12" ht="25.5" customHeight="1">
      <c r="A46" s="3"/>
      <c r="B46" s="68" t="s">
        <v>154</v>
      </c>
      <c r="C46" s="56"/>
      <c r="D46" s="59" t="s">
        <v>155</v>
      </c>
      <c r="E46" s="55"/>
      <c r="F46" s="55"/>
      <c r="G46" s="55"/>
      <c r="H46" s="55"/>
      <c r="I46" s="55"/>
      <c r="J46" s="56"/>
      <c r="K46" s="3"/>
      <c r="L46" s="3"/>
    </row>
    <row r="47" spans="1:12" ht="25.5" customHeight="1">
      <c r="A47" s="3"/>
      <c r="B47" s="68" t="s">
        <v>156</v>
      </c>
      <c r="C47" s="55"/>
      <c r="D47" s="55"/>
      <c r="E47" s="55"/>
      <c r="F47" s="55"/>
      <c r="G47" s="55"/>
      <c r="H47" s="55"/>
      <c r="I47" s="55"/>
      <c r="J47" s="56"/>
      <c r="K47" s="3"/>
      <c r="L47" s="3"/>
    </row>
    <row r="48" spans="1:12" ht="15.6" customHeight="1">
      <c r="A48" s="3"/>
      <c r="B48" s="65" t="s">
        <v>157</v>
      </c>
      <c r="C48" s="66"/>
      <c r="D48" s="66"/>
      <c r="E48" s="66"/>
      <c r="F48" s="66"/>
      <c r="G48" s="66"/>
      <c r="H48" s="66"/>
      <c r="I48" s="66"/>
      <c r="J48" s="67"/>
      <c r="K48" s="3"/>
      <c r="L48" s="3"/>
    </row>
    <row r="49" spans="1:12" ht="25.5" customHeight="1">
      <c r="A49" s="3"/>
      <c r="B49" s="91"/>
      <c r="C49" s="53"/>
      <c r="D49" s="53"/>
      <c r="E49" s="62"/>
      <c r="F49" s="53"/>
      <c r="G49" s="53"/>
      <c r="H49" s="53"/>
      <c r="I49" s="53"/>
      <c r="J49" s="53"/>
      <c r="K49" s="3"/>
      <c r="L49" s="3"/>
    </row>
    <row r="50" spans="1:12" ht="36" customHeight="1">
      <c r="A50" s="3"/>
      <c r="B50" s="61" t="s">
        <v>158</v>
      </c>
      <c r="C50" s="53"/>
      <c r="D50" s="53"/>
      <c r="E50" s="62"/>
      <c r="F50" s="53"/>
      <c r="G50" s="53"/>
      <c r="H50" s="53"/>
      <c r="I50" s="53"/>
      <c r="J50" s="53"/>
      <c r="K50" s="3"/>
      <c r="L50" s="3"/>
    </row>
    <row r="51" spans="1:12" ht="48" customHeight="1">
      <c r="A51" s="3"/>
      <c r="B51" s="84" t="s">
        <v>159</v>
      </c>
      <c r="C51" s="55"/>
      <c r="D51" s="55"/>
      <c r="E51" s="55"/>
      <c r="F51" s="55"/>
      <c r="G51" s="55"/>
      <c r="H51" s="55"/>
      <c r="I51" s="55"/>
      <c r="J51" s="56"/>
      <c r="K51" s="3"/>
      <c r="L51" s="3"/>
    </row>
    <row r="52" spans="1:12" ht="35.4" customHeight="1">
      <c r="A52" s="3"/>
      <c r="B52" s="31" t="s">
        <v>50</v>
      </c>
      <c r="C52" s="86" t="str">
        <f>C11</f>
        <v>중앙 오토바이 가수점</v>
      </c>
      <c r="D52" s="55"/>
      <c r="E52" s="56"/>
      <c r="F52" s="25" t="s">
        <v>51</v>
      </c>
      <c r="G52" s="31" t="s">
        <v>52</v>
      </c>
      <c r="H52" s="84" t="str">
        <f>C16</f>
        <v>안종식</v>
      </c>
      <c r="I52" s="56"/>
      <c r="J52" s="25" t="s">
        <v>51</v>
      </c>
      <c r="K52" s="3"/>
      <c r="L52" s="3"/>
    </row>
    <row r="53" spans="1:12" ht="35.4" customHeight="1">
      <c r="A53" s="3"/>
      <c r="B53" s="29" t="s">
        <v>53</v>
      </c>
      <c r="C53" s="90" t="s">
        <v>160</v>
      </c>
      <c r="D53" s="55"/>
      <c r="E53" s="55"/>
      <c r="F53" s="55"/>
      <c r="G53" s="55"/>
      <c r="H53" s="55"/>
      <c r="I53" s="56"/>
      <c r="J53" s="25" t="s">
        <v>51</v>
      </c>
      <c r="K53" s="3"/>
      <c r="L53" s="3"/>
    </row>
    <row r="54" spans="1:12" ht="15" customHeight="1">
      <c r="A54" s="3"/>
      <c r="B54" s="87" t="s">
        <v>161</v>
      </c>
      <c r="C54" s="88"/>
      <c r="D54" s="88"/>
      <c r="E54" s="88"/>
      <c r="F54" s="88"/>
      <c r="G54" s="88"/>
      <c r="H54" s="88"/>
      <c r="I54" s="88"/>
      <c r="J54" s="58"/>
      <c r="K54" s="3"/>
      <c r="L54" s="3"/>
    </row>
    <row r="55" spans="1:12" ht="15" customHeight="1">
      <c r="A55" s="3"/>
      <c r="B55" s="32" t="s">
        <v>162</v>
      </c>
      <c r="C55" s="57"/>
      <c r="D55" s="58"/>
      <c r="E55" s="32" t="s">
        <v>163</v>
      </c>
      <c r="F55" s="57"/>
      <c r="G55" s="58"/>
      <c r="H55" s="32" t="s">
        <v>164</v>
      </c>
      <c r="I55" s="57"/>
      <c r="J55" s="58"/>
      <c r="K55" s="3"/>
      <c r="L55" s="3"/>
    </row>
    <row r="56" spans="1:12" ht="15" customHeight="1">
      <c r="A56" s="3"/>
      <c r="B56" s="32" t="s">
        <v>165</v>
      </c>
      <c r="C56" s="57"/>
      <c r="D56" s="58"/>
      <c r="E56" s="32" t="s">
        <v>166</v>
      </c>
      <c r="F56" s="57"/>
      <c r="G56" s="58"/>
      <c r="H56" s="32" t="s">
        <v>167</v>
      </c>
      <c r="I56" s="57"/>
      <c r="J56" s="58"/>
      <c r="K56" s="3"/>
      <c r="L56" s="3"/>
    </row>
    <row r="57" spans="1:12" ht="15" customHeight="1">
      <c r="A57" s="3"/>
      <c r="B57" s="3"/>
      <c r="C57" s="3"/>
      <c r="D57" s="3"/>
      <c r="E57" s="4"/>
      <c r="F57" s="3"/>
      <c r="G57" s="3"/>
      <c r="H57" s="3"/>
      <c r="I57" s="3"/>
      <c r="J57" s="3"/>
      <c r="K57" s="3"/>
      <c r="L57" s="3"/>
    </row>
    <row r="58" spans="1:12" ht="15" customHeight="1">
      <c r="A58" s="3"/>
      <c r="B58" s="3"/>
      <c r="C58" s="3"/>
      <c r="D58" s="3"/>
      <c r="E58" s="4"/>
      <c r="F58" s="3"/>
      <c r="G58" s="3"/>
      <c r="H58" s="3"/>
      <c r="I58" s="3"/>
      <c r="J58" s="3"/>
      <c r="K58" s="3"/>
      <c r="L58" s="3"/>
    </row>
    <row r="59" spans="1:12" ht="15" customHeight="1">
      <c r="A59" s="3"/>
      <c r="B59" s="3"/>
      <c r="C59" s="3"/>
      <c r="D59" s="3"/>
      <c r="E59" s="4"/>
      <c r="F59" s="3"/>
      <c r="G59" s="3"/>
      <c r="H59" s="3"/>
      <c r="I59" s="3"/>
      <c r="J59" s="3"/>
      <c r="K59" s="3"/>
      <c r="L59" s="3"/>
    </row>
    <row r="60" spans="1:12" ht="15" customHeight="1">
      <c r="A60" s="3"/>
      <c r="B60" s="3"/>
      <c r="C60" s="3"/>
      <c r="D60" s="3"/>
      <c r="E60" s="4"/>
      <c r="F60" s="3"/>
      <c r="G60" s="3"/>
      <c r="H60" s="3"/>
      <c r="I60" s="3"/>
      <c r="J60" s="3"/>
      <c r="K60" s="3"/>
      <c r="L60" s="3"/>
    </row>
    <row r="61" spans="1:12" ht="15" customHeight="1">
      <c r="A61" s="3"/>
      <c r="B61" s="3"/>
      <c r="C61" s="3"/>
      <c r="D61" s="3"/>
      <c r="E61" s="4"/>
      <c r="F61" s="3"/>
      <c r="G61" s="3"/>
      <c r="H61" s="3"/>
      <c r="I61" s="3"/>
      <c r="J61" s="3"/>
      <c r="K61" s="3"/>
      <c r="L61" s="3"/>
    </row>
    <row r="62" spans="1:12" ht="15" customHeight="1">
      <c r="A62" s="3"/>
      <c r="B62" s="3"/>
      <c r="C62" s="3"/>
      <c r="D62" s="3"/>
      <c r="E62" s="4"/>
      <c r="F62" s="3"/>
      <c r="G62" s="3"/>
      <c r="H62" s="3"/>
      <c r="I62" s="3"/>
      <c r="J62" s="3"/>
      <c r="K62" s="3"/>
      <c r="L62" s="3"/>
    </row>
    <row r="63" spans="1:12" ht="15" customHeight="1">
      <c r="A63" s="3"/>
      <c r="B63" s="3"/>
      <c r="C63" s="3"/>
      <c r="D63" s="3"/>
      <c r="E63" s="4"/>
      <c r="F63" s="3"/>
      <c r="G63" s="3"/>
      <c r="H63" s="3"/>
      <c r="I63" s="3"/>
      <c r="J63" s="3"/>
      <c r="K63" s="3"/>
      <c r="L63" s="3"/>
    </row>
    <row r="64" spans="1:12" ht="15" customHeight="1">
      <c r="A64" s="3"/>
      <c r="B64" s="3"/>
      <c r="C64" s="3"/>
      <c r="D64" s="3"/>
      <c r="E64" s="4"/>
      <c r="F64" s="3"/>
      <c r="G64" s="3"/>
      <c r="H64" s="3"/>
      <c r="I64" s="3"/>
      <c r="J64" s="3"/>
      <c r="K64" s="3"/>
      <c r="L64" s="3"/>
    </row>
    <row r="65" spans="1:12" ht="15" customHeight="1">
      <c r="A65" s="3"/>
      <c r="B65" s="3"/>
      <c r="C65" s="3"/>
      <c r="D65" s="3"/>
      <c r="E65" s="4"/>
      <c r="F65" s="3"/>
      <c r="G65" s="3"/>
      <c r="H65" s="3"/>
      <c r="I65" s="3"/>
      <c r="J65" s="3"/>
      <c r="K65" s="3"/>
      <c r="L65" s="3"/>
    </row>
    <row r="66" spans="1:12" ht="15" customHeight="1">
      <c r="A66" s="3"/>
      <c r="B66" s="3"/>
      <c r="C66" s="3"/>
      <c r="D66" s="3"/>
      <c r="E66" s="4"/>
      <c r="F66" s="3"/>
      <c r="G66" s="3"/>
      <c r="H66" s="3"/>
      <c r="I66" s="3"/>
      <c r="J66" s="3"/>
      <c r="K66" s="3"/>
      <c r="L66" s="3"/>
    </row>
    <row r="67" spans="1:12" ht="15" customHeight="1">
      <c r="A67" s="3"/>
      <c r="B67" s="3"/>
      <c r="C67" s="3"/>
      <c r="D67" s="3"/>
      <c r="E67" s="4"/>
      <c r="F67" s="3"/>
      <c r="G67" s="3"/>
      <c r="H67" s="3"/>
      <c r="I67" s="3"/>
      <c r="J67" s="3"/>
      <c r="K67" s="3"/>
      <c r="L67" s="3"/>
    </row>
    <row r="68" spans="1:12" ht="15" customHeight="1">
      <c r="A68" s="3"/>
      <c r="B68" s="3"/>
      <c r="C68" s="3"/>
      <c r="D68" s="3"/>
      <c r="E68" s="4"/>
      <c r="F68" s="3"/>
      <c r="G68" s="3"/>
      <c r="H68" s="3"/>
      <c r="I68" s="3"/>
      <c r="J68" s="3"/>
      <c r="K68" s="3"/>
      <c r="L68" s="3"/>
    </row>
    <row r="69" spans="1:12" ht="15" customHeight="1">
      <c r="A69" s="3"/>
      <c r="B69" s="3"/>
      <c r="C69" s="3"/>
      <c r="D69" s="3"/>
      <c r="E69" s="4"/>
      <c r="F69" s="3"/>
      <c r="G69" s="3"/>
      <c r="H69" s="3"/>
      <c r="I69" s="3"/>
      <c r="J69" s="3"/>
      <c r="K69" s="3"/>
      <c r="L69" s="3"/>
    </row>
    <row r="70" spans="1:12" ht="15" customHeight="1">
      <c r="A70" s="3"/>
      <c r="B70" s="3"/>
      <c r="C70" s="3"/>
      <c r="D70" s="3"/>
      <c r="E70" s="4"/>
      <c r="F70" s="3"/>
      <c r="G70" s="3"/>
      <c r="H70" s="3"/>
      <c r="I70" s="3"/>
      <c r="J70" s="3"/>
      <c r="K70" s="3"/>
      <c r="L70" s="3"/>
    </row>
    <row r="71" spans="1:12" ht="15" customHeight="1">
      <c r="A71" s="3"/>
      <c r="B71" s="3"/>
      <c r="C71" s="3"/>
      <c r="D71" s="3"/>
      <c r="E71" s="4"/>
      <c r="F71" s="3"/>
      <c r="G71" s="3"/>
      <c r="H71" s="3"/>
      <c r="I71" s="3"/>
      <c r="J71" s="3"/>
      <c r="K71" s="3"/>
      <c r="L71" s="3"/>
    </row>
    <row r="72" spans="1:12" ht="15" customHeight="1">
      <c r="A72" s="3"/>
      <c r="B72" s="3"/>
      <c r="C72" s="3"/>
      <c r="D72" s="3"/>
      <c r="E72" s="4"/>
      <c r="F72" s="3"/>
      <c r="G72" s="3"/>
      <c r="H72" s="3"/>
      <c r="I72" s="3"/>
      <c r="J72" s="3"/>
      <c r="K72" s="3"/>
      <c r="L72" s="3"/>
    </row>
    <row r="73" spans="1:12" ht="15" customHeight="1">
      <c r="A73" s="3"/>
      <c r="B73" s="3"/>
      <c r="C73" s="3"/>
      <c r="D73" s="3"/>
      <c r="E73" s="4"/>
      <c r="F73" s="3"/>
      <c r="G73" s="3"/>
      <c r="H73" s="3"/>
      <c r="I73" s="3"/>
      <c r="J73" s="3"/>
      <c r="K73" s="3"/>
      <c r="L73" s="3"/>
    </row>
    <row r="74" spans="1:12" ht="15" customHeight="1">
      <c r="A74" s="3"/>
      <c r="B74" s="3"/>
      <c r="C74" s="3"/>
      <c r="D74" s="3"/>
      <c r="E74" s="4"/>
      <c r="F74" s="3"/>
      <c r="G74" s="3"/>
      <c r="H74" s="3"/>
      <c r="I74" s="3"/>
      <c r="J74" s="3"/>
      <c r="K74" s="3"/>
      <c r="L74" s="3"/>
    </row>
    <row r="75" spans="1:12" ht="15" customHeight="1">
      <c r="A75" s="3"/>
      <c r="B75" s="3"/>
      <c r="C75" s="3"/>
      <c r="D75" s="3"/>
      <c r="E75" s="4"/>
      <c r="F75" s="3"/>
      <c r="G75" s="3"/>
      <c r="H75" s="3"/>
      <c r="I75" s="3"/>
      <c r="J75" s="3"/>
      <c r="K75" s="3"/>
      <c r="L75" s="3"/>
    </row>
    <row r="76" spans="1:12" ht="15" customHeight="1">
      <c r="A76" s="3"/>
      <c r="B76" s="3"/>
      <c r="C76" s="3"/>
      <c r="D76" s="3"/>
      <c r="E76" s="4"/>
      <c r="F76" s="3"/>
      <c r="G76" s="3"/>
      <c r="H76" s="3"/>
      <c r="I76" s="3"/>
      <c r="J76" s="3"/>
      <c r="K76" s="3"/>
      <c r="L76" s="3"/>
    </row>
    <row r="77" spans="1:12" ht="15" customHeight="1">
      <c r="A77" s="3"/>
      <c r="B77" s="3"/>
      <c r="C77" s="3"/>
      <c r="D77" s="3"/>
      <c r="E77" s="4"/>
      <c r="F77" s="3"/>
      <c r="G77" s="3"/>
      <c r="H77" s="3"/>
      <c r="I77" s="3"/>
      <c r="J77" s="3"/>
      <c r="K77" s="3"/>
      <c r="L77" s="3"/>
    </row>
    <row r="78" spans="1:12" ht="15" customHeight="1">
      <c r="A78" s="3"/>
      <c r="B78" s="3"/>
      <c r="C78" s="3"/>
      <c r="D78" s="3"/>
      <c r="E78" s="4"/>
      <c r="F78" s="3"/>
      <c r="G78" s="3"/>
      <c r="H78" s="3"/>
      <c r="I78" s="3"/>
      <c r="J78" s="3"/>
      <c r="K78" s="3"/>
      <c r="L78" s="3"/>
    </row>
    <row r="79" spans="1:12" ht="15" customHeight="1">
      <c r="A79" s="3"/>
      <c r="B79" s="3"/>
      <c r="C79" s="3"/>
      <c r="D79" s="3"/>
      <c r="E79" s="4"/>
      <c r="F79" s="3"/>
      <c r="G79" s="3"/>
      <c r="H79" s="3"/>
      <c r="I79" s="3"/>
      <c r="J79" s="3"/>
      <c r="K79" s="3"/>
      <c r="L79" s="3"/>
    </row>
    <row r="80" spans="1:12" ht="15" customHeight="1">
      <c r="A80" s="3"/>
      <c r="B80" s="3"/>
      <c r="C80" s="3"/>
      <c r="D80" s="3"/>
      <c r="E80" s="4"/>
      <c r="F80" s="3"/>
      <c r="G80" s="3"/>
      <c r="H80" s="3"/>
      <c r="I80" s="3"/>
      <c r="J80" s="3"/>
      <c r="K80" s="3"/>
      <c r="L80" s="3"/>
    </row>
    <row r="81" spans="1:12" ht="15" customHeight="1">
      <c r="A81" s="3"/>
      <c r="B81" s="3"/>
      <c r="C81" s="3"/>
      <c r="D81" s="3"/>
      <c r="E81" s="4"/>
      <c r="F81" s="3"/>
      <c r="G81" s="3"/>
      <c r="H81" s="3"/>
      <c r="I81" s="3"/>
      <c r="J81" s="3"/>
      <c r="K81" s="3"/>
      <c r="L81" s="3"/>
    </row>
    <row r="82" spans="1:12" ht="15" customHeight="1">
      <c r="A82" s="3"/>
      <c r="B82" s="3"/>
      <c r="C82" s="3"/>
      <c r="D82" s="3"/>
      <c r="E82" s="4"/>
      <c r="F82" s="3"/>
      <c r="G82" s="3"/>
      <c r="H82" s="3"/>
      <c r="I82" s="3"/>
      <c r="J82" s="3"/>
      <c r="K82" s="3"/>
      <c r="L82" s="3"/>
    </row>
    <row r="83" spans="1:12" ht="15" customHeight="1">
      <c r="A83" s="3"/>
      <c r="B83" s="3"/>
      <c r="C83" s="3"/>
      <c r="D83" s="3"/>
      <c r="E83" s="4"/>
      <c r="F83" s="3"/>
      <c r="G83" s="3"/>
      <c r="H83" s="3"/>
      <c r="I83" s="3"/>
      <c r="J83" s="3"/>
      <c r="K83" s="3"/>
      <c r="L83" s="3"/>
    </row>
    <row r="84" spans="1:12" ht="15" customHeight="1">
      <c r="A84" s="3"/>
      <c r="B84" s="3"/>
      <c r="C84" s="3"/>
      <c r="D84" s="3"/>
      <c r="E84" s="4"/>
      <c r="F84" s="3"/>
      <c r="G84" s="3"/>
      <c r="H84" s="3"/>
      <c r="I84" s="3"/>
      <c r="J84" s="3"/>
      <c r="K84" s="3"/>
      <c r="L84" s="3"/>
    </row>
    <row r="85" spans="1:12" ht="15" customHeight="1">
      <c r="A85" s="3"/>
      <c r="B85" s="3"/>
      <c r="C85" s="3"/>
      <c r="D85" s="3"/>
      <c r="E85" s="4"/>
      <c r="F85" s="3"/>
      <c r="G85" s="3"/>
      <c r="H85" s="3"/>
      <c r="I85" s="3"/>
      <c r="J85" s="3"/>
      <c r="K85" s="3"/>
      <c r="L85" s="3"/>
    </row>
    <row r="86" spans="1:12" ht="15" customHeight="1">
      <c r="A86" s="3"/>
      <c r="B86" s="3"/>
      <c r="C86" s="3"/>
      <c r="D86" s="3"/>
      <c r="E86" s="4"/>
      <c r="F86" s="3"/>
      <c r="G86" s="3"/>
      <c r="H86" s="3"/>
      <c r="I86" s="3"/>
      <c r="J86" s="3"/>
      <c r="K86" s="3"/>
      <c r="L86" s="3"/>
    </row>
    <row r="87" spans="1:12" ht="15" customHeight="1">
      <c r="A87" s="3"/>
      <c r="B87" s="3"/>
      <c r="C87" s="3"/>
      <c r="D87" s="3"/>
      <c r="E87" s="4"/>
      <c r="F87" s="3"/>
      <c r="G87" s="3"/>
      <c r="H87" s="3"/>
      <c r="I87" s="3"/>
      <c r="J87" s="3"/>
      <c r="K87" s="3"/>
      <c r="L87" s="3"/>
    </row>
    <row r="88" spans="1:12" ht="15" customHeight="1">
      <c r="A88" s="3"/>
      <c r="B88" s="3"/>
      <c r="C88" s="3"/>
      <c r="D88" s="3"/>
      <c r="E88" s="4"/>
      <c r="F88" s="3"/>
      <c r="G88" s="3"/>
      <c r="H88" s="3"/>
      <c r="I88" s="3"/>
      <c r="J88" s="3"/>
      <c r="K88" s="3"/>
      <c r="L88" s="3"/>
    </row>
    <row r="89" spans="1:12" ht="15" customHeight="1">
      <c r="A89" s="3"/>
      <c r="B89" s="3"/>
      <c r="C89" s="3"/>
      <c r="D89" s="3"/>
      <c r="E89" s="4"/>
      <c r="F89" s="3"/>
      <c r="G89" s="3"/>
      <c r="H89" s="3"/>
      <c r="I89" s="3"/>
      <c r="J89" s="3"/>
      <c r="K89" s="3"/>
      <c r="L89" s="3"/>
    </row>
    <row r="90" spans="1:12" ht="15" customHeight="1">
      <c r="A90" s="3"/>
      <c r="B90" s="3"/>
      <c r="C90" s="3"/>
      <c r="D90" s="3"/>
      <c r="E90" s="4"/>
      <c r="F90" s="3"/>
      <c r="G90" s="3"/>
      <c r="H90" s="3"/>
      <c r="I90" s="3"/>
      <c r="J90" s="3"/>
      <c r="K90" s="3"/>
      <c r="L90" s="3"/>
    </row>
    <row r="91" spans="1:12" ht="15" customHeight="1">
      <c r="A91" s="3"/>
      <c r="B91" s="3"/>
      <c r="C91" s="3"/>
      <c r="D91" s="3"/>
      <c r="E91" s="4"/>
      <c r="F91" s="3"/>
      <c r="G91" s="3"/>
      <c r="H91" s="3"/>
      <c r="I91" s="3"/>
      <c r="J91" s="3"/>
      <c r="K91" s="3"/>
      <c r="L91" s="3"/>
    </row>
    <row r="92" spans="1:12" ht="15" customHeight="1">
      <c r="A92" s="3"/>
      <c r="B92" s="3"/>
      <c r="C92" s="3"/>
      <c r="D92" s="3"/>
      <c r="E92" s="4"/>
      <c r="F92" s="3"/>
      <c r="G92" s="3"/>
      <c r="H92" s="3"/>
      <c r="I92" s="3"/>
      <c r="J92" s="3"/>
      <c r="K92" s="3"/>
      <c r="L92" s="3"/>
    </row>
    <row r="93" spans="1:12" ht="15" customHeight="1">
      <c r="A93" s="3"/>
      <c r="B93" s="3"/>
      <c r="C93" s="3"/>
      <c r="D93" s="3"/>
      <c r="E93" s="4"/>
      <c r="F93" s="3"/>
      <c r="G93" s="3"/>
      <c r="H93" s="3"/>
      <c r="I93" s="3"/>
      <c r="J93" s="3"/>
      <c r="K93" s="3"/>
      <c r="L93" s="3"/>
    </row>
    <row r="94" spans="1:12" ht="15" customHeight="1">
      <c r="A94" s="3"/>
      <c r="B94" s="3"/>
      <c r="C94" s="3"/>
      <c r="D94" s="3"/>
      <c r="E94" s="4"/>
      <c r="F94" s="3"/>
      <c r="G94" s="3"/>
      <c r="H94" s="3"/>
      <c r="I94" s="3"/>
      <c r="J94" s="3"/>
      <c r="K94" s="3"/>
      <c r="L94" s="3"/>
    </row>
    <row r="95" spans="1:12" ht="15" customHeight="1">
      <c r="A95" s="3"/>
      <c r="B95" s="3"/>
      <c r="C95" s="3"/>
      <c r="D95" s="3"/>
      <c r="E95" s="4"/>
      <c r="F95" s="3"/>
      <c r="G95" s="3"/>
      <c r="H95" s="3"/>
      <c r="I95" s="3"/>
      <c r="J95" s="3"/>
      <c r="K95" s="3"/>
      <c r="L95" s="3"/>
    </row>
    <row r="96" spans="1:12" ht="15" customHeight="1">
      <c r="A96" s="3"/>
      <c r="B96" s="3"/>
      <c r="C96" s="3"/>
      <c r="D96" s="3"/>
      <c r="E96" s="4"/>
      <c r="F96" s="3"/>
      <c r="G96" s="3"/>
      <c r="H96" s="3"/>
      <c r="I96" s="3"/>
      <c r="J96" s="3"/>
      <c r="K96" s="3"/>
      <c r="L96" s="3"/>
    </row>
    <row r="97" spans="1:12" ht="15" customHeight="1">
      <c r="A97" s="3"/>
      <c r="B97" s="3"/>
      <c r="C97" s="3"/>
      <c r="D97" s="3"/>
      <c r="E97" s="4"/>
      <c r="F97" s="3"/>
      <c r="G97" s="3"/>
      <c r="H97" s="3"/>
      <c r="I97" s="3"/>
      <c r="J97" s="3"/>
      <c r="K97" s="3"/>
      <c r="L97" s="3"/>
    </row>
    <row r="98" spans="1:12" ht="15" customHeight="1">
      <c r="A98" s="3"/>
      <c r="B98" s="3"/>
      <c r="C98" s="3"/>
      <c r="D98" s="3"/>
      <c r="E98" s="4"/>
      <c r="F98" s="3"/>
      <c r="G98" s="3"/>
      <c r="H98" s="3"/>
      <c r="I98" s="3"/>
      <c r="J98" s="3"/>
      <c r="K98" s="3"/>
      <c r="L98" s="3"/>
    </row>
    <row r="99" spans="1:12" ht="15" customHeight="1">
      <c r="A99" s="3"/>
      <c r="B99" s="3"/>
      <c r="C99" s="3"/>
      <c r="D99" s="3"/>
      <c r="E99" s="4"/>
      <c r="F99" s="3"/>
      <c r="G99" s="3"/>
      <c r="H99" s="3"/>
      <c r="I99" s="3"/>
      <c r="J99" s="3"/>
      <c r="K99" s="3"/>
      <c r="L99" s="3"/>
    </row>
    <row r="100" spans="1:12" ht="15" customHeight="1">
      <c r="A100" s="3"/>
      <c r="B100" s="3"/>
      <c r="C100" s="3"/>
      <c r="D100" s="3"/>
      <c r="E100" s="4"/>
      <c r="F100" s="3"/>
      <c r="G100" s="3"/>
      <c r="H100" s="3"/>
      <c r="I100" s="3"/>
      <c r="J100" s="3"/>
      <c r="K100" s="3"/>
      <c r="L100" s="3"/>
    </row>
    <row r="101" spans="1:12" ht="15" customHeight="1">
      <c r="A101" s="3"/>
      <c r="B101" s="3"/>
      <c r="C101" s="3"/>
      <c r="D101" s="3"/>
      <c r="E101" s="4"/>
      <c r="F101" s="3"/>
      <c r="G101" s="3"/>
      <c r="H101" s="3"/>
      <c r="I101" s="3"/>
      <c r="J101" s="3"/>
      <c r="K101" s="3"/>
      <c r="L101" s="3"/>
    </row>
    <row r="102" spans="1:12" ht="15" customHeight="1">
      <c r="A102" s="3"/>
      <c r="B102" s="3"/>
      <c r="C102" s="3"/>
      <c r="D102" s="3"/>
      <c r="E102" s="4"/>
      <c r="F102" s="3"/>
      <c r="G102" s="3"/>
      <c r="H102" s="3"/>
      <c r="I102" s="3"/>
      <c r="J102" s="3"/>
      <c r="K102" s="3"/>
      <c r="L102" s="3"/>
    </row>
    <row r="103" spans="1:12" ht="15" customHeight="1">
      <c r="A103" s="3"/>
      <c r="B103" s="3"/>
      <c r="C103" s="3"/>
      <c r="D103" s="3"/>
      <c r="E103" s="4"/>
      <c r="F103" s="3"/>
      <c r="G103" s="3"/>
      <c r="H103" s="3"/>
      <c r="I103" s="3"/>
      <c r="J103" s="3"/>
      <c r="K103" s="3"/>
      <c r="L103" s="3"/>
    </row>
    <row r="104" spans="1:12" ht="15" customHeight="1">
      <c r="A104" s="3"/>
      <c r="B104" s="3"/>
      <c r="C104" s="3"/>
      <c r="D104" s="3"/>
      <c r="E104" s="4"/>
      <c r="F104" s="3"/>
      <c r="G104" s="3"/>
      <c r="H104" s="3"/>
      <c r="I104" s="3"/>
      <c r="J104" s="3"/>
      <c r="K104" s="3"/>
      <c r="L104" s="3"/>
    </row>
    <row r="105" spans="1:12" ht="15" customHeight="1">
      <c r="A105" s="3"/>
      <c r="B105" s="3"/>
      <c r="C105" s="3"/>
      <c r="D105" s="3"/>
      <c r="E105" s="4"/>
      <c r="F105" s="3"/>
      <c r="G105" s="3"/>
      <c r="H105" s="3"/>
      <c r="I105" s="3"/>
      <c r="J105" s="3"/>
      <c r="K105" s="3"/>
      <c r="L105" s="3"/>
    </row>
    <row r="106" spans="1:12" ht="15" customHeight="1">
      <c r="A106" s="3"/>
      <c r="B106" s="3"/>
      <c r="C106" s="3"/>
      <c r="D106" s="3"/>
      <c r="E106" s="4"/>
      <c r="F106" s="3"/>
      <c r="G106" s="3"/>
      <c r="H106" s="3"/>
      <c r="I106" s="3"/>
      <c r="J106" s="3"/>
      <c r="K106" s="3"/>
      <c r="L106" s="3"/>
    </row>
    <row r="107" spans="1:12" ht="15" customHeight="1">
      <c r="A107" s="3"/>
      <c r="B107" s="3"/>
      <c r="C107" s="3"/>
      <c r="D107" s="3"/>
      <c r="E107" s="4"/>
      <c r="F107" s="3"/>
      <c r="G107" s="3"/>
      <c r="H107" s="3"/>
      <c r="I107" s="3"/>
      <c r="J107" s="3"/>
      <c r="K107" s="3"/>
      <c r="L107" s="3"/>
    </row>
    <row r="108" spans="1:12" ht="15" customHeight="1">
      <c r="A108" s="3"/>
      <c r="B108" s="3"/>
      <c r="C108" s="3"/>
      <c r="D108" s="3"/>
      <c r="E108" s="4"/>
      <c r="F108" s="3"/>
      <c r="G108" s="3"/>
      <c r="H108" s="3"/>
      <c r="I108" s="3"/>
      <c r="J108" s="3"/>
      <c r="K108" s="3"/>
      <c r="L108" s="3"/>
    </row>
    <row r="109" spans="1:12" ht="15" customHeight="1">
      <c r="A109" s="3"/>
      <c r="B109" s="3"/>
      <c r="C109" s="3"/>
      <c r="D109" s="3"/>
      <c r="E109" s="4"/>
      <c r="F109" s="3"/>
      <c r="G109" s="3"/>
      <c r="H109" s="3"/>
      <c r="I109" s="3"/>
      <c r="J109" s="3"/>
      <c r="K109" s="3"/>
      <c r="L109" s="3"/>
    </row>
    <row r="110" spans="1:12" ht="14.25" customHeight="1">
      <c r="A110" s="3"/>
      <c r="B110" s="3"/>
      <c r="C110" s="3"/>
      <c r="D110" s="3"/>
      <c r="E110" s="4"/>
      <c r="F110" s="3"/>
      <c r="G110" s="3"/>
      <c r="H110" s="3"/>
      <c r="I110" s="3"/>
      <c r="J110" s="3"/>
      <c r="K110" s="3"/>
      <c r="L110" s="3"/>
    </row>
  </sheetData>
  <mergeCells count="88">
    <mergeCell ref="C53:I53"/>
    <mergeCell ref="I16:J16"/>
    <mergeCell ref="D35:J35"/>
    <mergeCell ref="B40:J40"/>
    <mergeCell ref="B49:J49"/>
    <mergeCell ref="H52:I52"/>
    <mergeCell ref="B18:J18"/>
    <mergeCell ref="C22:D22"/>
    <mergeCell ref="B30:J30"/>
    <mergeCell ref="I21:J21"/>
    <mergeCell ref="D31:J31"/>
    <mergeCell ref="D46:J46"/>
    <mergeCell ref="B44:C44"/>
    <mergeCell ref="B47:J47"/>
    <mergeCell ref="B45:C45"/>
    <mergeCell ref="D43:J43"/>
    <mergeCell ref="C56:D56"/>
    <mergeCell ref="B38:C38"/>
    <mergeCell ref="B51:J51"/>
    <mergeCell ref="C27:D27"/>
    <mergeCell ref="B26:J26"/>
    <mergeCell ref="B41:J41"/>
    <mergeCell ref="F56:G56"/>
    <mergeCell ref="B33:C33"/>
    <mergeCell ref="B32:C32"/>
    <mergeCell ref="B35:C35"/>
    <mergeCell ref="D37:J37"/>
    <mergeCell ref="C52:E52"/>
    <mergeCell ref="I56:J56"/>
    <mergeCell ref="B54:J54"/>
    <mergeCell ref="B43:C43"/>
    <mergeCell ref="B42:C42"/>
    <mergeCell ref="B2:J2"/>
    <mergeCell ref="I6:J6"/>
    <mergeCell ref="C24:J24"/>
    <mergeCell ref="D39:J39"/>
    <mergeCell ref="F6:G6"/>
    <mergeCell ref="C28:F28"/>
    <mergeCell ref="D38:J38"/>
    <mergeCell ref="I7:J7"/>
    <mergeCell ref="B3:E3"/>
    <mergeCell ref="B15:J15"/>
    <mergeCell ref="B37:C37"/>
    <mergeCell ref="C8:D8"/>
    <mergeCell ref="F3:H3"/>
    <mergeCell ref="I11:J11"/>
    <mergeCell ref="F7:G7"/>
    <mergeCell ref="F21:G21"/>
    <mergeCell ref="B5:J5"/>
    <mergeCell ref="B20:J20"/>
    <mergeCell ref="C21:D21"/>
    <mergeCell ref="F23:J23"/>
    <mergeCell ref="B34:C34"/>
    <mergeCell ref="F22:G22"/>
    <mergeCell ref="C23:D23"/>
    <mergeCell ref="C17:J17"/>
    <mergeCell ref="D32:J32"/>
    <mergeCell ref="C7:D7"/>
    <mergeCell ref="C6:D6"/>
    <mergeCell ref="F16:G16"/>
    <mergeCell ref="B31:C31"/>
    <mergeCell ref="D33:J33"/>
    <mergeCell ref="B13:J13"/>
    <mergeCell ref="E8:J8"/>
    <mergeCell ref="B48:J48"/>
    <mergeCell ref="F11:G11"/>
    <mergeCell ref="B46:C46"/>
    <mergeCell ref="I27:J27"/>
    <mergeCell ref="D42:J42"/>
    <mergeCell ref="B39:C39"/>
    <mergeCell ref="F12:J12"/>
    <mergeCell ref="C12:D12"/>
    <mergeCell ref="I3:J3"/>
    <mergeCell ref="D36:J36"/>
    <mergeCell ref="I55:J55"/>
    <mergeCell ref="D45:J45"/>
    <mergeCell ref="C11:D11"/>
    <mergeCell ref="B50:J50"/>
    <mergeCell ref="F27:G27"/>
    <mergeCell ref="B36:C36"/>
    <mergeCell ref="F55:G55"/>
    <mergeCell ref="C16:D16"/>
    <mergeCell ref="B10:J10"/>
    <mergeCell ref="H28:J28"/>
    <mergeCell ref="D44:J44"/>
    <mergeCell ref="C55:D55"/>
    <mergeCell ref="D34:J34"/>
    <mergeCell ref="I22:J22"/>
  </mergeCells>
  <phoneticPr fontId="21" type="noConversion"/>
  <printOptions horizontalCentered="1"/>
  <pageMargins left="0.3" right="0.3" top="0.4" bottom="0.4" header="0.511811023622047" footer="0.511811023622047"/>
  <pageSetup paperSize="9" scale="52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D222"/>
  <sheetViews>
    <sheetView showGridLines="0" view="pageBreakPreview" topLeftCell="A112" zoomScale="115" zoomScaleNormal="115" zoomScaleSheetLayoutView="115" zoomScalePageLayoutView="145" workbookViewId="0">
      <selection activeCell="B136" sqref="B136"/>
    </sheetView>
  </sheetViews>
  <sheetFormatPr defaultColWidth="8.6640625" defaultRowHeight="14.4"/>
  <cols>
    <col min="1" max="1" width="2" customWidth="1"/>
    <col min="2" max="2" width="70.44140625" customWidth="1"/>
    <col min="3" max="3" width="1.5546875" customWidth="1"/>
    <col min="4" max="4" width="70.44140625" customWidth="1"/>
    <col min="5" max="5" width="2" customWidth="1"/>
  </cols>
  <sheetData>
    <row r="1" spans="2:4" ht="31.5" customHeight="1">
      <c r="B1" s="94" t="s">
        <v>168</v>
      </c>
      <c r="C1" s="53"/>
      <c r="D1" s="53"/>
    </row>
    <row r="3" spans="2:4" ht="14.25" customHeight="1">
      <c r="B3" s="33" t="s">
        <v>169</v>
      </c>
      <c r="D3" s="34" t="s">
        <v>170</v>
      </c>
    </row>
    <row r="4" spans="2:4" ht="14.25" customHeight="1">
      <c r="B4" s="39" t="s">
        <v>171</v>
      </c>
      <c r="D4" s="39" t="s">
        <v>172</v>
      </c>
    </row>
    <row r="5" spans="2:4" ht="14.25" customHeight="1">
      <c r="B5" s="39" t="s">
        <v>173</v>
      </c>
      <c r="D5" s="39" t="s">
        <v>174</v>
      </c>
    </row>
    <row r="6" spans="2:4" ht="14.25" customHeight="1">
      <c r="B6" s="6"/>
      <c r="D6" s="39" t="s">
        <v>175</v>
      </c>
    </row>
    <row r="7" spans="2:4" ht="14.25" customHeight="1">
      <c r="B7" s="49" t="s">
        <v>176</v>
      </c>
      <c r="D7" s="39" t="s">
        <v>177</v>
      </c>
    </row>
    <row r="8" spans="2:4" ht="14.25" customHeight="1">
      <c r="B8" s="39" t="s">
        <v>178</v>
      </c>
      <c r="D8" s="39" t="s">
        <v>179</v>
      </c>
    </row>
    <row r="9" spans="2:4" ht="14.25" customHeight="1">
      <c r="B9" s="39" t="s">
        <v>180</v>
      </c>
      <c r="D9" s="39" t="s">
        <v>181</v>
      </c>
    </row>
    <row r="10" spans="2:4" ht="14.25" customHeight="1">
      <c r="B10" s="39" t="s">
        <v>182</v>
      </c>
      <c r="D10" s="39" t="s">
        <v>183</v>
      </c>
    </row>
    <row r="11" spans="2:4" ht="14.25" customHeight="1">
      <c r="B11" s="39" t="s">
        <v>184</v>
      </c>
      <c r="D11" s="39" t="s">
        <v>185</v>
      </c>
    </row>
    <row r="12" spans="2:4" ht="14.25" customHeight="1">
      <c r="B12" s="39" t="s">
        <v>186</v>
      </c>
      <c r="D12" s="39" t="s">
        <v>187</v>
      </c>
    </row>
    <row r="13" spans="2:4" ht="14.25" customHeight="1">
      <c r="B13" s="39" t="s">
        <v>188</v>
      </c>
      <c r="D13" s="39" t="s">
        <v>189</v>
      </c>
    </row>
    <row r="14" spans="2:4" ht="14.25" customHeight="1">
      <c r="B14" s="41" t="s">
        <v>190</v>
      </c>
      <c r="D14" s="39" t="s">
        <v>191</v>
      </c>
    </row>
    <row r="15" spans="2:4" ht="14.25" customHeight="1">
      <c r="B15" s="39" t="s">
        <v>192</v>
      </c>
      <c r="D15" s="39" t="s">
        <v>193</v>
      </c>
    </row>
    <row r="16" spans="2:4" ht="14.25" customHeight="1">
      <c r="B16" s="39" t="s">
        <v>194</v>
      </c>
    </row>
    <row r="17" spans="2:4" ht="14.25" customHeight="1">
      <c r="B17" s="39" t="s">
        <v>195</v>
      </c>
      <c r="D17" s="34" t="s">
        <v>196</v>
      </c>
    </row>
    <row r="18" spans="2:4" ht="14.25" customHeight="1">
      <c r="B18" s="39" t="s">
        <v>197</v>
      </c>
      <c r="D18" s="39" t="s">
        <v>198</v>
      </c>
    </row>
    <row r="19" spans="2:4" ht="14.25" customHeight="1">
      <c r="B19" s="39" t="s">
        <v>199</v>
      </c>
      <c r="D19" s="39" t="s">
        <v>200</v>
      </c>
    </row>
    <row r="20" spans="2:4" ht="14.25" customHeight="1">
      <c r="B20" s="39" t="s">
        <v>201</v>
      </c>
      <c r="D20" s="39" t="s">
        <v>202</v>
      </c>
    </row>
    <row r="21" spans="2:4" ht="14.25" customHeight="1">
      <c r="B21" s="39" t="s">
        <v>203</v>
      </c>
      <c r="D21" s="39" t="s">
        <v>204</v>
      </c>
    </row>
    <row r="22" spans="2:4" ht="14.25" customHeight="1">
      <c r="B22" s="39" t="s">
        <v>205</v>
      </c>
      <c r="D22" s="39" t="s">
        <v>206</v>
      </c>
    </row>
    <row r="23" spans="2:4" ht="14.25" customHeight="1">
      <c r="B23" s="50" t="s">
        <v>207</v>
      </c>
      <c r="D23" s="39" t="s">
        <v>208</v>
      </c>
    </row>
    <row r="24" spans="2:4" ht="14.25" customHeight="1">
      <c r="B24" s="39" t="s">
        <v>209</v>
      </c>
      <c r="D24" s="39" t="s">
        <v>210</v>
      </c>
    </row>
    <row r="25" spans="2:4" ht="14.25" customHeight="1">
      <c r="B25" s="39" t="s">
        <v>211</v>
      </c>
      <c r="D25" s="39" t="s">
        <v>212</v>
      </c>
    </row>
    <row r="26" spans="2:4" ht="14.25" customHeight="1">
      <c r="B26" s="39" t="s">
        <v>213</v>
      </c>
      <c r="D26" s="39" t="s">
        <v>214</v>
      </c>
    </row>
    <row r="27" spans="2:4" ht="14.25" customHeight="1">
      <c r="B27" s="39" t="s">
        <v>215</v>
      </c>
      <c r="D27" s="39" t="s">
        <v>216</v>
      </c>
    </row>
    <row r="28" spans="2:4" ht="14.25" customHeight="1">
      <c r="B28" s="7"/>
      <c r="D28" s="39" t="s">
        <v>217</v>
      </c>
    </row>
    <row r="29" spans="2:4" ht="14.25" customHeight="1">
      <c r="B29" s="23" t="s">
        <v>218</v>
      </c>
      <c r="D29" s="7"/>
    </row>
    <row r="30" spans="2:4" ht="14.25" customHeight="1">
      <c r="B30" s="39" t="s">
        <v>219</v>
      </c>
      <c r="D30" s="34" t="s">
        <v>220</v>
      </c>
    </row>
    <row r="31" spans="2:4" ht="14.25" customHeight="1">
      <c r="B31" s="39" t="s">
        <v>221</v>
      </c>
      <c r="D31" s="39" t="s">
        <v>222</v>
      </c>
    </row>
    <row r="32" spans="2:4" ht="14.25" customHeight="1">
      <c r="B32" s="39" t="s">
        <v>223</v>
      </c>
      <c r="D32" s="39" t="s">
        <v>224</v>
      </c>
    </row>
    <row r="33" spans="2:4" ht="14.25" customHeight="1">
      <c r="B33" s="39" t="s">
        <v>225</v>
      </c>
      <c r="D33" s="39" t="s">
        <v>226</v>
      </c>
    </row>
    <row r="34" spans="2:4" ht="14.25" customHeight="1">
      <c r="B34" s="39" t="s">
        <v>227</v>
      </c>
      <c r="D34" s="39" t="s">
        <v>228</v>
      </c>
    </row>
    <row r="35" spans="2:4" ht="14.25" customHeight="1">
      <c r="B35" s="39" t="s">
        <v>229</v>
      </c>
      <c r="D35" s="39" t="s">
        <v>230</v>
      </c>
    </row>
    <row r="36" spans="2:4" ht="14.25" customHeight="1">
      <c r="D36" s="39" t="s">
        <v>231</v>
      </c>
    </row>
    <row r="37" spans="2:4" ht="14.25" customHeight="1">
      <c r="B37" s="23" t="s">
        <v>232</v>
      </c>
      <c r="D37" s="39" t="s">
        <v>233</v>
      </c>
    </row>
    <row r="38" spans="2:4" ht="14.25" customHeight="1">
      <c r="B38" s="39" t="s">
        <v>234</v>
      </c>
      <c r="D38" s="39" t="s">
        <v>235</v>
      </c>
    </row>
    <row r="39" spans="2:4" ht="14.25" customHeight="1">
      <c r="B39" s="39" t="s">
        <v>236</v>
      </c>
      <c r="D39" s="39" t="s">
        <v>237</v>
      </c>
    </row>
    <row r="40" spans="2:4" ht="14.25" customHeight="1">
      <c r="B40" s="39" t="s">
        <v>238</v>
      </c>
      <c r="D40" s="39" t="s">
        <v>239</v>
      </c>
    </row>
    <row r="41" spans="2:4" ht="14.25" customHeight="1">
      <c r="B41" s="39" t="s">
        <v>240</v>
      </c>
      <c r="D41" s="39" t="s">
        <v>241</v>
      </c>
    </row>
    <row r="42" spans="2:4" ht="14.25" customHeight="1">
      <c r="B42" s="39" t="s">
        <v>242</v>
      </c>
      <c r="D42" s="39" t="s">
        <v>243</v>
      </c>
    </row>
    <row r="43" spans="2:4" ht="14.25" customHeight="1">
      <c r="B43" s="39" t="s">
        <v>244</v>
      </c>
      <c r="D43" s="19"/>
    </row>
    <row r="44" spans="2:4" ht="14.25" customHeight="1">
      <c r="D44" s="34" t="s">
        <v>245</v>
      </c>
    </row>
    <row r="45" spans="2:4" ht="14.25" customHeight="1">
      <c r="B45" s="23" t="s">
        <v>246</v>
      </c>
      <c r="D45" s="41" t="s">
        <v>247</v>
      </c>
    </row>
    <row r="46" spans="2:4" ht="14.25" customHeight="1">
      <c r="B46" s="39" t="s">
        <v>248</v>
      </c>
      <c r="D46" s="41" t="s">
        <v>249</v>
      </c>
    </row>
    <row r="47" spans="2:4" ht="14.25" customHeight="1">
      <c r="B47" s="39" t="s">
        <v>250</v>
      </c>
      <c r="D47" s="41" t="s">
        <v>251</v>
      </c>
    </row>
    <row r="48" spans="2:4" ht="14.25" customHeight="1">
      <c r="B48" s="39" t="s">
        <v>252</v>
      </c>
      <c r="D48" s="41" t="s">
        <v>253</v>
      </c>
    </row>
    <row r="49" spans="2:4" ht="14.25" customHeight="1">
      <c r="B49" s="39" t="s">
        <v>254</v>
      </c>
      <c r="D49" s="41" t="s">
        <v>255</v>
      </c>
    </row>
    <row r="50" spans="2:4" ht="14.25" customHeight="1">
      <c r="B50" s="39" t="s">
        <v>256</v>
      </c>
      <c r="D50" s="41" t="s">
        <v>257</v>
      </c>
    </row>
    <row r="51" spans="2:4" ht="14.25" customHeight="1">
      <c r="B51" s="39" t="s">
        <v>258</v>
      </c>
      <c r="D51" s="41" t="s">
        <v>259</v>
      </c>
    </row>
    <row r="52" spans="2:4" ht="14.25" customHeight="1">
      <c r="B52" s="39" t="s">
        <v>260</v>
      </c>
      <c r="D52" s="41" t="s">
        <v>261</v>
      </c>
    </row>
    <row r="53" spans="2:4" ht="14.25" customHeight="1">
      <c r="B53" s="39" t="s">
        <v>262</v>
      </c>
      <c r="D53" s="39" t="s">
        <v>263</v>
      </c>
    </row>
    <row r="54" spans="2:4" ht="14.25" customHeight="1">
      <c r="B54" s="39" t="s">
        <v>264</v>
      </c>
      <c r="D54" s="41" t="s">
        <v>265</v>
      </c>
    </row>
    <row r="55" spans="2:4" ht="14.25" customHeight="1">
      <c r="D55" s="41" t="s">
        <v>266</v>
      </c>
    </row>
    <row r="56" spans="2:4" ht="14.25" customHeight="1">
      <c r="B56" s="23" t="s">
        <v>267</v>
      </c>
    </row>
    <row r="57" spans="2:4" ht="14.25" customHeight="1">
      <c r="B57" s="39" t="s">
        <v>268</v>
      </c>
      <c r="D57" s="34" t="s">
        <v>269</v>
      </c>
    </row>
    <row r="58" spans="2:4" ht="14.25" customHeight="1">
      <c r="B58" s="39" t="s">
        <v>270</v>
      </c>
      <c r="D58" s="50" t="s">
        <v>271</v>
      </c>
    </row>
    <row r="59" spans="2:4" ht="14.25" customHeight="1">
      <c r="B59" s="39" t="s">
        <v>272</v>
      </c>
      <c r="D59" s="41" t="s">
        <v>273</v>
      </c>
    </row>
    <row r="60" spans="2:4" ht="14.25" customHeight="1">
      <c r="B60" s="39" t="s">
        <v>274</v>
      </c>
      <c r="D60" s="41" t="s">
        <v>275</v>
      </c>
    </row>
    <row r="61" spans="2:4" ht="14.25" customHeight="1">
      <c r="B61" s="39" t="s">
        <v>276</v>
      </c>
      <c r="D61" s="41" t="s">
        <v>277</v>
      </c>
    </row>
    <row r="62" spans="2:4" ht="14.25" customHeight="1">
      <c r="B62" s="39" t="s">
        <v>278</v>
      </c>
      <c r="D62" s="41" t="s">
        <v>279</v>
      </c>
    </row>
    <row r="63" spans="2:4" ht="14.25" customHeight="1">
      <c r="B63" s="39" t="s">
        <v>280</v>
      </c>
      <c r="D63" s="41" t="s">
        <v>281</v>
      </c>
    </row>
    <row r="64" spans="2:4" ht="14.25" customHeight="1">
      <c r="B64" s="39" t="s">
        <v>282</v>
      </c>
      <c r="D64" s="41" t="s">
        <v>283</v>
      </c>
    </row>
    <row r="65" spans="2:4" ht="14.25" customHeight="1">
      <c r="B65" s="39" t="s">
        <v>284</v>
      </c>
      <c r="D65" s="50" t="s">
        <v>285</v>
      </c>
    </row>
    <row r="66" spans="2:4" ht="14.25" customHeight="1">
      <c r="B66" s="50" t="s">
        <v>286</v>
      </c>
      <c r="D66" s="41" t="s">
        <v>287</v>
      </c>
    </row>
    <row r="67" spans="2:4" ht="14.25" customHeight="1">
      <c r="B67" s="50" t="s">
        <v>288</v>
      </c>
      <c r="D67" s="41" t="s">
        <v>289</v>
      </c>
    </row>
    <row r="68" spans="2:4" ht="14.25" customHeight="1">
      <c r="B68" s="39" t="s">
        <v>290</v>
      </c>
      <c r="D68" s="41" t="s">
        <v>291</v>
      </c>
    </row>
    <row r="69" spans="2:4" ht="14.25" customHeight="1">
      <c r="B69" s="39" t="s">
        <v>292</v>
      </c>
      <c r="D69" s="41" t="s">
        <v>293</v>
      </c>
    </row>
    <row r="70" spans="2:4" ht="14.25" customHeight="1">
      <c r="B70" s="39" t="s">
        <v>294</v>
      </c>
    </row>
    <row r="71" spans="2:4" ht="14.25" customHeight="1">
      <c r="B71" s="39" t="s">
        <v>295</v>
      </c>
      <c r="D71" s="34" t="s">
        <v>296</v>
      </c>
    </row>
    <row r="72" spans="2:4" ht="14.25" customHeight="1">
      <c r="D72" s="41" t="s">
        <v>297</v>
      </c>
    </row>
    <row r="73" spans="2:4" ht="14.25" customHeight="1">
      <c r="B73" s="23" t="s">
        <v>298</v>
      </c>
      <c r="D73" s="41" t="s">
        <v>299</v>
      </c>
    </row>
    <row r="74" spans="2:4" ht="14.25" customHeight="1">
      <c r="B74" s="41" t="s">
        <v>300</v>
      </c>
      <c r="D74" s="50" t="s">
        <v>301</v>
      </c>
    </row>
    <row r="75" spans="2:4" ht="14.25" customHeight="1">
      <c r="B75" s="41" t="s">
        <v>302</v>
      </c>
      <c r="D75" s="41" t="s">
        <v>303</v>
      </c>
    </row>
    <row r="76" spans="2:4" ht="14.25" customHeight="1">
      <c r="B76" s="41" t="s">
        <v>304</v>
      </c>
      <c r="D76" s="41" t="s">
        <v>305</v>
      </c>
    </row>
    <row r="77" spans="2:4" ht="14.25" customHeight="1">
      <c r="B77" s="41" t="s">
        <v>306</v>
      </c>
      <c r="D77" s="41" t="s">
        <v>307</v>
      </c>
    </row>
    <row r="78" spans="2:4" ht="14.25" customHeight="1">
      <c r="B78" s="41" t="s">
        <v>308</v>
      </c>
      <c r="D78" s="42" t="s">
        <v>309</v>
      </c>
    </row>
    <row r="79" spans="2:4" ht="14.25" customHeight="1">
      <c r="D79" s="41" t="s">
        <v>310</v>
      </c>
    </row>
    <row r="80" spans="2:4" ht="14.25" customHeight="1">
      <c r="D80" s="41" t="s">
        <v>311</v>
      </c>
    </row>
    <row r="81" spans="2:4" ht="14.25" customHeight="1">
      <c r="B81" s="23" t="s">
        <v>312</v>
      </c>
      <c r="D81" s="34" t="s">
        <v>313</v>
      </c>
    </row>
    <row r="82" spans="2:4" ht="14.25" customHeight="1">
      <c r="B82" s="39" t="s">
        <v>314</v>
      </c>
      <c r="D82" s="40" t="s">
        <v>315</v>
      </c>
    </row>
    <row r="83" spans="2:4" ht="14.25" customHeight="1">
      <c r="B83" s="39" t="s">
        <v>316</v>
      </c>
      <c r="D83" s="40" t="s">
        <v>317</v>
      </c>
    </row>
    <row r="84" spans="2:4" ht="14.25" customHeight="1">
      <c r="B84" s="39" t="s">
        <v>318</v>
      </c>
      <c r="D84" s="39" t="s">
        <v>319</v>
      </c>
    </row>
    <row r="85" spans="2:4" ht="14.25" customHeight="1">
      <c r="B85" s="39" t="s">
        <v>320</v>
      </c>
      <c r="D85" s="39" t="s">
        <v>321</v>
      </c>
    </row>
    <row r="86" spans="2:4" ht="14.25" customHeight="1">
      <c r="B86" s="39" t="s">
        <v>322</v>
      </c>
      <c r="D86" s="41" t="s">
        <v>323</v>
      </c>
    </row>
    <row r="87" spans="2:4" ht="14.25" customHeight="1">
      <c r="B87" s="9"/>
      <c r="D87" s="41" t="s">
        <v>324</v>
      </c>
    </row>
    <row r="88" spans="2:4" ht="14.25" customHeight="1">
      <c r="B88" s="23" t="s">
        <v>325</v>
      </c>
      <c r="D88" s="41" t="s">
        <v>326</v>
      </c>
    </row>
    <row r="89" spans="2:4" ht="14.25" customHeight="1">
      <c r="B89" s="39" t="s">
        <v>327</v>
      </c>
      <c r="D89" s="41" t="s">
        <v>328</v>
      </c>
    </row>
    <row r="90" spans="2:4" ht="14.25" customHeight="1">
      <c r="B90" s="39" t="s">
        <v>329</v>
      </c>
      <c r="D90" s="50" t="s">
        <v>330</v>
      </c>
    </row>
    <row r="91" spans="2:4" ht="14.25" customHeight="1">
      <c r="B91" s="39" t="s">
        <v>331</v>
      </c>
      <c r="D91" s="41" t="s">
        <v>332</v>
      </c>
    </row>
    <row r="92" spans="2:4" ht="14.25" customHeight="1">
      <c r="B92" s="39" t="s">
        <v>333</v>
      </c>
      <c r="D92" s="41" t="s">
        <v>334</v>
      </c>
    </row>
    <row r="93" spans="2:4" ht="14.25" customHeight="1">
      <c r="B93" s="39" t="s">
        <v>335</v>
      </c>
      <c r="D93" s="41" t="s">
        <v>336</v>
      </c>
    </row>
    <row r="94" spans="2:4" ht="14.25" customHeight="1">
      <c r="B94" s="39" t="s">
        <v>337</v>
      </c>
    </row>
    <row r="95" spans="2:4" ht="14.25" customHeight="1">
      <c r="B95" s="39" t="s">
        <v>338</v>
      </c>
      <c r="D95" s="34" t="s">
        <v>339</v>
      </c>
    </row>
    <row r="96" spans="2:4" ht="14.25" customHeight="1">
      <c r="B96" s="39" t="s">
        <v>340</v>
      </c>
      <c r="D96" s="39" t="s">
        <v>341</v>
      </c>
    </row>
    <row r="97" spans="2:4" ht="14.25" customHeight="1">
      <c r="B97" s="39" t="s">
        <v>342</v>
      </c>
      <c r="D97" s="39" t="s">
        <v>343</v>
      </c>
    </row>
    <row r="98" spans="2:4" ht="14.25" customHeight="1">
      <c r="B98" s="39" t="s">
        <v>344</v>
      </c>
      <c r="D98" s="39" t="s">
        <v>345</v>
      </c>
    </row>
    <row r="99" spans="2:4" ht="14.25" customHeight="1">
      <c r="B99" s="39" t="s">
        <v>346</v>
      </c>
      <c r="D99" s="39" t="s">
        <v>347</v>
      </c>
    </row>
    <row r="100" spans="2:4" ht="14.25" customHeight="1">
      <c r="B100" s="39" t="s">
        <v>348</v>
      </c>
      <c r="D100" s="39" t="s">
        <v>349</v>
      </c>
    </row>
    <row r="101" spans="2:4" ht="14.25" customHeight="1">
      <c r="B101" s="39" t="s">
        <v>350</v>
      </c>
      <c r="D101" s="39" t="s">
        <v>351</v>
      </c>
    </row>
    <row r="102" spans="2:4" ht="14.25" customHeight="1">
      <c r="B102" s="39" t="s">
        <v>352</v>
      </c>
      <c r="D102" s="39" t="s">
        <v>353</v>
      </c>
    </row>
    <row r="103" spans="2:4" ht="14.25" customHeight="1">
      <c r="B103" s="39" t="s">
        <v>354</v>
      </c>
      <c r="D103" s="39" t="s">
        <v>355</v>
      </c>
    </row>
    <row r="104" spans="2:4" ht="14.25" customHeight="1">
      <c r="B104" s="18"/>
      <c r="D104" s="39" t="s">
        <v>356</v>
      </c>
    </row>
    <row r="105" spans="2:4" ht="14.25" customHeight="1">
      <c r="B105" s="23" t="s">
        <v>357</v>
      </c>
      <c r="D105" s="39" t="s">
        <v>358</v>
      </c>
    </row>
    <row r="106" spans="2:4" ht="13.95" customHeight="1">
      <c r="B106" s="39" t="s">
        <v>359</v>
      </c>
      <c r="D106" s="39" t="s">
        <v>360</v>
      </c>
    </row>
    <row r="107" spans="2:4" ht="13.8" customHeight="1">
      <c r="B107" s="39" t="s">
        <v>361</v>
      </c>
      <c r="D107" s="50" t="s">
        <v>362</v>
      </c>
    </row>
    <row r="108" spans="2:4" ht="13.95" customHeight="1">
      <c r="B108" s="39" t="s">
        <v>363</v>
      </c>
      <c r="D108" s="50" t="s">
        <v>364</v>
      </c>
    </row>
    <row r="109" spans="2:4" ht="14.25" customHeight="1">
      <c r="B109" s="39" t="s">
        <v>365</v>
      </c>
      <c r="D109" s="50" t="s">
        <v>366</v>
      </c>
    </row>
    <row r="110" spans="2:4" ht="14.25" customHeight="1">
      <c r="B110" s="39" t="s">
        <v>229</v>
      </c>
      <c r="D110" s="50" t="s">
        <v>367</v>
      </c>
    </row>
    <row r="111" spans="2:4" ht="14.25" customHeight="1">
      <c r="B111" s="39" t="s">
        <v>368</v>
      </c>
      <c r="D111" s="39" t="s">
        <v>369</v>
      </c>
    </row>
    <row r="112" spans="2:4" ht="14.25" customHeight="1">
      <c r="B112" s="39" t="s">
        <v>370</v>
      </c>
      <c r="D112" s="34" t="s">
        <v>371</v>
      </c>
    </row>
    <row r="113" spans="2:4" ht="14.25" customHeight="1">
      <c r="B113" s="18"/>
      <c r="D113" s="39" t="s">
        <v>372</v>
      </c>
    </row>
    <row r="114" spans="2:4" ht="14.25" customHeight="1">
      <c r="B114" s="23" t="s">
        <v>373</v>
      </c>
      <c r="D114" s="39" t="s">
        <v>374</v>
      </c>
    </row>
    <row r="115" spans="2:4" ht="14.25" customHeight="1">
      <c r="B115" s="39" t="s">
        <v>375</v>
      </c>
      <c r="D115" s="39" t="s">
        <v>376</v>
      </c>
    </row>
    <row r="116" spans="2:4" ht="14.25" customHeight="1">
      <c r="B116" s="39" t="s">
        <v>377</v>
      </c>
      <c r="D116" s="39" t="s">
        <v>378</v>
      </c>
    </row>
    <row r="117" spans="2:4" ht="14.25" customHeight="1">
      <c r="B117" s="39" t="s">
        <v>379</v>
      </c>
      <c r="D117" s="39" t="s">
        <v>380</v>
      </c>
    </row>
    <row r="118" spans="2:4" ht="14.25" customHeight="1">
      <c r="B118" s="39" t="s">
        <v>381</v>
      </c>
      <c r="D118" s="39" t="s">
        <v>382</v>
      </c>
    </row>
    <row r="119" spans="2:4" ht="14.25" customHeight="1">
      <c r="B119" s="39" t="s">
        <v>383</v>
      </c>
      <c r="D119" s="39" t="s">
        <v>384</v>
      </c>
    </row>
    <row r="120" spans="2:4" ht="14.25" customHeight="1">
      <c r="B120" s="39" t="s">
        <v>385</v>
      </c>
      <c r="D120" s="39" t="s">
        <v>386</v>
      </c>
    </row>
    <row r="121" spans="2:4" ht="13.8" customHeight="1">
      <c r="B121" s="39" t="s">
        <v>387</v>
      </c>
      <c r="D121" s="50" t="s">
        <v>461</v>
      </c>
    </row>
    <row r="122" spans="2:4" ht="13.8" customHeight="1">
      <c r="B122" s="9"/>
      <c r="D122" s="50" t="s">
        <v>462</v>
      </c>
    </row>
    <row r="123" spans="2:4" ht="13.8" customHeight="1">
      <c r="B123" s="23" t="s">
        <v>389</v>
      </c>
    </row>
    <row r="124" spans="2:4" ht="13.8" customHeight="1">
      <c r="B124" s="39" t="s">
        <v>391</v>
      </c>
      <c r="D124" s="34" t="s">
        <v>388</v>
      </c>
    </row>
    <row r="125" spans="2:4" ht="13.8" customHeight="1">
      <c r="B125" s="39" t="s">
        <v>393</v>
      </c>
      <c r="D125" s="39" t="s">
        <v>390</v>
      </c>
    </row>
    <row r="126" spans="2:4" ht="13.8" customHeight="1">
      <c r="B126" s="39" t="s">
        <v>395</v>
      </c>
      <c r="D126" s="39" t="s">
        <v>392</v>
      </c>
    </row>
    <row r="127" spans="2:4" ht="13.8" customHeight="1">
      <c r="B127" s="39" t="s">
        <v>397</v>
      </c>
      <c r="D127" s="39" t="s">
        <v>394</v>
      </c>
    </row>
    <row r="128" spans="2:4" ht="13.8" customHeight="1">
      <c r="D128" s="39" t="s">
        <v>396</v>
      </c>
    </row>
    <row r="129" spans="2:4" ht="13.8" customHeight="1">
      <c r="B129" s="23" t="s">
        <v>399</v>
      </c>
      <c r="D129" s="9"/>
    </row>
    <row r="130" spans="2:4" ht="13.8" customHeight="1">
      <c r="B130" s="50" t="s">
        <v>401</v>
      </c>
      <c r="D130" s="34" t="s">
        <v>398</v>
      </c>
    </row>
    <row r="131" spans="2:4" ht="13.8" customHeight="1">
      <c r="B131" s="39" t="s">
        <v>403</v>
      </c>
      <c r="D131" s="39" t="s">
        <v>400</v>
      </c>
    </row>
    <row r="132" spans="2:4" ht="13.8" customHeight="1">
      <c r="B132" s="39" t="s">
        <v>404</v>
      </c>
      <c r="D132" s="39" t="s">
        <v>402</v>
      </c>
    </row>
    <row r="133" spans="2:4" ht="13.8" customHeight="1">
      <c r="B133" s="39" t="s">
        <v>406</v>
      </c>
      <c r="D133" s="20"/>
    </row>
    <row r="134" spans="2:4" ht="13.8" customHeight="1">
      <c r="B134" s="39" t="s">
        <v>408</v>
      </c>
      <c r="D134" s="34" t="s">
        <v>405</v>
      </c>
    </row>
    <row r="135" spans="2:4" ht="13.8" customHeight="1">
      <c r="D135" s="39" t="s">
        <v>407</v>
      </c>
    </row>
    <row r="136" spans="2:4" ht="13.8" customHeight="1">
      <c r="B136" s="23" t="s">
        <v>411</v>
      </c>
      <c r="D136" s="39" t="s">
        <v>409</v>
      </c>
    </row>
    <row r="137" spans="2:4" ht="13.8" customHeight="1">
      <c r="B137" s="50" t="s">
        <v>463</v>
      </c>
      <c r="D137" s="39" t="s">
        <v>410</v>
      </c>
    </row>
    <row r="138" spans="2:4" ht="14.25" customHeight="1">
      <c r="B138" s="50" t="s">
        <v>464</v>
      </c>
      <c r="D138" s="9"/>
    </row>
    <row r="139" spans="2:4" ht="14.25" customHeight="1">
      <c r="B139" s="50" t="s">
        <v>465</v>
      </c>
      <c r="D139" s="23" t="s">
        <v>412</v>
      </c>
    </row>
    <row r="140" spans="2:4" ht="14.25" customHeight="1">
      <c r="B140" s="50" t="s">
        <v>414</v>
      </c>
      <c r="D140" s="39" t="s">
        <v>413</v>
      </c>
    </row>
    <row r="141" spans="2:4" ht="14.25" customHeight="1">
      <c r="B141" s="50" t="s">
        <v>416</v>
      </c>
      <c r="D141" s="39" t="s">
        <v>415</v>
      </c>
    </row>
    <row r="142" spans="2:4" ht="14.25" customHeight="1">
      <c r="D142" s="39" t="s">
        <v>417</v>
      </c>
    </row>
    <row r="143" spans="2:4" ht="14.25" customHeight="1">
      <c r="B143" s="35" t="s">
        <v>419</v>
      </c>
      <c r="D143" s="39" t="s">
        <v>418</v>
      </c>
    </row>
    <row r="144" spans="2:4" ht="14.25" customHeight="1">
      <c r="B144" s="39" t="s">
        <v>420</v>
      </c>
      <c r="D144" s="9"/>
    </row>
    <row r="145" spans="2:4" ht="14.25" customHeight="1">
      <c r="B145" s="39" t="s">
        <v>422</v>
      </c>
      <c r="D145" s="35" t="s">
        <v>421</v>
      </c>
    </row>
    <row r="146" spans="2:4" ht="14.25" customHeight="1">
      <c r="B146" s="39" t="s">
        <v>424</v>
      </c>
      <c r="D146" s="39" t="s">
        <v>423</v>
      </c>
    </row>
    <row r="147" spans="2:4" ht="14.25" customHeight="1">
      <c r="B147" s="39" t="s">
        <v>426</v>
      </c>
      <c r="D147" s="39" t="s">
        <v>425</v>
      </c>
    </row>
    <row r="148" spans="2:4" ht="14.25" customHeight="1">
      <c r="B148" s="39" t="s">
        <v>428</v>
      </c>
      <c r="D148" s="39" t="s">
        <v>427</v>
      </c>
    </row>
    <row r="149" spans="2:4" ht="14.25" customHeight="1"/>
    <row r="150" spans="2:4" ht="14.25" customHeight="1"/>
    <row r="151" spans="2:4" ht="14.25" customHeight="1">
      <c r="B151" s="48"/>
      <c r="C151" s="48"/>
      <c r="D151" s="48"/>
    </row>
    <row r="152" spans="2:4" ht="13.95" customHeight="1">
      <c r="B152" s="35" t="s">
        <v>429</v>
      </c>
      <c r="C152" s="35"/>
      <c r="D152" s="35"/>
    </row>
    <row r="153" spans="2:4" ht="13.95" customHeight="1">
      <c r="B153" s="47" t="str">
        <f>"계약자             "&amp;계약서!C11&amp;"                       서명 또는 인"</f>
        <v>계약자             중앙 오토바이 가수점                       서명 또는 인</v>
      </c>
      <c r="C153" s="6"/>
      <c r="D153" s="47" t="str">
        <f>"연대보증인             "&amp;계약서!C16&amp;"                       서명 또는 인"</f>
        <v>연대보증인             안종식                       서명 또는 인</v>
      </c>
    </row>
    <row r="154" spans="2:4" ht="13.95" customHeight="1"/>
    <row r="155" spans="2:4" ht="13.95" customHeight="1"/>
    <row r="156" spans="2:4" ht="13.95" customHeight="1"/>
    <row r="157" spans="2:4" ht="13.95" customHeight="1"/>
    <row r="158" spans="2:4" ht="13.95" customHeight="1"/>
    <row r="159" spans="2:4" ht="13.95" customHeight="1">
      <c r="C159" s="22"/>
      <c r="D159" s="22"/>
    </row>
    <row r="160" spans="2:4" ht="13.95" customHeight="1">
      <c r="C160" s="6"/>
      <c r="D160" s="36"/>
    </row>
    <row r="161" spans="2:4" ht="13.95" customHeight="1">
      <c r="C161" s="6"/>
      <c r="D161" s="6"/>
    </row>
    <row r="162" spans="2:4" ht="13.95" customHeight="1">
      <c r="C162" s="6"/>
      <c r="D162" s="6"/>
    </row>
    <row r="163" spans="2:4" s="13" customFormat="1" ht="13.95" customHeight="1">
      <c r="B163" s="6"/>
      <c r="C163" s="6"/>
      <c r="D163" s="6"/>
    </row>
    <row r="164" spans="2:4" ht="13.95" customHeight="1"/>
    <row r="165" spans="2:4" ht="13.95" customHeight="1"/>
    <row r="166" spans="2:4" ht="13.95" customHeight="1">
      <c r="B166" s="6"/>
      <c r="C166" s="6"/>
      <c r="D166" s="6"/>
    </row>
    <row r="167" spans="2:4" ht="13.95" customHeight="1">
      <c r="B167" s="6"/>
      <c r="C167" s="6"/>
      <c r="D167" s="6"/>
    </row>
    <row r="168" spans="2:4" ht="13.95" customHeight="1">
      <c r="B168" s="6"/>
      <c r="C168" s="6"/>
      <c r="D168" s="6"/>
    </row>
    <row r="169" spans="2:4" ht="13.95" customHeight="1">
      <c r="B169" s="6"/>
      <c r="C169" s="6"/>
      <c r="D169" s="6"/>
    </row>
    <row r="170" spans="2:4" ht="13.95" customHeight="1">
      <c r="B170" s="6"/>
      <c r="C170" s="6"/>
      <c r="D170" s="6"/>
    </row>
    <row r="171" spans="2:4" ht="13.95" customHeight="1">
      <c r="B171" s="6"/>
      <c r="C171" s="6"/>
      <c r="D171" s="6"/>
    </row>
    <row r="172" spans="2:4" ht="13.95" customHeight="1">
      <c r="B172" s="6"/>
      <c r="C172" s="6"/>
      <c r="D172" s="6"/>
    </row>
    <row r="173" spans="2:4" ht="13.95" customHeight="1">
      <c r="B173" s="6"/>
      <c r="C173" s="6"/>
      <c r="D173" s="6"/>
    </row>
    <row r="174" spans="2:4" ht="13.95" customHeight="1">
      <c r="B174" s="6"/>
      <c r="C174" s="6"/>
      <c r="D174" s="6"/>
    </row>
    <row r="175" spans="2:4" ht="13.95" customHeight="1">
      <c r="B175" s="6"/>
      <c r="C175" s="6"/>
      <c r="D175" s="6"/>
    </row>
    <row r="176" spans="2:4" ht="13.95" customHeight="1">
      <c r="B176" s="6"/>
      <c r="C176" s="6"/>
      <c r="D176" s="6"/>
    </row>
    <row r="177" spans="2:4" ht="13.95" customHeight="1">
      <c r="B177" s="6"/>
      <c r="C177" s="6"/>
      <c r="D177" s="6"/>
    </row>
    <row r="178" spans="2:4" ht="13.95" customHeight="1">
      <c r="B178" s="6"/>
      <c r="C178" s="6"/>
      <c r="D178" s="6"/>
    </row>
    <row r="179" spans="2:4" ht="13.95" customHeight="1">
      <c r="B179" s="6"/>
      <c r="C179" s="6"/>
      <c r="D179" s="6"/>
    </row>
    <row r="180" spans="2:4" ht="13.95" customHeight="1">
      <c r="B180" s="6"/>
      <c r="C180" s="6"/>
      <c r="D180" s="6"/>
    </row>
    <row r="181" spans="2:4" ht="13.95" customHeight="1">
      <c r="B181" s="6"/>
      <c r="C181" s="6"/>
      <c r="D181" s="6"/>
    </row>
    <row r="182" spans="2:4" ht="13.95" customHeight="1">
      <c r="B182" s="6"/>
      <c r="C182" s="6"/>
      <c r="D182" s="6"/>
    </row>
    <row r="183" spans="2:4" ht="13.95" customHeight="1">
      <c r="B183" s="6"/>
      <c r="C183" s="6"/>
      <c r="D183" s="6"/>
    </row>
    <row r="184" spans="2:4" ht="13.95" customHeight="1">
      <c r="B184" s="6"/>
      <c r="C184" s="6"/>
      <c r="D184" s="6"/>
    </row>
    <row r="185" spans="2:4" ht="13.95" customHeight="1">
      <c r="B185" s="6"/>
      <c r="C185" s="6"/>
      <c r="D185" s="6"/>
    </row>
    <row r="186" spans="2:4" ht="13.95" customHeight="1">
      <c r="B186" s="6"/>
      <c r="C186" s="6"/>
      <c r="D186" s="6"/>
    </row>
    <row r="187" spans="2:4" ht="13.95" customHeight="1">
      <c r="B187" s="6"/>
      <c r="C187" s="6"/>
      <c r="D187" s="6"/>
    </row>
    <row r="188" spans="2:4" ht="13.95" customHeight="1">
      <c r="B188" s="6"/>
      <c r="C188" s="6"/>
      <c r="D188" s="6"/>
    </row>
    <row r="189" spans="2:4" ht="13.95" customHeight="1">
      <c r="B189" s="6"/>
      <c r="C189" s="6"/>
      <c r="D189" s="6"/>
    </row>
    <row r="190" spans="2:4" ht="13.95" customHeight="1">
      <c r="B190" s="6"/>
      <c r="C190" s="6"/>
      <c r="D190" s="6"/>
    </row>
    <row r="191" spans="2:4" ht="13.95" customHeight="1">
      <c r="B191" s="6"/>
      <c r="C191" s="6"/>
      <c r="D191" s="6"/>
    </row>
    <row r="192" spans="2:4" ht="13.95" customHeight="1">
      <c r="B192" s="6"/>
      <c r="C192" s="6"/>
      <c r="D192" s="6"/>
    </row>
    <row r="193" spans="2:4" ht="13.95" customHeight="1">
      <c r="B193" s="6"/>
      <c r="C193" s="6"/>
      <c r="D193" s="6"/>
    </row>
    <row r="194" spans="2:4" ht="13.95" customHeight="1">
      <c r="B194" s="6"/>
      <c r="C194" s="6"/>
      <c r="D194" s="6"/>
    </row>
    <row r="195" spans="2:4" ht="13.95" customHeight="1"/>
    <row r="196" spans="2:4" ht="13.95" customHeight="1"/>
    <row r="197" spans="2:4" ht="13.95" customHeight="1"/>
    <row r="198" spans="2:4" ht="13.95" customHeight="1"/>
    <row r="199" spans="2:4" ht="13.95" customHeight="1">
      <c r="B199" s="6"/>
      <c r="C199" s="6"/>
      <c r="D199" s="6"/>
    </row>
    <row r="200" spans="2:4" ht="13.95" customHeight="1">
      <c r="B200" s="6"/>
      <c r="C200" s="6"/>
      <c r="D200" s="6"/>
    </row>
    <row r="201" spans="2:4" ht="13.95" customHeight="1">
      <c r="B201" s="6"/>
      <c r="D201" s="18"/>
    </row>
    <row r="202" spans="2:4">
      <c r="B202" s="21"/>
      <c r="D202" s="7"/>
    </row>
    <row r="203" spans="2:4">
      <c r="B203" s="18"/>
      <c r="D203" s="7"/>
    </row>
    <row r="204" spans="2:4" ht="21.75" customHeight="1">
      <c r="B204" s="9"/>
      <c r="D204" s="8"/>
    </row>
    <row r="205" spans="2:4" ht="15.75" customHeight="1">
      <c r="B205" s="18"/>
      <c r="D205" s="18"/>
    </row>
    <row r="206" spans="2:4" ht="15.75" customHeight="1">
      <c r="B206" s="7"/>
      <c r="D206" s="7"/>
    </row>
    <row r="207" spans="2:4" ht="15.75" customHeight="1">
      <c r="B207" s="18"/>
      <c r="D207" s="18"/>
    </row>
    <row r="208" spans="2:4" ht="15.75" customHeight="1">
      <c r="B208" s="8"/>
      <c r="D208" s="18"/>
    </row>
    <row r="209" spans="2:4">
      <c r="B209" s="18"/>
      <c r="D209" s="9"/>
    </row>
    <row r="210" spans="2:4" ht="21.75" customHeight="1">
      <c r="B210" s="7"/>
      <c r="D210" s="9"/>
    </row>
    <row r="211" spans="2:4" ht="48" customHeight="1">
      <c r="B211" s="7"/>
      <c r="D211" s="9"/>
    </row>
    <row r="212" spans="2:4" ht="48" customHeight="1">
      <c r="B212" s="9"/>
      <c r="D212" s="9"/>
    </row>
    <row r="213" spans="2:4" ht="48" customHeight="1">
      <c r="B213" s="9"/>
      <c r="D213" s="7"/>
    </row>
    <row r="214" spans="2:4" ht="31.5" customHeight="1">
      <c r="B214" s="9"/>
      <c r="D214" s="7"/>
    </row>
    <row r="215" spans="2:4" ht="31.5" customHeight="1">
      <c r="B215" s="9"/>
      <c r="D215" s="7"/>
    </row>
    <row r="216" spans="2:4" ht="31.5" customHeight="1">
      <c r="B216" s="7"/>
      <c r="D216" s="9"/>
    </row>
    <row r="217" spans="2:4" ht="31.5" customHeight="1">
      <c r="B217" s="18"/>
      <c r="C217" s="10"/>
    </row>
    <row r="218" spans="2:4" ht="15.75" customHeight="1">
      <c r="B218" s="18"/>
      <c r="C218" s="11"/>
    </row>
    <row r="219" spans="2:4">
      <c r="B219" s="9"/>
      <c r="D219" s="9"/>
    </row>
    <row r="220" spans="2:4">
      <c r="B220" s="11"/>
      <c r="D220" s="9"/>
    </row>
    <row r="221" spans="2:4" ht="21.75" customHeight="1">
      <c r="B221" s="11"/>
      <c r="D221" s="12"/>
    </row>
    <row r="222" spans="2:4" ht="31.5" customHeight="1"/>
  </sheetData>
  <mergeCells count="1">
    <mergeCell ref="B1:D1"/>
  </mergeCells>
  <phoneticPr fontId="21" type="noConversion"/>
  <pageMargins left="0.3" right="0.3" top="0.4" bottom="0.4" header="0.511811023622047" footer="0.511811023622047"/>
  <pageSetup paperSize="9" scale="67" fitToHeight="2" orientation="portrait" r:id="rId1"/>
  <rowBreaks count="1" manualBreakCount="1">
    <brk id="76" max="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I41"/>
  <sheetViews>
    <sheetView view="pageBreakPreview" topLeftCell="A16" zoomScaleNormal="100" workbookViewId="0">
      <selection activeCell="B22" sqref="B22:I22"/>
    </sheetView>
  </sheetViews>
  <sheetFormatPr defaultColWidth="8.6640625" defaultRowHeight="14.4"/>
  <cols>
    <col min="1" max="1" width="2" customWidth="1"/>
    <col min="2" max="2" width="8.77734375" style="2" customWidth="1"/>
    <col min="3" max="3" width="22.6640625" customWidth="1"/>
    <col min="4" max="8" width="13" customWidth="1"/>
    <col min="9" max="9" width="6" customWidth="1"/>
    <col min="10" max="10" width="2" customWidth="1"/>
  </cols>
  <sheetData>
    <row r="2" spans="2:9" ht="31.5" customHeight="1">
      <c r="B2" s="95" t="s">
        <v>0</v>
      </c>
      <c r="C2" s="53"/>
      <c r="D2" s="53"/>
      <c r="E2" s="53"/>
      <c r="F2" s="53"/>
      <c r="G2" s="53"/>
      <c r="H2" s="53"/>
      <c r="I2" s="53"/>
    </row>
    <row r="3" spans="2:9" ht="18" customHeight="1">
      <c r="B3" s="104" t="s">
        <v>1</v>
      </c>
      <c r="C3" s="105"/>
      <c r="D3" s="105"/>
      <c r="E3" s="105"/>
      <c r="F3" s="105"/>
      <c r="G3" s="105"/>
      <c r="H3" s="105"/>
      <c r="I3" s="105"/>
    </row>
    <row r="5" spans="2:9" ht="60" customHeight="1">
      <c r="B5" s="103" t="s">
        <v>2</v>
      </c>
      <c r="C5" s="53"/>
      <c r="D5" s="53"/>
      <c r="E5" s="53"/>
      <c r="F5" s="53"/>
      <c r="G5" s="53"/>
      <c r="H5" s="53"/>
      <c r="I5" s="53"/>
    </row>
    <row r="7" spans="2:9" ht="25.5" customHeight="1">
      <c r="B7" s="101" t="s">
        <v>3</v>
      </c>
      <c r="C7" s="102"/>
      <c r="D7" s="102"/>
      <c r="E7" s="102"/>
      <c r="F7" s="102"/>
      <c r="G7" s="102"/>
      <c r="H7" s="102"/>
      <c r="I7" s="102"/>
    </row>
    <row r="8" spans="2:9" ht="42" customHeight="1">
      <c r="B8" s="99" t="s">
        <v>4</v>
      </c>
      <c r="C8" s="53"/>
      <c r="D8" s="53"/>
      <c r="E8" s="53"/>
      <c r="F8" s="53"/>
      <c r="G8" s="53"/>
      <c r="H8" s="53"/>
      <c r="I8" s="53"/>
    </row>
    <row r="10" spans="2:9" ht="25.5" customHeight="1">
      <c r="B10" s="101" t="s">
        <v>5</v>
      </c>
      <c r="C10" s="102"/>
      <c r="D10" s="102"/>
      <c r="E10" s="102"/>
      <c r="F10" s="102"/>
      <c r="G10" s="102"/>
      <c r="H10" s="102"/>
      <c r="I10" s="102"/>
    </row>
    <row r="11" spans="2:9" ht="21.75" customHeight="1">
      <c r="B11" s="106" t="s">
        <v>6</v>
      </c>
      <c r="C11" s="53"/>
      <c r="D11" s="53"/>
      <c r="E11" s="53"/>
      <c r="F11" s="53"/>
      <c r="G11" s="53"/>
      <c r="H11" s="53"/>
      <c r="I11" s="53"/>
    </row>
    <row r="12" spans="2:9" ht="39.75" customHeight="1">
      <c r="B12" s="14" t="s">
        <v>7</v>
      </c>
      <c r="C12" s="37" t="s">
        <v>8</v>
      </c>
      <c r="D12" s="96" t="s">
        <v>9</v>
      </c>
      <c r="E12" s="53"/>
      <c r="F12" s="53"/>
      <c r="G12" s="53"/>
      <c r="H12" s="53"/>
      <c r="I12" s="53"/>
    </row>
    <row r="13" spans="2:9" ht="39.75" customHeight="1">
      <c r="B13" s="14" t="s">
        <v>10</v>
      </c>
      <c r="C13" s="37" t="s">
        <v>11</v>
      </c>
      <c r="D13" s="96" t="s">
        <v>12</v>
      </c>
      <c r="E13" s="53"/>
      <c r="F13" s="53"/>
      <c r="G13" s="53"/>
      <c r="H13" s="53"/>
      <c r="I13" s="53"/>
    </row>
    <row r="14" spans="2:9" ht="39.75" customHeight="1">
      <c r="B14" s="14" t="s">
        <v>13</v>
      </c>
      <c r="C14" s="37" t="s">
        <v>14</v>
      </c>
      <c r="D14" s="96" t="s">
        <v>15</v>
      </c>
      <c r="E14" s="53"/>
      <c r="F14" s="53"/>
      <c r="G14" s="53"/>
      <c r="H14" s="53"/>
      <c r="I14" s="53"/>
    </row>
    <row r="15" spans="2:9" ht="39.75" customHeight="1">
      <c r="B15" s="14" t="s">
        <v>16</v>
      </c>
      <c r="C15" s="37" t="s">
        <v>17</v>
      </c>
      <c r="D15" s="96" t="s">
        <v>18</v>
      </c>
      <c r="E15" s="53"/>
      <c r="F15" s="53"/>
      <c r="G15" s="53"/>
      <c r="H15" s="53"/>
      <c r="I15" s="53"/>
    </row>
    <row r="16" spans="2:9" ht="39.75" customHeight="1">
      <c r="B16" s="14" t="s">
        <v>19</v>
      </c>
      <c r="C16" s="15" t="s">
        <v>20</v>
      </c>
      <c r="D16" s="96" t="s">
        <v>21</v>
      </c>
      <c r="E16" s="53"/>
      <c r="F16" s="53"/>
      <c r="G16" s="53"/>
      <c r="H16" s="53"/>
      <c r="I16" s="53"/>
    </row>
    <row r="17" spans="2:9" ht="39.75" customHeight="1">
      <c r="B17" s="14" t="s">
        <v>22</v>
      </c>
      <c r="C17" s="37" t="s">
        <v>23</v>
      </c>
      <c r="D17" s="96" t="s">
        <v>24</v>
      </c>
      <c r="E17" s="53"/>
      <c r="F17" s="53"/>
      <c r="G17" s="53"/>
      <c r="H17" s="53"/>
      <c r="I17" s="53"/>
    </row>
    <row r="18" spans="2:9" ht="39.75" customHeight="1">
      <c r="B18" s="14" t="s">
        <v>25</v>
      </c>
      <c r="C18" s="37" t="s">
        <v>26</v>
      </c>
      <c r="D18" s="96" t="s">
        <v>27</v>
      </c>
      <c r="E18" s="53"/>
      <c r="F18" s="53"/>
      <c r="G18" s="53"/>
      <c r="H18" s="53"/>
      <c r="I18" s="53"/>
    </row>
    <row r="19" spans="2:9" ht="39.75" customHeight="1">
      <c r="B19" s="14" t="s">
        <v>28</v>
      </c>
      <c r="C19" s="37" t="s">
        <v>29</v>
      </c>
      <c r="D19" s="96" t="s">
        <v>30</v>
      </c>
      <c r="E19" s="53"/>
      <c r="F19" s="53"/>
      <c r="G19" s="53"/>
      <c r="H19" s="53"/>
      <c r="I19" s="53"/>
    </row>
    <row r="21" spans="2:9" ht="25.5" customHeight="1">
      <c r="B21" s="101" t="s">
        <v>31</v>
      </c>
      <c r="C21" s="102"/>
      <c r="D21" s="102"/>
      <c r="E21" s="102"/>
      <c r="F21" s="102"/>
      <c r="G21" s="102"/>
      <c r="H21" s="102"/>
      <c r="I21" s="102"/>
    </row>
    <row r="22" spans="2:9" ht="43.5" customHeight="1">
      <c r="B22" s="106" t="s">
        <v>32</v>
      </c>
      <c r="C22" s="53"/>
      <c r="D22" s="53"/>
      <c r="E22" s="53"/>
      <c r="F22" s="53"/>
      <c r="G22" s="53"/>
      <c r="H22" s="53"/>
      <c r="I22" s="53"/>
    </row>
    <row r="24" spans="2:9" ht="25.5" customHeight="1">
      <c r="B24" s="101" t="s">
        <v>33</v>
      </c>
      <c r="C24" s="102"/>
      <c r="D24" s="102"/>
      <c r="E24" s="102"/>
      <c r="F24" s="102"/>
      <c r="G24" s="102"/>
      <c r="H24" s="102"/>
      <c r="I24" s="102"/>
    </row>
    <row r="25" spans="2:9" ht="31.5" customHeight="1">
      <c r="B25" s="109" t="s">
        <v>34</v>
      </c>
      <c r="C25" s="53"/>
      <c r="D25" s="53"/>
      <c r="E25" s="53"/>
      <c r="F25" s="53"/>
      <c r="G25" s="53"/>
      <c r="H25" s="53"/>
      <c r="I25" s="53"/>
    </row>
    <row r="26" spans="2:9" ht="30" customHeight="1">
      <c r="B26" s="14" t="s">
        <v>7</v>
      </c>
      <c r="C26" s="37" t="s">
        <v>35</v>
      </c>
      <c r="D26" s="96" t="s">
        <v>36</v>
      </c>
      <c r="E26" s="53"/>
      <c r="F26" s="53"/>
      <c r="G26" s="53"/>
      <c r="H26" s="53"/>
      <c r="I26" s="53"/>
    </row>
    <row r="27" spans="2:9" ht="30" customHeight="1">
      <c r="B27" s="14" t="s">
        <v>10</v>
      </c>
      <c r="C27" s="37" t="s">
        <v>37</v>
      </c>
      <c r="D27" s="100" t="s">
        <v>38</v>
      </c>
      <c r="E27" s="107"/>
      <c r="F27" s="107"/>
      <c r="G27" s="107"/>
      <c r="H27" s="107"/>
      <c r="I27" s="107"/>
    </row>
    <row r="28" spans="2:9" ht="45" customHeight="1">
      <c r="B28" s="14" t="s">
        <v>13</v>
      </c>
      <c r="C28" s="37" t="s">
        <v>39</v>
      </c>
      <c r="D28" s="100" t="s">
        <v>40</v>
      </c>
      <c r="E28" s="107"/>
      <c r="F28" s="107"/>
      <c r="G28" s="107"/>
      <c r="H28" s="107"/>
      <c r="I28" s="107"/>
    </row>
    <row r="29" spans="2:9" ht="30" customHeight="1">
      <c r="B29" s="14" t="s">
        <v>16</v>
      </c>
      <c r="C29" s="37" t="s">
        <v>41</v>
      </c>
      <c r="D29" s="96" t="s">
        <v>42</v>
      </c>
      <c r="E29" s="53"/>
      <c r="F29" s="53"/>
      <c r="G29" s="53"/>
      <c r="H29" s="53"/>
      <c r="I29" s="53"/>
    </row>
    <row r="30" spans="2:9" ht="45" customHeight="1">
      <c r="B30" s="14" t="s">
        <v>19</v>
      </c>
      <c r="C30" s="37" t="s">
        <v>43</v>
      </c>
      <c r="D30" s="100" t="s">
        <v>44</v>
      </c>
      <c r="E30" s="53"/>
      <c r="F30" s="53"/>
      <c r="G30" s="53"/>
      <c r="H30" s="53"/>
      <c r="I30" s="53"/>
    </row>
    <row r="31" spans="2:9" ht="30" customHeight="1">
      <c r="B31" s="14" t="s">
        <v>22</v>
      </c>
      <c r="C31" s="37" t="s">
        <v>45</v>
      </c>
      <c r="D31" s="96" t="s">
        <v>46</v>
      </c>
      <c r="E31" s="53"/>
      <c r="F31" s="53"/>
      <c r="G31" s="53"/>
      <c r="H31" s="53"/>
      <c r="I31" s="53"/>
    </row>
    <row r="32" spans="2:9" ht="30" customHeight="1">
      <c r="B32" s="14" t="s">
        <v>25</v>
      </c>
      <c r="C32" s="37" t="s">
        <v>47</v>
      </c>
      <c r="D32" s="96" t="s">
        <v>48</v>
      </c>
      <c r="E32" s="53"/>
      <c r="F32" s="53"/>
      <c r="G32" s="53"/>
      <c r="H32" s="53"/>
      <c r="I32" s="53"/>
    </row>
    <row r="34" spans="2:9" ht="7.5" customHeight="1">
      <c r="B34" s="24"/>
      <c r="C34" s="16"/>
      <c r="D34" s="16"/>
      <c r="E34" s="16"/>
      <c r="F34" s="16"/>
      <c r="G34" s="16"/>
      <c r="H34" s="16"/>
      <c r="I34" s="16"/>
    </row>
    <row r="35" spans="2:9" ht="36" customHeight="1">
      <c r="B35" s="110" t="s">
        <v>49</v>
      </c>
      <c r="C35" s="53"/>
      <c r="D35" s="53"/>
      <c r="E35" s="53"/>
      <c r="F35" s="53"/>
      <c r="G35" s="53"/>
      <c r="H35" s="53"/>
      <c r="I35" s="53"/>
    </row>
    <row r="37" spans="2:9" ht="42" customHeight="1">
      <c r="B37" s="38" t="s">
        <v>50</v>
      </c>
      <c r="C37" s="97" t="str">
        <f>IFERROR(IF(계약서!C11="","",계약서!C11),"")</f>
        <v>중앙 오토바이 가수점</v>
      </c>
      <c r="D37" s="98"/>
      <c r="E37" s="98"/>
      <c r="F37" s="98"/>
      <c r="G37" s="98"/>
      <c r="H37" s="98"/>
      <c r="I37" s="17" t="s">
        <v>51</v>
      </c>
    </row>
    <row r="39" spans="2:9" ht="42" customHeight="1">
      <c r="B39" s="38" t="s">
        <v>52</v>
      </c>
      <c r="C39" s="97" t="str">
        <f>IFERROR(IF(계약서!C16="","",계약서!C16),"")</f>
        <v>안종식</v>
      </c>
      <c r="D39" s="98"/>
      <c r="E39" s="98"/>
      <c r="F39" s="98"/>
      <c r="G39" s="98"/>
      <c r="H39" s="98"/>
      <c r="I39" s="17" t="s">
        <v>51</v>
      </c>
    </row>
    <row r="41" spans="2:9" ht="42" customHeight="1">
      <c r="B41" s="38" t="s">
        <v>53</v>
      </c>
      <c r="C41" s="108" t="s">
        <v>54</v>
      </c>
      <c r="D41" s="98"/>
      <c r="E41" s="98"/>
      <c r="F41" s="98"/>
      <c r="G41" s="98"/>
      <c r="H41" s="98"/>
      <c r="I41" s="17" t="s">
        <v>51</v>
      </c>
    </row>
  </sheetData>
  <mergeCells count="30">
    <mergeCell ref="C41:H41"/>
    <mergeCell ref="D27:I27"/>
    <mergeCell ref="B7:I7"/>
    <mergeCell ref="D13:I13"/>
    <mergeCell ref="B25:I25"/>
    <mergeCell ref="D32:I32"/>
    <mergeCell ref="D17:I17"/>
    <mergeCell ref="B35:I35"/>
    <mergeCell ref="B3:I3"/>
    <mergeCell ref="B22:I22"/>
    <mergeCell ref="D16:I16"/>
    <mergeCell ref="B21:I21"/>
    <mergeCell ref="D28:I28"/>
    <mergeCell ref="B11:I11"/>
    <mergeCell ref="B2:I2"/>
    <mergeCell ref="D18:I18"/>
    <mergeCell ref="C39:H39"/>
    <mergeCell ref="D12:I12"/>
    <mergeCell ref="B8:I8"/>
    <mergeCell ref="D30:I30"/>
    <mergeCell ref="D15:I15"/>
    <mergeCell ref="D14:I14"/>
    <mergeCell ref="D29:I29"/>
    <mergeCell ref="C37:H37"/>
    <mergeCell ref="B10:I10"/>
    <mergeCell ref="D26:I26"/>
    <mergeCell ref="D19:I19"/>
    <mergeCell ref="B24:I24"/>
    <mergeCell ref="D31:I31"/>
    <mergeCell ref="B5:I5"/>
  </mergeCells>
  <phoneticPr fontId="21" type="noConversion"/>
  <printOptions horizontalCentered="1"/>
  <pageMargins left="0.5" right="0.5" top="0.5" bottom="0.5" header="0.511811023622047" footer="0.511811023622047"/>
  <pageSetup paperSize="9" scale="62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J17"/>
  <sheetViews>
    <sheetView tabSelected="1" workbookViewId="0">
      <selection activeCell="C7" sqref="C7"/>
    </sheetView>
  </sheetViews>
  <sheetFormatPr defaultRowHeight="14.4"/>
  <cols>
    <col min="1" max="1" width="2" customWidth="1"/>
    <col min="2" max="3" width="13" customWidth="1"/>
    <col min="4" max="8" width="12" customWidth="1"/>
    <col min="9" max="9" width="2" customWidth="1"/>
  </cols>
  <sheetData>
    <row r="2" spans="1:10" ht="36" customHeight="1">
      <c r="A2" s="43"/>
      <c r="B2" s="113" t="s">
        <v>430</v>
      </c>
      <c r="C2" s="53"/>
      <c r="D2" s="53"/>
      <c r="E2" s="53"/>
      <c r="F2" s="53"/>
      <c r="G2" s="53"/>
      <c r="H2" s="53"/>
      <c r="I2" s="43"/>
      <c r="J2" s="43"/>
    </row>
    <row r="3" spans="1:10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10" ht="40.049999999999997" customHeight="1">
      <c r="A4" s="43"/>
      <c r="B4" s="111" t="s">
        <v>431</v>
      </c>
      <c r="C4" s="53"/>
      <c r="D4" s="53"/>
      <c r="E4" s="53"/>
      <c r="F4" s="53"/>
      <c r="G4" s="53"/>
      <c r="H4" s="53"/>
      <c r="I4" s="43"/>
      <c r="J4" s="43"/>
    </row>
    <row r="5" spans="1:10">
      <c r="A5" s="43"/>
      <c r="B5" s="43"/>
      <c r="C5" s="43"/>
      <c r="D5" s="43"/>
      <c r="E5" s="43"/>
      <c r="F5" s="43"/>
      <c r="G5" s="43"/>
      <c r="H5" s="43"/>
      <c r="I5" s="43"/>
      <c r="J5" s="43"/>
    </row>
    <row r="6" spans="1:10" ht="28.05" customHeight="1">
      <c r="A6" s="43"/>
      <c r="B6" s="44" t="s">
        <v>432</v>
      </c>
      <c r="C6" s="44" t="s">
        <v>433</v>
      </c>
      <c r="D6" s="44" t="s">
        <v>434</v>
      </c>
      <c r="E6" s="44" t="s">
        <v>435</v>
      </c>
      <c r="F6" s="44" t="s">
        <v>436</v>
      </c>
      <c r="G6" s="44" t="s">
        <v>437</v>
      </c>
      <c r="H6" s="44" t="s">
        <v>438</v>
      </c>
      <c r="I6" s="43"/>
      <c r="J6" s="43"/>
    </row>
    <row r="7" spans="1:10" ht="25.95" customHeight="1">
      <c r="A7" s="43"/>
      <c r="B7" s="45" t="s">
        <v>439</v>
      </c>
      <c r="C7" s="116" t="s">
        <v>467</v>
      </c>
      <c r="D7" s="46" t="s">
        <v>440</v>
      </c>
      <c r="E7" s="46" t="s">
        <v>441</v>
      </c>
      <c r="F7" s="46" t="s">
        <v>442</v>
      </c>
      <c r="G7" s="46" t="s">
        <v>443</v>
      </c>
      <c r="H7" s="51" t="s">
        <v>444</v>
      </c>
      <c r="I7" s="43"/>
      <c r="J7" s="43"/>
    </row>
    <row r="8" spans="1:10" ht="25.95" customHeight="1">
      <c r="A8" s="43"/>
      <c r="B8" s="45" t="s">
        <v>445</v>
      </c>
      <c r="C8" s="116" t="s">
        <v>467</v>
      </c>
      <c r="D8" s="46" t="s">
        <v>446</v>
      </c>
      <c r="E8" s="46" t="s">
        <v>447</v>
      </c>
      <c r="F8" s="46" t="s">
        <v>448</v>
      </c>
      <c r="G8" s="46" t="s">
        <v>449</v>
      </c>
      <c r="H8" s="46" t="s">
        <v>450</v>
      </c>
      <c r="I8" s="43"/>
      <c r="J8" s="43"/>
    </row>
    <row r="9" spans="1:10" ht="25.95" customHeight="1">
      <c r="A9" s="43"/>
      <c r="B9" s="45" t="s">
        <v>451</v>
      </c>
      <c r="C9" s="116" t="s">
        <v>467</v>
      </c>
      <c r="D9" s="46" t="s">
        <v>452</v>
      </c>
      <c r="E9" s="46" t="s">
        <v>453</v>
      </c>
      <c r="F9" s="46" t="s">
        <v>454</v>
      </c>
      <c r="G9" s="46" t="s">
        <v>455</v>
      </c>
      <c r="H9" s="46" t="s">
        <v>456</v>
      </c>
      <c r="I9" s="43"/>
      <c r="J9" s="43"/>
    </row>
    <row r="10" spans="1:10">
      <c r="A10" s="43"/>
      <c r="B10" s="43"/>
      <c r="C10" s="43"/>
      <c r="D10" s="43"/>
      <c r="E10" s="43"/>
      <c r="F10" s="43"/>
      <c r="G10" s="43"/>
      <c r="H10" s="43"/>
      <c r="I10" s="43"/>
      <c r="J10" s="43"/>
    </row>
    <row r="11" spans="1:10" ht="40.049999999999997" customHeight="1">
      <c r="A11" s="43"/>
      <c r="B11" s="115" t="s">
        <v>457</v>
      </c>
      <c r="C11" s="53"/>
      <c r="D11" s="53"/>
      <c r="E11" s="53"/>
      <c r="F11" s="53"/>
      <c r="G11" s="53"/>
      <c r="H11" s="53"/>
      <c r="I11" s="43"/>
      <c r="J11" s="43"/>
    </row>
    <row r="12" spans="1:10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3" spans="1:10" ht="31.95" customHeight="1">
      <c r="A13" s="43"/>
      <c r="B13" s="111" t="s">
        <v>458</v>
      </c>
      <c r="C13" s="53"/>
      <c r="D13" s="53"/>
      <c r="E13" s="53"/>
      <c r="F13" s="53"/>
      <c r="G13" s="53"/>
      <c r="H13" s="53"/>
      <c r="I13" s="43"/>
      <c r="J13" s="43"/>
    </row>
    <row r="14" spans="1:10">
      <c r="A14" s="43"/>
      <c r="B14" s="43"/>
      <c r="C14" s="43"/>
      <c r="D14" s="43"/>
      <c r="E14" s="43"/>
      <c r="F14" s="43"/>
      <c r="G14" s="43"/>
      <c r="H14" s="43"/>
      <c r="I14" s="43"/>
      <c r="J14" s="43"/>
    </row>
    <row r="15" spans="1:10" ht="25.95" customHeight="1">
      <c r="A15" s="43"/>
      <c r="B15" s="114" t="s">
        <v>459</v>
      </c>
      <c r="C15" s="53"/>
      <c r="D15" s="53"/>
      <c r="E15" s="53"/>
      <c r="F15" s="53"/>
      <c r="G15" s="53"/>
      <c r="H15" s="53"/>
      <c r="I15" s="43"/>
      <c r="J15" s="43"/>
    </row>
    <row r="16" spans="1:10" ht="52.05" customHeight="1">
      <c r="A16" s="43"/>
      <c r="B16" s="112" t="s">
        <v>460</v>
      </c>
      <c r="C16" s="53"/>
      <c r="D16" s="53"/>
      <c r="E16" s="53"/>
      <c r="F16" s="53"/>
      <c r="G16" s="53"/>
      <c r="H16" s="53"/>
      <c r="I16" s="43"/>
      <c r="J16" s="43"/>
    </row>
    <row r="17" spans="1:10">
      <c r="A17" s="43"/>
      <c r="B17" s="43"/>
      <c r="C17" s="43"/>
      <c r="D17" s="43"/>
      <c r="E17" s="43"/>
      <c r="F17" s="43"/>
      <c r="G17" s="43"/>
      <c r="H17" s="43"/>
      <c r="I17" s="43"/>
      <c r="J17" s="43"/>
    </row>
  </sheetData>
  <mergeCells count="6">
    <mergeCell ref="B13:H13"/>
    <mergeCell ref="B4:H4"/>
    <mergeCell ref="B16:H16"/>
    <mergeCell ref="B2:H2"/>
    <mergeCell ref="B15:H15"/>
    <mergeCell ref="B11:H11"/>
  </mergeCells>
  <phoneticPr fontId="21" type="noConversion"/>
  <pageMargins left="0.5" right="0.5" top="0.6" bottom="0.6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4</vt:i4>
      </vt:variant>
    </vt:vector>
  </HeadingPairs>
  <TitlesOfParts>
    <vt:vector size="9" baseType="lpstr">
      <vt:lpstr>계약리스트</vt:lpstr>
      <vt:lpstr>계약서</vt:lpstr>
      <vt:lpstr>이용약관</vt:lpstr>
      <vt:lpstr>별지_구상금</vt:lpstr>
      <vt:lpstr>별지_단가표</vt:lpstr>
      <vt:lpstr>계약서!Print_Area</vt:lpstr>
      <vt:lpstr>별지_구상금!Print_Area</vt:lpstr>
      <vt:lpstr>별지_단가표!Print_Area</vt:lpstr>
      <vt:lpstr>이용약관!Print_Area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유주 박</cp:lastModifiedBy>
  <cp:revision>0</cp:revision>
  <cp:lastPrinted>2026-05-26T07:05:48Z</cp:lastPrinted>
  <dcterms:created xsi:type="dcterms:W3CDTF">2026-04-27T06:03:32Z</dcterms:created>
  <dcterms:modified xsi:type="dcterms:W3CDTF">2026-06-06T08:58:17Z</dcterms:modified>
  <dc:language>en-US</dc:language>
</cp:coreProperties>
</file>