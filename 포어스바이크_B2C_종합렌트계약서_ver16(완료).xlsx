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owlsy\Downloads\이륜차_계약서_작업\"/>
    </mc:Choice>
  </mc:AlternateContent>
  <xr:revisionPtr revIDLastSave="0" documentId="13_ncr:1_{E174DC43-5196-4152-B41F-2CB722AE43FE}" xr6:coauthVersionLast="47" xr6:coauthVersionMax="47" xr10:uidLastSave="{00000000-0000-0000-0000-000000000000}"/>
  <bookViews>
    <workbookView xWindow="-108" yWindow="-108" windowWidth="30936" windowHeight="16776" tabRatio="500" activeTab="4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  <sheet name="별지_단가표" sheetId="5" r:id="rId5"/>
  </sheets>
  <definedNames>
    <definedName name="_xlnm.Print_Area" localSheetId="1">계약서!$A$1:$K$50</definedName>
    <definedName name="_xlnm.Print_Area" localSheetId="4">별지_단가표!$A$1:$I$17</definedName>
    <definedName name="_xlnm.Print_Area" localSheetId="2">이용약관!$A$1:$D$153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2" l="1"/>
  <c r="F18" i="2"/>
  <c r="I17" i="2"/>
  <c r="F17" i="2"/>
  <c r="C17" i="2"/>
  <c r="I16" i="2"/>
  <c r="F16" i="2"/>
  <c r="C16" i="2"/>
  <c r="C12" i="2"/>
  <c r="I11" i="2"/>
  <c r="F11" i="2"/>
  <c r="C11" i="2"/>
  <c r="C34" i="4" s="1"/>
  <c r="I7" i="2"/>
  <c r="F7" i="2"/>
  <c r="C7" i="2"/>
  <c r="I6" i="2"/>
  <c r="F6" i="2"/>
  <c r="C6" i="2"/>
  <c r="I3" i="2"/>
  <c r="B152" i="3"/>
</calcChain>
</file>

<file path=xl/sharedStrings.xml><?xml version="1.0" encoding="utf-8"?>
<sst xmlns="http://schemas.openxmlformats.org/spreadsheetml/2006/main" count="462" uniqueCount="427">
  <si>
    <t>이륜차 종합렌트 계약 이용약관</t>
  </si>
  <si>
    <t>제1조 (목적)</t>
  </si>
  <si>
    <t>제7조 (지연손해금 및 처리 지체 위약금)</t>
  </si>
  <si>
    <t>이 약관은 포어스바이크 유한회사(이하 "회사")와 본 계약을 체결한 계약자 간의 이륜차 렌트에 관한한 권</t>
  </si>
  <si>
    <t>① 계약자가 계약상 약정된 채무를 기한 내 이행하지 않는 경우 위약금이 발생하며, 회사 청구일로부터</t>
  </si>
  <si>
    <t>리·의무를 규정함을 목적으로 한다.</t>
  </si>
  <si>
    <t>7일 이내에 지급한다.</t>
  </si>
  <si>
    <t>② "지연손해금"이란, 계약자가 렌트료·해지위약금·수리비·과태료 등 회사에 지급할 금액의 납부를 지체한</t>
  </si>
  <si>
    <t>제2조 (용어의 정의)</t>
  </si>
  <si>
    <t>경우 발생하는 금원으로, 다음 산식에 따라 산정한다. [지연손해금 = 연체금액 × 경과일수 × 연 15%]</t>
  </si>
  <si>
    <t>③ "처리 지체 위약금"이란, 계약만료·해지 후 명의이전·사용폐지·이륜차 반환 등 처리절차의 지체로 회사</t>
  </si>
  <si>
    <t>발생하는 비용·위약을 보전하는 금원으로, 다음 각 호를 합산하여 산정한다.</t>
  </si>
  <si>
    <t>1. 반납형 또는 인수형(미완납) 계약: 사용수익 상실액[(일사용료 × 1.2) × 지체일수]</t>
  </si>
  <si>
    <t>2. 인수형(완납 후) 계약의 명의이전 지체: 차량 배기량·보험연령별 1일 단가 × 지체일수 [별지 단가표]</t>
  </si>
  <si>
    <t>위 각 호와 별도로, 회사가 실제 부담한 의무보험 미가입 과태료·자동차세 등 제세공과금은 합산 청구한다.</t>
  </si>
  <si>
    <t>제8조 (보험계약의 체결 및 관리)</t>
  </si>
  <si>
    <t>험을 말한다.</t>
  </si>
  <si>
    <t>제9조 (운행자성 및 운행지배)</t>
  </si>
  <si>
    <t>야 하며, 회사가 부득이 배상한 경우 그 금액·관련 비용 일체를 즉시 회사에 상환하여야 한다.</t>
  </si>
  <si>
    <t>제5조 (보증금 및 계약금)</t>
  </si>
  <si>
    <t>제11조 (운전자 범위 및 책임)</t>
  </si>
  <si>
    <t>등 회사가 이미 지출한 부대비용 일체를 배상한다.</t>
  </si>
  <si>
    <t>제6조 (렌트료 및 결제)</t>
  </si>
  <si>
    <t>제12조 (계약의 이관 및 승계)</t>
  </si>
  <si>
    <t>페이를 통하여 렌트료·과태료 등의 납부가 가능하다. 단, 다음 각 호에 해당하는 경우 플랫폼 일차감 프로그</t>
  </si>
  <si>
    <t>램은 즉시 중단되며, 본 조 제1항·제2항·제3항에 따라 결제방법이 즉시 변경된다.</t>
  </si>
  <si>
    <t xml:space="preserve">   1. 계약자와 배달플랫폼사 간의 가맹계약이 종료된 경우</t>
  </si>
  <si>
    <t xml:space="preserve">   2. 배달플랫폼 본사와 회사 간의 제휴계약이 종료된 경우</t>
  </si>
  <si>
    <t xml:space="preserve">   3. 배달플랫폼사의 페이가 72시간 연속으로 회사가 요청하는 금액만큼 회사 계좌로 출금되지 아니</t>
  </si>
  <si>
    <t xml:space="preserve">   한 경우</t>
  </si>
  <si>
    <t>제14조 (보험 면책사고 및 구상금)</t>
  </si>
  <si>
    <t>제21조 (계약의 해지 사유)</t>
  </si>
  <si>
    <t>다음 각 호에 해당하는 경우 계약자는 사전 통지·최고 없이 기한이익을 상실하며, 회사는 본 계약을 해지하</t>
  </si>
  <si>
    <t>계약자가 부담한다: (1) 고의·범죄 목적 운행 또는 도난·무단이용 중 사고, (2) 무면허·음주·약물·보험연령 미</t>
  </si>
  <si>
    <t>고 차량 인도를 청구할 수 있다: (1) 이륜차 무단 양도·전대 또는 보험 인정 운전자 이외의 자에게 사용, (2)</t>
  </si>
  <si>
    <t>달자·운전자 자격 미충족자의 운전, (3) 12대 중과실(교통사고처리 특례법상)에 해당하는 사고, (4) 운전자</t>
  </si>
  <si>
    <t>보험연령 미달자 운전 사실 발견, (3) 정해진 납부기한에 렌트료 미납 및 7일 이상 지체,(4) 통지받은 수리비</t>
  </si>
  <si>
    <t>범위 위반 또는 요금·대가를 받고 이용, (5) 경기·시범·연습용 등 비일상적 사용, (6) 그 밖에 보험약관상 면</t>
  </si>
  <si>
    <t>과태료·구상금 등을 정당한 사유 없이 7일 이내 미납, (5) 무면허·음주운전 등 운전자 귀책 배상금 청구 후</t>
  </si>
  <si>
    <t>책사항에 해당하는 일체의 사고, (7) 대물배상 한도 초과분·대인배상Ⅱ 한도 초과분 등 본 계약 종합보험으</t>
  </si>
  <si>
    <t>7일 이내 미납, (6) 제3자 담보 제공 등 회사 소유권 침해 또는 차량 규격·성능·표지의 무단 변경·훼손, (7) 위</t>
  </si>
  <si>
    <t>로 보장되지 않거나 보험사 보장 한도를 초과하는 손해 일체.</t>
  </si>
  <si>
    <t>치정보 장치 훼손·은닉, (8) 보험사 구상금 통보 후 7일 이내 미변제, (9) 사고 발생 시 고지 의무 위반.</t>
  </si>
  <si>
    <t>보 후 7일 이내에 구상금 전액 및 회사가 그와 관련하여 지출한 변호사비·소송비 일체를 회사에 변제한다.</t>
  </si>
  <si>
    <t>제22조 (이륜차 반환 및 회수)</t>
  </si>
  <si>
    <t>회수한다. 보증금은 반환하지 않으며, 위약금 및 손해배상금은 별도로 청구한다.</t>
  </si>
  <si>
    <t>관련 비용 일체를 즉시 회사에 상환한다.</t>
  </si>
  <si>
    <t>제15조 (계약자의 책임)</t>
  </si>
  <si>
    <t>제23조 (계약만료 후 처리)</t>
  </si>
  <si>
    <t xml:space="preserve">익권 및 운행이익권을 가진다. 계약자는 이륜차를 제3자에게 양도·전대·담보 제공할 수 없다. </t>
  </si>
  <si>
    <t>본 계약이 해지된 경우 즉시 운행을 중단하고 이륜차를 반환한다.</t>
  </si>
  <si>
    <t>따른 처리 지체 위약금 및 실비를 회사에 납부한다.</t>
  </si>
  <si>
    <t>제24조 (변제충당 순서)</t>
  </si>
  <si>
    <t>부한다.</t>
  </si>
  <si>
    <t>제16조 (차량 위치정보 등 제공 동의)</t>
  </si>
  <si>
    <t>제25조 (현금영수증 발급)</t>
  </si>
  <si>
    <t>경우, 발급 대상 거래 이전에 회사에 사전 통지하여 승인을 받아야 한다.</t>
  </si>
  <si>
    <t>차, 보험 처리 등 본 계약 이행·관리에 필요한 범위 내에서만 위치정보를 활용한다.</t>
  </si>
  <si>
    <t>제26조 (준거법 및 관할)</t>
  </si>
  <si>
    <t>본 계약은 대한민국 법률에 따라 해석·적용하며, 본 계약과 관련하여 분쟁이 발생하는 경우 수원지방법원</t>
  </si>
  <si>
    <t>을 전속 관할 법원으로 한다.</t>
  </si>
  <si>
    <t>능의 임의 변경 또는 번호판 훼손, (4) 이륜차를 제3자에게 담보 제공 등 회사 소유권 침해 행위, (5) 이륜차</t>
  </si>
  <si>
    <t>제27조 (차량 평가 및 감가 기준)</t>
  </si>
  <si>
    <t>계약 만료·해지로 이륜차가 회사에 반환된 경우, 회사는 다음 기준에 따라 감가액을 산정한다: (1) 커버류</t>
  </si>
  <si>
    <t>버류 교체·수리 필요 시 부위당 4%, (2) 차대 교체·수리 필요 시 부위당 6%, (3) 도장·판금 작업 필요시 30~</t>
  </si>
  <si>
    <t>50만 원 범위. 실제 수리비가 본 기준을 초과하는 경우 실비를 기준으로 청구할 수 있다.</t>
  </si>
  <si>
    <t>제28조 (제조사 A/S 및 차량 하자)</t>
  </si>
  <si>
    <t>발생 시 제조사의 A/S 정책에 따르며, 처리 과정에서 발생하는 비용 및 손해는 회사가 책임지지 아니하고</t>
  </si>
  <si>
    <t>이로 인하여 계약자의 렌트료 지급의무에는 영향을 미치지 않는다.</t>
  </si>
  <si>
    <t>제19조 (계약자에 의한 중도 해지)</t>
  </si>
  <si>
    <t>제29조 (출고 주문 취소 위약금)</t>
  </si>
  <si>
    <t>계약자의 단순 변심으로 출고 당일 계약을 취소하는 경우, 계약자는 차량 회수에 소요된 일체의 비용 및</t>
  </si>
  <si>
    <t>및 위약금 10만 원을 회사에 지급한다.</t>
  </si>
  <si>
    <t>제30조 (과태료·범칙금·제세공과금)</t>
  </si>
  <si>
    <t>에게 안내하며, 계약자는 즉시 납부하여야 한다.</t>
  </si>
  <si>
    <t>제20조 (해지위약금 등의 부과방법)</t>
  </si>
  <si>
    <t>을 반환한다. 미납금이 보증금을 초과하는 경우 계약자는 그 차액을 추가 납부하여야 한다.</t>
  </si>
  <si>
    <t>부터 7일 이내에 지급하여야 한다.</t>
  </si>
  <si>
    <t>제31조 (약관의 변경)</t>
  </si>
  <si>
    <t>이용약관의 내용에 대해서 설명을 듣고 확인하였습니다.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</si>
  <si>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</si>
  <si>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</si>
  <si>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</si>
  <si>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</si>
  <si>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</si>
  <si>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</si>
  <si>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</si>
  <si>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</si>
  <si>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</si>
  <si>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</si>
  <si>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</si>
  <si>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</si>
  <si>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</si>
  <si>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</si>
  <si>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</si>
  <si>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</si>
  <si>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</si>
  <si>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</si>
  <si>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</si>
  <si>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</si>
  <si>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</si>
  <si>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</si>
  <si>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</si>
  <si>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</si>
  <si>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</si>
  <si>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안종식</t>
  </si>
  <si>
    <t>820530-1046518</t>
  </si>
  <si>
    <t>경기도 오산시 궐동로 77, 1층(궐동)</t>
  </si>
  <si>
    <t>010-5813-7336</t>
  </si>
  <si>
    <t>렌트</t>
  </si>
  <si>
    <t>인수형</t>
  </si>
  <si>
    <t>계좌이체</t>
  </si>
  <si>
    <t>월2회(15일,말일)</t>
  </si>
  <si>
    <t>계약번호입력→</t>
  </si>
  <si>
    <t>이륜차 종합렌트 계약서</t>
  </si>
  <si>
    <t>포어스바이크 유한회사</t>
  </si>
  <si>
    <t>■ 차량 정보</t>
  </si>
  <si>
    <t>※ 본 차량은 위 보험연령 이상의 운전자만 운행 가능. 미달자 운전 사고 시 발생하는 모든 손해·구상금은 계약자가 전적으로 책임집니다.</t>
  </si>
  <si>
    <t>■ 계약자</t>
  </si>
  <si>
    <t>성명</t>
  </si>
  <si>
    <t>주민등록번호</t>
  </si>
  <si>
    <t>※ 제출 서류 : 신분증 사본</t>
  </si>
  <si>
    <t>■ 계약 조건</t>
  </si>
  <si>
    <t>렌트 기간</t>
  </si>
  <si>
    <t>일사용료
(VAT포함)</t>
  </si>
  <si>
    <t>납입방법</t>
  </si>
  <si>
    <t>청구시작일</t>
  </si>
  <si>
    <t>납입계좌</t>
  </si>
  <si>
    <t>기업은행 929-028075-04-011 포어스바이크(유)</t>
  </si>
  <si>
    <t>■ 회사 정보</t>
  </si>
  <si>
    <t>상호</t>
  </si>
  <si>
    <t>사업자번호</t>
  </si>
  <si>
    <t>104-86-62883</t>
  </si>
  <si>
    <t>대표이사</t>
  </si>
  <si>
    <t>김현수</t>
  </si>
  <si>
    <t>강원특별자치도 춘천시 춘천로 188, 210호, 211호-에이66호</t>
  </si>
  <si>
    <t>고객센터</t>
  </si>
  <si>
    <t>031-296-7845</t>
  </si>
  <si>
    <t>⚠ 주요 확인사항 (서명 전 필독)</t>
  </si>
  <si>
    <t>운행자성</t>
  </si>
  <si>
    <t>사고 즉시 고지 의무</t>
  </si>
  <si>
    <t>보험연령 미달자 운전</t>
  </si>
  <si>
    <t>12대 중과실·면책사고</t>
  </si>
  <si>
    <t>구상금</t>
  </si>
  <si>
    <t>미변제 시 즉시 처리</t>
  </si>
  <si>
    <t>1. 계약 취소·중도 해지 시 계약자는 이륜차 및 배달통·슬라이더 등 무상 지원 비품을 회사가 지정한 장소로 반납하여야 하며, 보증금은 반환되지 아니하고 위약금과는 별도로 회수비용(출장비·운송비·원상복구비)은 계약자가 부담합니다.</t>
  </si>
  <si>
    <t>2. 보증금 지급 유예 기간 내 미지급으로 계약이 사전 통지·최고 없이 해지되는 경우, 계약자는 차량 반환과 동시에 (1) 인도일부터 반환일까지의 일할 사용료, (2) 감가손실액, (3) 등록비·번호판·보험료 등 회사가 이미 지출한 부대비용을 배상합니다.</t>
  </si>
  <si>
    <t>3. 현금영수증은 회사 명의로 발행되며, 계약자의 주민등록번호를 기준으로 현금영수증을 발급합니다.</t>
  </si>
  <si>
    <t>■ 개인(신용)정보 수집·이용, 금융거래정보 제공, 업무위탁 동의</t>
  </si>
  <si>
    <t>수집·이용 목적</t>
  </si>
  <si>
    <t>거래관계 설정·유지, 상품 제공, 법령상 의무 이행, 분쟁 처리, 차량 분실 방지, 사고 대응, 보험사고 처리, 운전자 확인 및 보험연령 검증, 채권 관리 등 계약 이행 전반</t>
  </si>
  <si>
    <t>수집 항목</t>
  </si>
  <si>
    <t>성명(실명)·주민등록번호·휴대전화번호·현주소·신분증 정보·거래카드·계좌 정보·차량 위치정보(FMS 수집 포함)</t>
  </si>
  <si>
    <t>보유·이용 기간</t>
  </si>
  <si>
    <t>수집·이용 목적 달성 후 파기. 단, 전자상거래법 등 관련 법령에 따라 계약·결제 기록 5년, 채권 관리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</si>
  <si>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</si>
  <si>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</si>
  <si>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</si>
  <si>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</si>
  <si>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</si>
  <si>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>협력사(공급·운송·출고 정보), 배달대행사(고객정보), 차량등록소(등록 사무), 효성에프엠에스(자동이체)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</si>
  <si>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</si>
  <si>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</si>
  <si>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</si>
  <si>
    <t>계약자</t>
  </si>
  <si>
    <t>(인)</t>
  </si>
  <si>
    <t>공급자</t>
  </si>
  <si>
    <t>포어스바이크 (유)</t>
  </si>
  <si>
    <t>■ 자동이체 신청 정보</t>
  </si>
  <si>
    <t>신용카드사명</t>
  </si>
  <si>
    <t>카드번호</t>
  </si>
  <si>
    <t>유효기간</t>
  </si>
  <si>
    <t>은행명</t>
  </si>
  <si>
    <t>계좌번호</t>
  </si>
  <si>
    <t>예금주명</t>
  </si>
  <si>
    <t>구상금 관련 특약 확인서</t>
  </si>
  <si>
    <t>본 별지는 이륜차 종합렌트 계약에 부속되며 본 계약서 본문과 동일한 효력을 가집니다.</t>
  </si>
  <si>
    <t>본인은 본 계약과 관련하여 발생할 수 있는 "구상금"의 책임 범위, 변제 기한, 미변제 시 회사의 조치 사항에 대하여 별도로 충분히 설명 듣고 이해하였으며, 아래 내용 전부에 동의합니다.</t>
  </si>
  <si>
    <t>제1조  구상금의 정의</t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</si>
  <si>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</si>
  <si>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</si>
  <si>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</si>
  <si>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</si>
  <si>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계약자에게 있으며, 보험사가 회사에 청구하는 구상금은 계약자가 전액 부담한다.</t>
  </si>
  <si>
    <t>②</t>
  </si>
  <si>
    <t>사고 미고지 위반</t>
  </si>
  <si>
    <t>사고 발생 시 즉시 회사에 고지하지 않거나 지연·허위 고지로 발생하는 미보장 손해와 회사에 청구되는 구상금 일체를 계약자가 부담한다.</t>
  </si>
  <si>
    <t>③</t>
  </si>
  <si>
    <t>보험연령 미달자가 본 차량을 운행하여 발생한 사고·손해·구상금은 회사의 신원·연령 확인 여부와 관계없이 계약자가 책임진다.</t>
  </si>
  <si>
    <t>④</t>
  </si>
  <si>
    <t>신호위반·중앙선침범 등 12대 중과실 또는 보험약관상 면책사항에 해당하는 사고로 발생한 구상금은 계약자가 전액 부담한다.</t>
  </si>
  <si>
    <t>⑤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</si>
  <si>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</si>
  <si>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</si>
  <si>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⑥</t>
  </si>
  <si>
    <t>보험 보장 한도 초과</t>
  </si>
  <si>
    <t>대물배상 한도 초과분·대인배상Ⅱ 한도 초과분 등 보험사 보장 한도를 초과하는 손해는 계약자가 전액 부담한다.</t>
  </si>
  <si>
    <t>⑦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</si>
  <si>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</si>
  <si>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</si>
  <si>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</si>
  <si>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</si>
  <si>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</si>
  <si>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않는 경우 본 계약은 사전 통지·최고 없이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</si>
  <si>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</si>
  <si>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</si>
  <si>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</si>
  <si>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계약자의 귀책으로 본 계약이 해지되는 경우 보증금은 반환되지 아니한다.</t>
  </si>
  <si>
    <t>위약금·손해배상금 청구</t>
  </si>
  <si>
    <t>위약금은 [잔여기간 총 렌트료 × 20%]로 산정하며, 기납부 보증금은 이와 별도로 계약 위반에 대한 위약벌로서 회사에 귀속되어 반환하지 않는다. 손해배상금은 별도 청구한다.</t>
  </si>
  <si>
    <t>연 15% 지연손해금</t>
  </si>
  <si>
    <t>미변제 금액에 대하여 연 15%의 지연손해금을 변제일까지 가산한다.</t>
  </si>
  <si>
    <t>신용정보 등록·채권추심</t>
  </si>
  <si>
    <t>계약자에게 통지한 후 관련 법령이 정하는 절차에 따라 신용정보회사·신용정보집중기관에 채무불이행 사실을 등록하거나 채권추심 전문기관에 추심을 위임할 수 있다.</t>
  </si>
  <si>
    <t>민·형사상 법적 조치</t>
  </si>
  <si>
    <t>계약자에 대하여 민·형사상 모든 법적 조치를 취할 수 있다.</t>
  </si>
  <si>
    <t>본인은 위 특약 내용(제1조 ~ 제4조) 전부를 충분히 설명 듣고 이해하였으며, 본 특약에 동의함을 확인합니다.</t>
  </si>
  <si>
    <t>보험상품 단가표 (처리 지체 위약금 산정 기준)</t>
  </si>
  <si>
    <t>본 단가표는 회사 보험상품 365일 기준 1일 단가(VAT 포함)이며, 처리 지체 위약금 산정 시 본 표의 단가를 적용한다.</t>
  </si>
  <si>
    <t>배기량</t>
  </si>
  <si>
    <t>보험유형</t>
  </si>
  <si>
    <t>35세</t>
  </si>
  <si>
    <t>30세</t>
  </si>
  <si>
    <t>26세</t>
  </si>
  <si>
    <t>24세</t>
  </si>
  <si>
    <t>21세</t>
  </si>
  <si>
    <t>소형</t>
  </si>
  <si>
    <t>종합</t>
  </si>
  <si>
    <t>4,900</t>
  </si>
  <si>
    <t>6,000</t>
  </si>
  <si>
    <t>6,900</t>
  </si>
  <si>
    <t>8,100</t>
  </si>
  <si>
    <t>10,100</t>
  </si>
  <si>
    <t>중형</t>
  </si>
  <si>
    <t>8,900</t>
  </si>
  <si>
    <t>11,000</t>
  </si>
  <si>
    <t>12,800</t>
  </si>
  <si>
    <t>14,900</t>
  </si>
  <si>
    <t>18,500</t>
  </si>
  <si>
    <t>대형</t>
  </si>
  <si>
    <t>10,200</t>
  </si>
  <si>
    <t>12,700</t>
  </si>
  <si>
    <t>17,500</t>
  </si>
  <si>
    <t>21,600</t>
  </si>
  <si>
    <t>※ 처리 지체 위약금 산정 시 본 표에서 해당 계약의 「차량 배기량」과 「보험연령」에 매칭되는 1일 단가를 적용한다.</t>
  </si>
  <si>
    <t>【예시】 대형 차량 + 35세 라이더 → 10,200원 × 지체일수 / 중형 차량 + 26세 라이더 → 12,800원 × 지체일수</t>
  </si>
  <si>
    <t>※ 회사 보험상품 단가 변경 시 본 별지는 회사의 단가 정책에 따라 갱신되며, 갱신 후의 단가가 적용된다.</t>
  </si>
  <si>
    <t>※ 위약금 외에 회사가 실제 부담한 의무보험 미가입 과태료·사용폐지/이전등록 신고지연 과태료·자동차세 등 제세공과금은 본 약관 제7조 ③항 각 호 외의 부분에 따라 별도 합산 청구된다.</t>
  </si>
  <si>
    <t>① "이륜차 렌트 계약"이란, 회사가 계약자의 요청에 따라 이륜차를 취득하여 일정 기간 사용하게 하고</t>
    <phoneticPr fontId="51" type="noConversion"/>
  </si>
  <si>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정기적으로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지급받는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</si>
  <si>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t>② "이륜차"란, 회사가 본 계약서에 특정한 이륜차로서 인도 시 부착된 부속품·장착물을 포함한다.</t>
    <phoneticPr fontId="51" type="noConversion"/>
  </si>
  <si>
    <t>③ "계약기간"이란, 계약자가 본 계약에 따라 이륜차를 인도받아 사용하는 기간을 말한다.</t>
    <phoneticPr fontId="51" type="noConversion"/>
  </si>
  <si>
    <t>④ "보증금"이란, 렌트료 등 본 계약상 채무이행을 담보하기 위해 계약자가 회사에 납부하는 금원을 말하</t>
    <phoneticPr fontId="51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</si>
  <si>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51" type="noConversion"/>
  </si>
  <si>
    <t>⑤ "계약자"는 본 계약 1면에 "계약자"로 기재된 라이더 본인을 말하며, 본 계약상 주채무자이자 본 계약</t>
    <phoneticPr fontId="51" type="noConversion"/>
  </si>
  <si>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자이다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</si>
  <si>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계약이관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</si>
  <si>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최저연령을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51" type="noConversion"/>
  </si>
  <si>
    <r>
      <t>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</si>
  <si>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⑧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</si>
  <si>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⑨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phoneticPr fontId="51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</si>
  <si>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</si>
  <si>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⑩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이란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말한다</t>
    </r>
    <r>
      <rPr>
        <sz val="8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</si>
  <si>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책임보험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자동차손해배상보장법에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의무보험으로서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대인배상Ⅰ과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대물배상을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보장하는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</t>
    </r>
    <phoneticPr fontId="51" type="noConversion"/>
  </si>
  <si>
    <r>
      <rPr>
        <sz val="8"/>
        <color rgb="FF2B2B2B"/>
        <rFont val="Segoe UI Symbol"/>
        <family val="1"/>
      </rPr>
      <t>⑫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종합보험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책임보험에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대인배상Ⅱ를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</si>
  <si>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⑬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미수선처리</t>
    </r>
    <r>
      <rPr>
        <sz val="8"/>
        <rFont val="Arial"/>
        <family val="2"/>
      </rPr>
      <t>"</t>
    </r>
    <r>
      <rPr>
        <sz val="8"/>
        <rFont val="맑은 고딕"/>
        <family val="3"/>
        <charset val="129"/>
      </rPr>
      <t>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사고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금액을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현</t>
    </r>
    <phoneticPr fontId="51" type="noConversion"/>
  </si>
  <si>
    <r>
      <rPr>
        <sz val="8"/>
        <color rgb="FF2B2B2B"/>
        <rFont val="맑은 고딕"/>
        <family val="3"/>
        <charset val="129"/>
      </rPr>
      <t>금으로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지급받는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</si>
  <si>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</t>
    </r>
    <phoneticPr fontId="51" type="noConversion"/>
  </si>
  <si>
    <r>
      <rPr>
        <sz val="8"/>
        <color rgb="FF2B2B2B"/>
        <rFont val="맑은 고딕"/>
        <family val="3"/>
        <charset val="129"/>
      </rPr>
      <t>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시스템을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</si>
  <si>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서류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제출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이륜차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인도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</si>
  <si>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제출된</t>
    </r>
    <phoneticPr fontId="51" type="noConversion"/>
  </si>
  <si>
    <r>
      <rPr>
        <sz val="8"/>
        <rFont val="맑은 고딕"/>
        <family val="3"/>
        <charset val="129"/>
      </rPr>
      <t>서류는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어떠한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경우에도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</si>
  <si>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인도이후에는</t>
    </r>
    <phoneticPr fontId="51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</si>
  <si>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</si>
  <si>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4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소유권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유보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이전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</si>
  <si>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</si>
  <si>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</t>
    </r>
    <phoneticPr fontId="51" type="noConversion"/>
  </si>
  <si>
    <r>
      <rPr>
        <sz val="8"/>
        <color rgb="FF2B2B2B"/>
        <rFont val="맑은 고딕"/>
        <family val="3"/>
        <charset val="129"/>
      </rPr>
      <t>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</si>
  <si>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</si>
  <si>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phoneticPr fontId="51" type="noConversion"/>
  </si>
  <si>
    <r>
      <rPr>
        <sz val="8"/>
        <color rgb="FF2B2B2B"/>
        <rFont val="맑은 고딕"/>
        <family val="3"/>
        <charset val="129"/>
      </rPr>
      <t>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</si>
  <si>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사전동의를</t>
    </r>
    <phoneticPr fontId="51" type="noConversion"/>
  </si>
  <si>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</si>
  <si>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전항의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유예기간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미지급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최고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phoneticPr fontId="51" type="noConversion"/>
  </si>
  <si>
    <r>
      <rPr>
        <sz val="8"/>
        <rFont val="맑은 고딕"/>
        <family val="3"/>
        <charset val="129"/>
      </rPr>
      <t>반환함과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(1) </t>
    </r>
    <r>
      <rPr>
        <sz val="8"/>
        <rFont val="맑은 고딕"/>
        <family val="3"/>
        <charset val="129"/>
      </rPr>
      <t>인도일부터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사용료</t>
    </r>
    <r>
      <rPr>
        <sz val="8"/>
        <rFont val="Arial"/>
        <family val="2"/>
      </rPr>
      <t xml:space="preserve">, (2) </t>
    </r>
    <r>
      <rPr>
        <sz val="8"/>
        <rFont val="맑은 고딕"/>
        <family val="3"/>
        <charset val="129"/>
      </rPr>
      <t>감가손실액</t>
    </r>
    <r>
      <rPr>
        <sz val="8"/>
        <rFont val="Arial"/>
        <family val="2"/>
      </rPr>
      <t xml:space="preserve">, (3)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등록비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번호판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보험료</t>
    </r>
    <r>
      <rPr>
        <sz val="8"/>
        <rFont val="Arial"/>
        <family val="2"/>
      </rPr>
      <t xml:space="preserve"> 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</si>
  <si>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채무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완료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다만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구상금</t>
    </r>
    <phoneticPr fontId="51" type="noConversion"/>
  </si>
  <si>
    <r>
      <rPr>
        <sz val="8"/>
        <rFont val="맑은 고딕"/>
        <family val="3"/>
        <charset val="129"/>
      </rPr>
      <t>등이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확인될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만료일로부터</t>
    </r>
    <r>
      <rPr>
        <sz val="8"/>
        <rFont val="Arial"/>
        <family val="2"/>
      </rPr>
      <t xml:space="preserve"> 1</t>
    </r>
    <r>
      <rPr>
        <sz val="8"/>
        <rFont val="맑은 고딕"/>
        <family val="3"/>
        <charset val="129"/>
      </rPr>
      <t>개월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</si>
  <si>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범칙금은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공제하고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잔액을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초과분은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추가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</si>
  <si>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</si>
  <si>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공휴일과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무관하게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정해진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납부기한에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계좌로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납부해야</t>
    </r>
    <phoneticPr fontId="51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</si>
  <si>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</si>
  <si>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51" type="noConversion"/>
  </si>
  <si>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</si>
  <si>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</t>
    </r>
    <phoneticPr fontId="51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</si>
  <si>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가맹중인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제휴계약이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배달플랫폼사의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</si>
  <si>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</si>
  <si>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종합보험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대인배상Ⅰ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대인배상Ⅱ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대물배상</t>
    </r>
    <r>
      <rPr>
        <sz val="8"/>
        <color rgb="FF2B2B2B"/>
        <rFont val="Arial"/>
        <family val="2"/>
      </rPr>
      <t>)</t>
    </r>
    <phoneticPr fontId="51" type="noConversion"/>
  </si>
  <si>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가입한다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다만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자기신체사고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자기차량손해는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가입하지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대신하여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보험료를</t>
    </r>
    <phoneticPr fontId="51" type="noConversion"/>
  </si>
  <si>
    <r>
      <rPr>
        <sz val="8"/>
        <color rgb="FF2B2B2B"/>
        <rFont val="맑은 고딕"/>
        <family val="3"/>
        <charset val="129"/>
      </rPr>
      <t>납부하며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보험증권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</si>
  <si>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</si>
  <si>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</t>
    </r>
    <phoneticPr fontId="51" type="noConversion"/>
  </si>
  <si>
    <r>
      <rPr>
        <sz val="8"/>
        <color rgb="FF2B2B2B"/>
        <rFont val="맑은 고딕"/>
        <family val="3"/>
        <charset val="129"/>
      </rPr>
      <t>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</si>
  <si>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</t>
    </r>
    <phoneticPr fontId="51" type="noConversion"/>
  </si>
  <si>
    <r>
      <rPr>
        <sz val="8"/>
        <color rgb="FF2B2B2B"/>
        <rFont val="맑은 고딕"/>
        <family val="3"/>
        <charset val="129"/>
      </rPr>
      <t>속고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</si>
  <si>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</t>
    </r>
    <phoneticPr fontId="51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</si>
  <si>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자기를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위하여</t>
    </r>
    <phoneticPr fontId="51" type="noConversion"/>
  </si>
  <si>
    <r>
      <rPr>
        <sz val="8"/>
        <rFont val="맑은 고딕"/>
        <family val="3"/>
        <charset val="129"/>
      </rPr>
      <t>자동차를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</t>
    </r>
    <r>
      <rPr>
        <sz val="8"/>
        <rFont val="Arial"/>
        <family val="2"/>
      </rPr>
      <t>"(</t>
    </r>
    <r>
      <rPr>
        <sz val="8"/>
        <rFont val="맑은 고딕"/>
        <family val="3"/>
        <charset val="129"/>
      </rPr>
      <t>이하</t>
    </r>
    <r>
      <rPr>
        <sz val="8"/>
        <rFont val="Arial"/>
        <family val="2"/>
      </rPr>
      <t xml:space="preserve"> "</t>
    </r>
    <r>
      <rPr>
        <sz val="8"/>
        <rFont val="맑은 고딕"/>
        <family val="3"/>
        <charset val="129"/>
      </rPr>
      <t>운행자</t>
    </r>
    <r>
      <rPr>
        <sz val="8"/>
        <rFont val="Arial"/>
        <family val="2"/>
      </rPr>
      <t>")</t>
    </r>
    <r>
      <rPr>
        <sz val="8"/>
        <rFont val="맑은 고딕"/>
        <family val="3"/>
        <charset val="129"/>
      </rPr>
      <t>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해당하지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운행지배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</t>
    </r>
    <phoneticPr fontId="51" type="noConversion"/>
  </si>
  <si>
    <r>
      <rPr>
        <sz val="8"/>
        <rFont val="맑은 고딕"/>
        <family val="3"/>
        <charset val="129"/>
      </rPr>
      <t>행이익을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갖지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</si>
  <si>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</t>
    </r>
    <phoneticPr fontId="51" type="noConversion"/>
  </si>
  <si>
    <r>
      <rPr>
        <sz val="8"/>
        <color theme="1"/>
        <rFont val="맑은 고딕"/>
        <family val="3"/>
        <charset val="129"/>
      </rPr>
      <t>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경우에도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운행자성은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여전히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</t>
    </r>
    <phoneticPr fontId="51" type="noConversion"/>
  </si>
  <si>
    <r>
      <rPr>
        <sz val="8"/>
        <color theme="1"/>
        <rFont val="맑은 고딕"/>
        <family val="3"/>
        <charset val="129"/>
      </rPr>
      <t>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</si>
  <si>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면책시켜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</si>
  <si>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10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발생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고지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의무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</si>
  <si>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인지할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따라서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조의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phoneticPr fontId="51" type="noConversion"/>
  </si>
  <si>
    <r>
      <rPr>
        <sz val="8"/>
        <color theme="1"/>
        <rFont val="맑은 고딕"/>
        <family val="3"/>
        <charset val="129"/>
      </rPr>
      <t>의무는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핵심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해당한다</t>
    </r>
    <r>
      <rPr>
        <sz val="8"/>
        <color theme="1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</si>
  <si>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 xml:space="preserve">: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단독사고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파손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도</t>
    </r>
    <phoneticPr fontId="51" type="noConversion"/>
  </si>
  <si>
    <r>
      <rPr>
        <sz val="8"/>
        <color theme="1"/>
        <rFont val="맑은 고딕"/>
        <family val="3"/>
        <charset val="129"/>
      </rPr>
      <t>난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멸실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분실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접수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필요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무면허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약물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범죄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목적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인지</t>
    </r>
    <r>
      <rPr>
        <sz val="8"/>
        <color theme="1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</si>
  <si>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일시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장소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경위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운전자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여부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상대방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피해자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접수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번호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경찰</t>
    </r>
    <phoneticPr fontId="51" type="noConversion"/>
  </si>
  <si>
    <r>
      <rPr>
        <sz val="8"/>
        <color theme="1"/>
        <rFont val="맑은 고딕"/>
        <family val="3"/>
        <charset val="129"/>
      </rPr>
      <t>신고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여부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상태가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포함되어야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</si>
  <si>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위반하는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3"/>
        <charset val="129"/>
      </rPr>
      <t>미고지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지연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허위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포함</t>
    </r>
    <r>
      <rPr>
        <sz val="8"/>
        <color theme="1"/>
        <rFont val="Arial"/>
        <family val="2"/>
      </rPr>
      <t xml:space="preserve">)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: (1) </t>
    </r>
    <r>
      <rPr>
        <sz val="8"/>
        <color theme="1"/>
        <rFont val="맑은 고딕"/>
        <family val="3"/>
        <charset val="129"/>
      </rPr>
      <t>보험</t>
    </r>
    <phoneticPr fontId="51" type="noConversion"/>
  </si>
  <si>
    <t xml:space="preserve">사 면책으로 인한 미보장 손해 일체, (2) 회사에 추가 발생한 구상금·과태료·소송비용·변호사비, (3) 회사가 </t>
    <phoneticPr fontId="51" type="noConversion"/>
  </si>
  <si>
    <r>
      <rPr>
        <sz val="8"/>
        <color theme="1"/>
        <rFont val="맑은 고딕"/>
        <family val="3"/>
        <charset val="129"/>
      </rPr>
      <t>사고를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알지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못한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상태에서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처분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갱신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보험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정산을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진행함으로써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</t>
    </r>
    <r>
      <rPr>
        <sz val="8"/>
        <color theme="1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</si>
  <si>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별도로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회수할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보증금은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</t>
    </r>
    <r>
      <rPr>
        <sz val="8"/>
        <color theme="1"/>
        <rFont val="DejaVu Sans"/>
        <family val="1"/>
      </rPr>
      <t>하지 않으</t>
    </r>
    <phoneticPr fontId="51" type="noConversion"/>
  </si>
  <si>
    <r>
      <rPr>
        <sz val="8"/>
        <rFont val="맑은 고딕"/>
        <family val="3"/>
        <charset val="129"/>
      </rPr>
      <t>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위약금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손해배상금은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별도로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</si>
  <si>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직접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운행함을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원칙으로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3</t>
    </r>
    <r>
      <rPr>
        <sz val="8"/>
        <rFont val="맑은 고딕"/>
        <family val="3"/>
        <charset val="129"/>
      </rPr>
      <t>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담보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제공하는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행위는</t>
    </r>
    <phoneticPr fontId="51" type="noConversion"/>
  </si>
  <si>
    <r>
      <rPr>
        <sz val="8"/>
        <rFont val="맑은 고딕"/>
        <family val="3"/>
        <charset val="129"/>
      </rPr>
      <t>금지된다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</si>
  <si>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외의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해당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면허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보유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보험연령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충족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음주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약물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미복용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</t>
    </r>
    <phoneticPr fontId="51" type="noConversion"/>
  </si>
  <si>
    <r>
      <rPr>
        <sz val="8"/>
        <rFont val="맑은 고딕"/>
        <family val="3"/>
        <charset val="129"/>
      </rPr>
      <t>자격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확인할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</si>
  <si>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외의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운행하여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발생한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사고는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보장이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거절될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이로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</t>
    </r>
    <phoneticPr fontId="51" type="noConversion"/>
  </si>
  <si>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모든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구상금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과태료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전적으로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</si>
  <si>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운전자의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신원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자격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연령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면허를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사전에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확인할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의무를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</si>
  <si>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</si>
  <si>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</si>
  <si>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</si>
  <si>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phoneticPr fontId="51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</si>
  <si>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</si>
  <si>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승계받을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phoneticPr fontId="51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</si>
  <si>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</si>
  <si>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미수선처리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금지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</si>
  <si>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수리센터로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보험계약상의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phoneticPr fontId="51" type="noConversion"/>
  </si>
  <si>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</si>
  <si>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미수선처리는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</si>
  <si>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감가하락의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격락손해금을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미납이</t>
    </r>
    <phoneticPr fontId="51" type="noConversion"/>
  </si>
  <si>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</si>
  <si>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면책하거나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사고로서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일체는</t>
    </r>
    <phoneticPr fontId="51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</si>
  <si>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</t>
    </r>
    <phoneticPr fontId="51" type="noConversion"/>
  </si>
  <si>
    <t xml:space="preserve">③ 7일 이내 미변제 시 본 계약은 사전 통지·최고 없이 해지될 수 있으며 회사는 계약된 모든 차량을 즉시 </t>
    <phoneticPr fontId="51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</si>
  <si>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면책시키지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못하여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손해배상을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금액과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</si>
  <si>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phoneticPr fontId="51" type="noConversion"/>
  </si>
  <si>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</si>
  <si>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장착하거나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</si>
  <si>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한도에서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</si>
  <si>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자격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충족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면허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음주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약물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미복용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갖추어야</t>
    </r>
    <phoneticPr fontId="51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</si>
  <si>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위반으로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</si>
  <si>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phoneticPr fontId="51" type="noConversion"/>
  </si>
  <si>
    <r>
      <rPr>
        <sz val="8"/>
        <color rgb="FF2B2B2B"/>
        <rFont val="맑은 고딕"/>
        <family val="3"/>
        <charset val="129"/>
      </rPr>
      <t>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입증하고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</si>
  <si>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통보하고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5</t>
    </r>
    <phoneticPr fontId="51" type="noConversion"/>
  </si>
  <si>
    <t>일 이내에 이행하여야 한다. (1) 원상복구 수리, (2) 동일 차종·색상·연식 등 구성이 동일한 차량으로 교체</t>
    <phoneticPr fontId="51" type="noConversion"/>
  </si>
  <si>
    <t>(교체차량은 회사 소유로 본 계약상 이륜차로 간주), (3) 인수형 계약의 경우 잔여 렌트료 100%를 5일 내</t>
    <phoneticPr fontId="51" type="noConversion"/>
  </si>
  <si>
    <t>지급하여 계약 종료. 차량 대체 시 발생하는 실비(취득세·인지세·번호판 발급비 등)는 변경 건별로 즉시 납</t>
    <phoneticPr fontId="51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</si>
  <si>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등록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등록말소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</t>
    </r>
    <phoneticPr fontId="51" type="noConversion"/>
  </si>
  <si>
    <r>
      <t>(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벌과금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</si>
  <si>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</t>
    </r>
    <phoneticPr fontId="51" type="noConversion"/>
  </si>
  <si>
    <r>
      <rPr>
        <sz val="8"/>
        <color rgb="FF2B2B2B"/>
        <rFont val="맑은 고딕"/>
        <family val="3"/>
        <charset val="129"/>
      </rPr>
      <t>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</si>
  <si>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</t>
    </r>
    <phoneticPr fontId="51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</si>
  <si>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phoneticPr fontId="51" type="noConversion"/>
  </si>
  <si>
    <r>
      <rPr>
        <sz val="8"/>
        <color rgb="FF2B2B2B"/>
        <rFont val="맑은 고딕"/>
        <family val="3"/>
        <charset val="129"/>
      </rPr>
      <t>책임진다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</si>
  <si>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위치정보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변경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제거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훼손할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채무불이행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회수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절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</si>
  <si>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17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금지행위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</si>
  <si>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</t>
    </r>
    <phoneticPr fontId="51" type="noConversion"/>
  </si>
  <si>
    <r>
      <rPr>
        <sz val="8"/>
        <color rgb="FF2B2B2B"/>
        <rFont val="맑은 고딕"/>
        <family val="3"/>
        <charset val="129"/>
      </rPr>
      <t>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운전자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기</t>
    </r>
    <phoneticPr fontId="51" type="noConversion"/>
  </si>
  <si>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>.</t>
    </r>
    <phoneticPr fontId="51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</si>
  <si>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18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3</t>
    </r>
    <r>
      <rPr>
        <b/>
        <sz val="9"/>
        <color rgb="FF1F4E89"/>
        <rFont val="맑은 고딕"/>
        <family val="3"/>
        <charset val="129"/>
      </rPr>
      <t>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대한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</t>
    </r>
    <r>
      <rPr>
        <b/>
        <sz val="9"/>
        <color rgb="FF1F4E89"/>
        <rFont val="Arial"/>
        <family val="2"/>
      </rPr>
      <t>)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</si>
  <si>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</t>
    </r>
    <phoneticPr fontId="51" type="noConversion"/>
  </si>
  <si>
    <r>
      <rPr>
        <sz val="8"/>
        <color rgb="FF2B2B2B"/>
        <rFont val="맑은 고딕"/>
        <family val="3"/>
        <charset val="129"/>
      </rPr>
      <t>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</si>
  <si>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</si>
  <si>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</si>
  <si>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</si>
  <si>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</si>
  <si>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7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20</t>
    </r>
    <r>
      <rPr>
        <sz val="8"/>
        <color rgb="FF2B2B2B"/>
        <rFont val="맑은 고딕"/>
        <family val="3"/>
        <charset val="129"/>
      </rPr>
      <t>조에서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51" type="noConversion"/>
  </si>
  <si>
    <r>
      <rPr>
        <sz val="8"/>
        <color rgb="FF2B2B2B"/>
        <rFont val="맑은 고딕"/>
        <family val="3"/>
        <charset val="129"/>
      </rPr>
      <t>지급하여야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</si>
  <si>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관련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</si>
  <si>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phoneticPr fontId="51" type="noConversion"/>
  </si>
  <si>
    <r>
      <rPr>
        <sz val="8"/>
        <color rgb="FF2B2B2B"/>
        <rFont val="맑은 고딕"/>
        <family val="3"/>
        <charset val="129"/>
      </rPr>
      <t>협조하여야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</si>
  <si>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동안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입는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손해에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배상액으로</t>
    </r>
    <r>
      <rPr>
        <sz val="8"/>
        <rFont val="Arial"/>
        <family val="2"/>
      </rPr>
      <t xml:space="preserve"> [</t>
    </r>
    <r>
      <rPr>
        <sz val="8"/>
        <rFont val="맑은 고딕"/>
        <family val="3"/>
        <charset val="129"/>
      </rPr>
      <t>잔여기간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렌트료</t>
    </r>
    <r>
      <rPr>
        <sz val="8"/>
        <rFont val="Arial"/>
        <family val="2"/>
      </rPr>
      <t xml:space="preserve"> × 20%]</t>
    </r>
    <r>
      <rPr>
        <sz val="8"/>
        <rFont val="맑은 고딕"/>
        <family val="3"/>
        <charset val="129"/>
      </rPr>
      <t>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정한다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</si>
  <si>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51" type="noConversion"/>
  </si>
  <si>
    <t>③ 반환된 이륜차·부착물·키 부속품 일체에 파손이 있는 경우 계약자는 원상복구 수리비를 회사 청구일로</t>
    <phoneticPr fontId="51" type="noConversion"/>
  </si>
  <si>
    <t xml:space="preserve">② 기납부 보증금은 위약금과 별도로 계약 위반에 대한 위약벌로서 회사에 귀속되며, 계약자 귀책으로 본 </t>
    <phoneticPr fontId="51" type="noConversion"/>
  </si>
  <si>
    <t>계약이 해지되는 경우 반환하지 않는다. 위약금·손해배상금은 별도로 청구한다.</t>
    <phoneticPr fontId="51" type="noConversion"/>
  </si>
  <si>
    <r>
      <rPr>
        <sz val="8"/>
        <rFont val="Segoe UI Symbol"/>
        <family val="1"/>
      </rPr>
      <t>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즉시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지정한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장소로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</si>
  <si>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지연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거부하는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임의로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있으며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회사의</t>
    </r>
    <r>
      <rPr>
        <sz val="8"/>
        <rFont val="DejaVu Sans"/>
        <family val="1"/>
      </rPr>
      <t xml:space="preserve"> 적법</t>
    </r>
    <phoneticPr fontId="51" type="noConversion"/>
  </si>
  <si>
    <r>
      <rPr>
        <sz val="8"/>
        <rFont val="맑은 고딕"/>
        <family val="3"/>
        <charset val="129"/>
      </rPr>
      <t>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제기할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없다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비용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일체는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</si>
  <si>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해지일부터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최종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7</t>
    </r>
    <r>
      <rPr>
        <sz val="8"/>
        <rFont val="맑은 고딕"/>
        <family val="3"/>
        <charset val="129"/>
      </rPr>
      <t>조에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따른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위약금을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지급한다</t>
    </r>
    <r>
      <rPr>
        <sz val="8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</si>
  <si>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사고에</t>
    </r>
    <phoneticPr fontId="51" type="noConversion"/>
  </si>
  <si>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민사상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책임을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지지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</si>
  <si>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인수형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</t>
    </r>
    <r>
      <rPr>
        <sz val="8"/>
        <rFont val="Arial"/>
        <family val="2"/>
      </rPr>
      <t xml:space="preserve">: (1) </t>
    </r>
    <r>
      <rPr>
        <sz val="8"/>
        <rFont val="맑은 고딕"/>
        <family val="3"/>
        <charset val="129"/>
      </rPr>
      <t>명의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보험가입증명서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신분증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제출</t>
    </r>
    <r>
      <rPr>
        <sz val="8"/>
        <rFont val="Arial"/>
        <family val="2"/>
      </rPr>
      <t xml:space="preserve">, (2) </t>
    </r>
    <r>
      <rPr>
        <sz val="8"/>
        <rFont val="맑은 고딕"/>
        <family val="3"/>
        <charset val="129"/>
      </rPr>
      <t>사용폐지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익일에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번호판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등기</t>
    </r>
    <phoneticPr fontId="51" type="noConversion"/>
  </si>
  <si>
    <r>
      <rPr>
        <sz val="8"/>
        <rFont val="맑은 고딕"/>
        <family val="3"/>
        <charset val="129"/>
      </rPr>
      <t>발송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중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선택한다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</si>
  <si>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③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인수형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명의이전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취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등록세는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부담하며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신고는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대행한다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</si>
  <si>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④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인수형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미납금이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있는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완납되어야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인수가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가능하다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만료일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이후</t>
    </r>
    <r>
      <rPr>
        <sz val="8"/>
        <rFont val="Arial"/>
        <family val="2"/>
      </rPr>
      <t xml:space="preserve"> D+3</t>
    </r>
    <r>
      <rPr>
        <sz val="8"/>
        <rFont val="맑은 고딕"/>
        <family val="3"/>
        <charset val="129"/>
      </rPr>
      <t>일</t>
    </r>
    <phoneticPr fontId="51" type="noConversion"/>
  </si>
  <si>
    <r>
      <rPr>
        <sz val="8"/>
        <rFont val="맑은 고딕"/>
        <family val="3"/>
        <charset val="129"/>
      </rPr>
      <t>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회수가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진행되고</t>
    </r>
    <r>
      <rPr>
        <sz val="8"/>
        <rFont val="Arial"/>
        <family val="2"/>
      </rPr>
      <t>, D+15</t>
    </r>
    <r>
      <rPr>
        <sz val="8"/>
        <rFont val="맑은 고딕"/>
        <family val="3"/>
        <charset val="129"/>
      </rPr>
      <t>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미완납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기한이익을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상실하며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차량을</t>
    </r>
    <phoneticPr fontId="51" type="noConversion"/>
  </si>
  <si>
    <r>
      <rPr>
        <sz val="8"/>
        <rFont val="맑은 고딕"/>
        <family val="3"/>
        <charset val="129"/>
      </rPr>
      <t>처분하여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미납금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연체이자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회수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및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처분비용에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충당하며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충당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부족분은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청구한다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</si>
  <si>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⑤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반납형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익일에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이륜차를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반환한다</t>
    </r>
    <r>
      <rPr>
        <sz val="8"/>
        <rFont val="Arial"/>
        <family val="2"/>
      </rPr>
      <t xml:space="preserve">. </t>
    </r>
    <r>
      <rPr>
        <sz val="8"/>
        <rFont val="맑은 고딕"/>
        <family val="3"/>
        <charset val="129"/>
      </rPr>
      <t>회사는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수리비를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보증금에서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잔액을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</t>
    </r>
    <phoneticPr fontId="51" type="noConversion"/>
  </si>
  <si>
    <r>
      <rPr>
        <sz val="8"/>
        <rFont val="맑은 고딕"/>
        <family val="3"/>
        <charset val="129"/>
      </rPr>
      <t>지급하며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수리비가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보증금을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초과하는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차액을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납부한다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</si>
  <si>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⑥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명의이전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폐지</t>
    </r>
    <r>
      <rPr>
        <sz val="8"/>
        <rFont val="Arial"/>
        <family val="2"/>
      </rPr>
      <t>·</t>
    </r>
    <r>
      <rPr>
        <sz val="8"/>
        <rFont val="맑은 고딕"/>
        <family val="3"/>
        <charset val="129"/>
      </rPr>
      <t>반납에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필요한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서류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전달은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만료일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익일까지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완료되어야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하며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지체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</t>
    </r>
    <r>
      <rPr>
        <sz val="8"/>
        <rFont val="Arial"/>
        <family val="2"/>
      </rPr>
      <t>7</t>
    </r>
    <r>
      <rPr>
        <sz val="8"/>
        <rFont val="맑은 고딕"/>
        <family val="3"/>
        <charset val="129"/>
      </rPr>
      <t>조에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</si>
  <si>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phoneticPr fontId="51" type="noConversion"/>
  </si>
  <si>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</si>
  <si>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</si>
  <si>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주민등록번호를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</si>
  <si>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</si>
  <si>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phoneticPr fontId="51" type="noConversion"/>
  </si>
  <si>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</si>
  <si>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다른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타인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)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원하는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</si>
  <si>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인수받았거나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</si>
  <si>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</si>
  <si>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51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</si>
  <si>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</t>
    </r>
    <phoneticPr fontId="51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</si>
  <si>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일회성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</si>
  <si>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51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</si>
  <si>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서면으로</t>
    </r>
    <phoneticPr fontId="51" type="noConversion"/>
  </si>
  <si>
    <r>
      <rPr>
        <sz val="8"/>
        <rFont val="맑은 고딕"/>
        <family val="3"/>
        <charset val="129"/>
      </rPr>
      <t>작성하여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예정일로부터</t>
    </r>
    <r>
      <rPr>
        <sz val="8"/>
        <rFont val="Arial"/>
        <family val="2"/>
      </rPr>
      <t xml:space="preserve"> 14</t>
    </r>
    <r>
      <rPr>
        <sz val="8"/>
        <rFont val="맑은 고딕"/>
        <family val="3"/>
        <charset val="129"/>
      </rPr>
      <t>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이전까지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계약자에게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통지한다</t>
    </r>
    <r>
      <rPr>
        <sz val="8"/>
        <rFont val="Arial"/>
        <family val="2"/>
      </rPr>
      <t>.</t>
    </r>
    <phoneticPr fontId="51" type="noConversion"/>
  </si>
  <si>
    <r>
      <rPr>
        <sz val="8"/>
        <rFont val="Segoe UI Symbol"/>
        <family val="1"/>
      </rPr>
      <t>②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계약자가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적용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예정일까지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이의를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제기하지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않는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경우</t>
    </r>
    <r>
      <rPr>
        <sz val="8"/>
        <rFont val="Arial"/>
        <family val="2"/>
      </rPr>
      <t xml:space="preserve">, </t>
    </r>
    <r>
      <rPr>
        <sz val="8"/>
        <rFont val="맑은 고딕"/>
        <family val="3"/>
        <charset val="129"/>
      </rPr>
      <t>변경된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약관을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승인한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것으로</t>
    </r>
    <r>
      <rPr>
        <sz val="8"/>
        <rFont val="Arial"/>
        <family val="2"/>
      </rPr>
      <t xml:space="preserve"> </t>
    </r>
    <r>
      <rPr>
        <sz val="8"/>
        <rFont val="맑은 고딕"/>
        <family val="3"/>
        <charset val="129"/>
      </rPr>
      <t>본다</t>
    </r>
    <r>
      <rPr>
        <sz val="8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</si>
  <si>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소유자이나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자동차손해배상보장법상</t>
    </r>
    <r>
      <rPr>
        <b/>
        <sz val="8"/>
        <color rgb="FFC00000"/>
        <rFont val="Arial"/>
        <family val="2"/>
      </rPr>
      <t xml:space="preserve"> "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>"</t>
    </r>
    <r>
      <rPr>
        <b/>
        <sz val="8"/>
        <color rgb="FFC00000"/>
        <rFont val="맑은 고딕"/>
        <family val="3"/>
        <charset val="129"/>
      </rPr>
      <t>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운행지배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운행이익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따라서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부담하며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이로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부담합니다</t>
    </r>
    <r>
      <rPr>
        <b/>
        <sz val="8"/>
        <color rgb="FFC00000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</si>
  <si>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아니므로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직접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인지할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없습니다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인적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물적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단독사고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파손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도난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멸실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</t>
    </r>
    <r>
      <rPr>
        <b/>
        <sz val="8"/>
        <color rgb="FFC00000"/>
        <rFont val="Arial"/>
        <family val="2"/>
      </rPr>
      <t xml:space="preserve">) </t>
    </r>
    <r>
      <rPr>
        <b/>
        <sz val="8"/>
        <color rgb="FFC00000"/>
        <rFont val="맑은 고딕"/>
        <family val="3"/>
        <charset val="129"/>
      </rPr>
      <t>발생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하며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보험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미보장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과태료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소송비용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변호사비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밖에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지연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고지로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인하여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입은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</si>
  <si>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이상의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운전자만이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운행해야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라이더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신원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확인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여부와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관계없이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전적으로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책임지며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보험사로부터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청구받는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</si>
  <si>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신호위반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중앙선침범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무면허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음주운전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보험약관상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면책사항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고의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약물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범죄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운행자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범위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도난중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해당하는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</si>
  <si>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약관상</t>
    </r>
    <r>
      <rPr>
        <b/>
        <sz val="8"/>
        <color rgb="FFC00000"/>
        <rFont val="Arial"/>
        <family val="2"/>
      </rPr>
      <t xml:space="preserve"> "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>"</t>
    </r>
    <r>
      <rPr>
        <b/>
        <sz val="8"/>
        <color rgb="FFC00000"/>
        <rFont val="맑은 고딕"/>
        <family val="3"/>
        <charset val="129"/>
      </rPr>
      <t>이란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차량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발생한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사고로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제</t>
    </r>
    <r>
      <rPr>
        <b/>
        <sz val="8"/>
        <color rgb="FFC00000"/>
        <rFont val="Arial"/>
        <family val="2"/>
      </rPr>
      <t>3</t>
    </r>
    <r>
      <rPr>
        <b/>
        <sz val="8"/>
        <color rgb="FFC00000"/>
        <rFont val="맑은 고딕"/>
        <family val="3"/>
        <charset val="129"/>
      </rPr>
      <t>자가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말합니다</t>
    </r>
    <r>
      <rPr>
        <b/>
        <sz val="8"/>
        <color rgb="FFC00000"/>
        <rFont val="Arial"/>
        <family val="2"/>
      </rPr>
      <t xml:space="preserve">. </t>
    </r>
    <r>
      <rPr>
        <b/>
        <sz val="8"/>
        <color rgb="FFC00000"/>
        <rFont val="맑은 고딕"/>
        <family val="3"/>
        <charset val="129"/>
      </rPr>
      <t>운행자성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사고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미고지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보험연령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미달자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운전</t>
    </r>
    <r>
      <rPr>
        <b/>
        <sz val="8"/>
        <color rgb="FFC00000"/>
        <rFont val="Arial"/>
        <family val="2"/>
      </rPr>
      <t>·12</t>
    </r>
    <r>
      <rPr>
        <b/>
        <sz val="8"/>
        <color rgb="FFC00000"/>
        <rFont val="맑은 고딕"/>
        <family val="3"/>
        <charset val="129"/>
      </rPr>
      <t>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중과실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면책사고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보험사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보장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한도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초과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어떠한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사유로든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계약자는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통보일로부터</t>
    </r>
    <r>
      <rPr>
        <b/>
        <sz val="8"/>
        <color rgb="FFC00000"/>
        <rFont val="Arial"/>
        <family val="2"/>
      </rPr>
      <t xml:space="preserve"> 7</t>
    </r>
    <r>
      <rPr>
        <b/>
        <sz val="8"/>
        <color rgb="FFC00000"/>
        <rFont val="맑은 고딕"/>
        <family val="3"/>
        <charset val="129"/>
      </rPr>
      <t>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이내에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전액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그와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관련하여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지출한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변호사비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소송비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회사에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변제하여야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합니다</t>
    </r>
    <r>
      <rPr>
        <b/>
        <sz val="8"/>
        <color rgb="FFC00000"/>
        <rFont val="Arial"/>
        <family val="2"/>
      </rPr>
      <t>.</t>
    </r>
    <phoneticPr fontId="51" type="noConversion"/>
  </si>
  <si>
    <r>
      <rPr>
        <b/>
        <sz val="8"/>
        <color rgb="FFC00000"/>
        <rFont val="맑은 고딕"/>
        <family val="3"/>
        <charset val="129"/>
      </rPr>
      <t>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구상금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또는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기한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않는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통지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최고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없이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해지되며</t>
    </r>
    <r>
      <rPr>
        <b/>
        <sz val="8"/>
        <color rgb="FFC00000"/>
        <rFont val="Arial"/>
        <family val="2"/>
      </rPr>
      <t xml:space="preserve">, </t>
    </r>
    <r>
      <rPr>
        <b/>
        <sz val="8"/>
        <color rgb="FFC00000"/>
        <rFont val="맑은 고딕"/>
        <family val="3"/>
        <charset val="129"/>
      </rPr>
      <t>회사는</t>
    </r>
    <r>
      <rPr>
        <b/>
        <sz val="8"/>
        <color rgb="FFC00000"/>
        <rFont val="Arial"/>
        <family val="2"/>
      </rPr>
      <t xml:space="preserve"> (1) </t>
    </r>
    <r>
      <rPr>
        <b/>
        <sz val="8"/>
        <color rgb="FFC00000"/>
        <rFont val="맑은 고딕"/>
        <family val="3"/>
        <charset val="129"/>
      </rPr>
      <t>차량을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즉시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임의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회수하고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회수에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소요된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일체의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비용</t>
    </r>
    <r>
      <rPr>
        <b/>
        <sz val="8"/>
        <color rgb="FFC00000"/>
        <rFont val="Arial"/>
        <family val="2"/>
      </rPr>
      <t>(</t>
    </r>
    <r>
      <rPr>
        <b/>
        <sz val="8"/>
        <color rgb="FFC00000"/>
        <rFont val="맑은 고딕"/>
        <family val="3"/>
        <charset val="129"/>
      </rPr>
      <t>출장비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운송비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원상복구비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포함</t>
    </r>
    <r>
      <rPr>
        <b/>
        <sz val="8"/>
        <color rgb="FFC00000"/>
        <rFont val="Arial"/>
        <family val="2"/>
      </rPr>
      <t>)</t>
    </r>
    <r>
      <rPr>
        <b/>
        <sz val="8"/>
        <color rgb="FFC00000"/>
        <rFont val="맑은 고딕"/>
        <family val="3"/>
        <charset val="129"/>
      </rPr>
      <t>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Arial"/>
        <family val="2"/>
      </rPr>
      <t xml:space="preserve">, (2) </t>
    </r>
    <r>
      <rPr>
        <b/>
        <sz val="8"/>
        <color rgb="FFC00000"/>
        <rFont val="맑은 고딕"/>
        <family val="3"/>
        <charset val="129"/>
      </rPr>
      <t>보증금은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계약자의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귀책으로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본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계약이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해지되는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경우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반환하지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않고</t>
    </r>
    <r>
      <rPr>
        <b/>
        <sz val="8"/>
        <color rgb="FFC00000"/>
        <rFont val="Arial"/>
        <family val="2"/>
      </rPr>
      <t xml:space="preserve">, (3) </t>
    </r>
    <r>
      <rPr>
        <b/>
        <sz val="8"/>
        <color rgb="FFC00000"/>
        <rFont val="맑은 고딕"/>
        <family val="3"/>
        <charset val="129"/>
      </rPr>
      <t>위약금</t>
    </r>
    <r>
      <rPr>
        <b/>
        <sz val="8"/>
        <color rgb="FFC00000"/>
        <rFont val="Arial"/>
        <family val="2"/>
      </rPr>
      <t>[</t>
    </r>
    <r>
      <rPr>
        <b/>
        <sz val="8"/>
        <color rgb="FFC00000"/>
        <rFont val="맑은 고딕"/>
        <family val="3"/>
        <charset val="129"/>
      </rPr>
      <t>잔여기간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총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렌트료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DejaVu Sans"/>
        <family val="2"/>
        <charset val="129"/>
      </rPr>
      <t>×</t>
    </r>
    <r>
      <rPr>
        <b/>
        <sz val="8"/>
        <color rgb="FFC00000"/>
        <rFont val="Arial"/>
        <family val="2"/>
      </rPr>
      <t xml:space="preserve"> 20%] </t>
    </r>
    <r>
      <rPr>
        <b/>
        <sz val="8"/>
        <color rgb="FFC00000"/>
        <rFont val="맑은 고딕"/>
        <family val="3"/>
        <charset val="129"/>
      </rPr>
      <t>및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손해배상금을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별도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청구하며</t>
    </r>
    <r>
      <rPr>
        <b/>
        <sz val="8"/>
        <color rgb="FFC00000"/>
        <rFont val="Arial"/>
        <family val="2"/>
      </rPr>
      <t xml:space="preserve">, (4) </t>
    </r>
    <r>
      <rPr>
        <b/>
        <sz val="8"/>
        <color rgb="FFC00000"/>
        <rFont val="맑은 고딕"/>
        <family val="3"/>
        <charset val="129"/>
      </rPr>
      <t>미변제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금액에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연</t>
    </r>
    <r>
      <rPr>
        <b/>
        <sz val="8"/>
        <color rgb="FFC00000"/>
        <rFont val="Arial"/>
        <family val="2"/>
      </rPr>
      <t xml:space="preserve"> 15%</t>
    </r>
    <r>
      <rPr>
        <b/>
        <sz val="8"/>
        <color rgb="FFC00000"/>
        <rFont val="맑은 고딕"/>
        <family val="3"/>
        <charset val="129"/>
      </rPr>
      <t>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지연손해금을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변제일까지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가산하고</t>
    </r>
    <r>
      <rPr>
        <b/>
        <sz val="8"/>
        <color rgb="FFC00000"/>
        <rFont val="Arial"/>
        <family val="2"/>
      </rPr>
      <t xml:space="preserve">, (5) </t>
    </r>
    <r>
      <rPr>
        <b/>
        <sz val="8"/>
        <color rgb="FFC00000"/>
        <rFont val="맑은 고딕"/>
        <family val="3"/>
        <charset val="129"/>
      </rPr>
      <t>계약자에게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통지한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관련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법령이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정하는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절차에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따라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신용정보회사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신용정보집중기관에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채무불이행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사실을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등록하거나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채권추심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전문기관에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추심을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위임할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있으며</t>
    </r>
    <r>
      <rPr>
        <b/>
        <sz val="8"/>
        <color rgb="FFC00000"/>
        <rFont val="Arial"/>
        <family val="2"/>
      </rPr>
      <t xml:space="preserve">, (6) </t>
    </r>
    <r>
      <rPr>
        <b/>
        <sz val="8"/>
        <color rgb="FFC00000"/>
        <rFont val="맑은 고딕"/>
        <family val="3"/>
        <charset val="129"/>
      </rPr>
      <t>계약자에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대하여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민</t>
    </r>
    <r>
      <rPr>
        <b/>
        <sz val="8"/>
        <color rgb="FFC00000"/>
        <rFont val="Arial"/>
        <family val="2"/>
      </rPr>
      <t>·</t>
    </r>
    <r>
      <rPr>
        <b/>
        <sz val="8"/>
        <color rgb="FFC00000"/>
        <rFont val="맑은 고딕"/>
        <family val="3"/>
        <charset val="129"/>
      </rPr>
      <t>형사상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모든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법적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조치를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취할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수</t>
    </r>
    <r>
      <rPr>
        <b/>
        <sz val="8"/>
        <color rgb="FFC00000"/>
        <rFont val="Arial"/>
        <family val="2"/>
      </rPr>
      <t xml:space="preserve"> </t>
    </r>
    <r>
      <rPr>
        <b/>
        <sz val="8"/>
        <color rgb="FFC00000"/>
        <rFont val="맑은 고딕"/>
        <family val="3"/>
        <charset val="129"/>
      </rPr>
      <t>있습니다</t>
    </r>
    <r>
      <rPr>
        <b/>
        <sz val="8"/>
        <color rgb="FFC00000"/>
        <rFont val="Arial"/>
        <family val="2"/>
      </rPr>
      <t>.</t>
    </r>
    <phoneticPr fontId="5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</si>
</sst>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/yyyy"/>
    <numFmt numFmtId="177" formatCode="#,###,###&quot;원&quot;"/>
  </numFmts>
  <fonts count="76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8"/>
      <color rgb="FFC00000"/>
      <name val="DejaVu Sans"/>
      <family val="2"/>
    </font>
    <font>
      <i/>
      <sz val="8"/>
      <color rgb="FF595959"/>
      <name val="DejaVu Sans"/>
      <family val="2"/>
    </font>
    <font>
      <b/>
      <sz val="8"/>
      <color rgb="FFC00000"/>
      <name val="DejaVu Sans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3"/>
      <charset val="129"/>
    </font>
    <font>
      <b/>
      <sz val="9"/>
      <color rgb="FF1F3864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3"/>
      <charset val="129"/>
    </font>
    <font>
      <b/>
      <sz val="9"/>
      <color rgb="FF1F3864"/>
      <name val="맑은 고딕"/>
      <family val="3"/>
      <charset val="129"/>
    </font>
    <font>
      <i/>
      <sz val="9"/>
      <color rgb="FF595959"/>
      <name val="DejaVu Sans"/>
      <family val="2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color theme="1"/>
      <name val="DejaVu Sans"/>
      <family val="2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color theme="1"/>
      <name val="DejaVu Sans"/>
      <family val="2"/>
      <charset val="129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2"/>
      <charset val="129"/>
    </font>
    <font>
      <b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/>
      <sz val="10"/>
      <color rgb="FF1F3864"/>
      <name val="DejaVu Sans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sz val="10"/>
      <color rgb="FF111111"/>
      <name val="DejaVu Sans"/>
      <family val="2"/>
    </font>
    <font>
      <b/>
      <sz val="12"/>
      <color rgb="FF0F172A"/>
      <name val="DejaVu Sans"/>
      <family val="2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b/>
      <sz val="9"/>
      <color rgb="FF1F4E89"/>
      <name val="DejaVu Sans"/>
      <family val="3"/>
      <charset val="129"/>
    </font>
    <font>
      <sz val="8"/>
      <color theme="1"/>
      <name val="Arial"/>
      <family val="2"/>
    </font>
    <font>
      <sz val="8"/>
      <color theme="1"/>
      <name val="DejaVu Sans"/>
      <family val="3"/>
      <charset val="129"/>
    </font>
    <font>
      <b/>
      <sz val="16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sz val="8"/>
      <name val="맑은 고딕"/>
      <family val="3"/>
      <charset val="129"/>
    </font>
    <font>
      <sz val="8"/>
      <name val="DejaVu Sans"/>
      <family val="3"/>
      <charset val="129"/>
    </font>
    <font>
      <sz val="8"/>
      <name val="Arial"/>
      <family val="2"/>
    </font>
    <font>
      <sz val="8"/>
      <name val="DejaVu Sans"/>
      <family val="1"/>
    </font>
    <font>
      <sz val="8"/>
      <name val="Segoe UI Symbol"/>
      <family val="1"/>
    </font>
    <font>
      <sz val="8"/>
      <color theme="1"/>
      <name val="Segoe UI Symbol"/>
      <family val="1"/>
    </font>
    <font>
      <sz val="8"/>
      <color theme="1"/>
      <name val="DejaVu Sans"/>
      <family val="1"/>
    </font>
    <font>
      <b/>
      <sz val="9"/>
      <color rgb="FF1F4E89"/>
      <name val="맑은 고딕"/>
      <family val="3"/>
      <charset val="129"/>
    </font>
    <font>
      <b/>
      <sz val="9"/>
      <color rgb="FF1F4E89"/>
      <name val="Arial"/>
      <family val="2"/>
    </font>
    <font>
      <sz val="9"/>
      <name val="DejaVu Sans"/>
    </font>
    <font>
      <sz val="11"/>
      <name val="Calibri"/>
      <family val="2"/>
      <charset val="1"/>
    </font>
    <font>
      <b/>
      <sz val="8"/>
      <color rgb="FFC00000"/>
      <name val="맑은 고딕"/>
      <family val="3"/>
      <charset val="129"/>
    </font>
    <font>
      <b/>
      <sz val="8"/>
      <color rgb="FFC00000"/>
      <name val="Arial"/>
      <family val="2"/>
    </font>
    <font>
      <b/>
      <sz val="8"/>
      <color rgb="FFC00000"/>
      <name val="DejaVu Sans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  <fill>
      <patternFill patternType="solid">
        <fgColor rgb="FF1F3A5F"/>
        <bgColor rgb="FF1F3A5F"/>
      </patternFill>
    </fill>
    <fill>
      <patternFill patternType="solid">
        <fgColor rgb="FF2C4F7C"/>
        <bgColor rgb="FF2C4F7C"/>
      </patternFill>
    </fill>
    <fill>
      <patternFill patternType="solid">
        <fgColor rgb="FFFFF4E6"/>
        <bgColor rgb="FFFFF4E6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26" fillId="6" borderId="0" xfId="0" applyFont="1" applyFill="1" applyAlignment="1">
      <alignment horizontal="left" vertical="center" wrapText="1" indent="1"/>
    </xf>
    <xf numFmtId="0" fontId="27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30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top" wrapText="1" indent="1"/>
    </xf>
    <xf numFmtId="0" fontId="32" fillId="0" borderId="0" xfId="0" applyFont="1" applyAlignment="1">
      <alignment horizontal="left" vertical="top" wrapText="1" indent="1"/>
    </xf>
    <xf numFmtId="0" fontId="10" fillId="11" borderId="0" xfId="0" applyFont="1" applyFill="1" applyAlignment="1">
      <alignment horizontal="left" vertical="center" wrapText="1"/>
    </xf>
    <xf numFmtId="0" fontId="36" fillId="0" borderId="0" xfId="0" applyFont="1" applyAlignment="1">
      <alignment vertical="center"/>
    </xf>
    <xf numFmtId="0" fontId="37" fillId="0" borderId="0" xfId="0" applyFont="1" applyAlignment="1">
      <alignment horizontal="left" vertical="center" indent="1"/>
    </xf>
    <xf numFmtId="0" fontId="38" fillId="0" borderId="0" xfId="0" applyFont="1"/>
    <xf numFmtId="0" fontId="39" fillId="0" borderId="0" xfId="0" applyFont="1" applyAlignment="1">
      <alignment horizontal="left" vertical="center" indent="1"/>
    </xf>
    <xf numFmtId="0" fontId="17" fillId="0" borderId="0" xfId="0" applyFont="1" applyAlignment="1">
      <alignment horizontal="left" vertical="center" wrapText="1" indent="1"/>
    </xf>
    <xf numFmtId="0" fontId="46" fillId="0" borderId="0" xfId="0" applyFont="1" applyAlignment="1">
      <alignment horizontal="center" vertical="top"/>
    </xf>
    <xf numFmtId="0" fontId="47" fillId="0" borderId="0" xfId="0" applyFont="1" applyAlignment="1">
      <alignment horizontal="left" vertical="top" wrapText="1"/>
    </xf>
    <xf numFmtId="0" fontId="48" fillId="0" borderId="0" xfId="0" applyFont="1" applyAlignment="1">
      <alignment horizontal="left" vertical="top" wrapText="1"/>
    </xf>
    <xf numFmtId="0" fontId="0" fillId="0" borderId="6" xfId="0" applyBorder="1"/>
    <xf numFmtId="0" fontId="49" fillId="0" borderId="0" xfId="0" applyFont="1" applyAlignment="1">
      <alignment horizontal="left" vertical="center"/>
    </xf>
    <xf numFmtId="0" fontId="50" fillId="0" borderId="0" xfId="0" applyFont="1" applyAlignment="1">
      <alignment horizontal="right" vertical="center"/>
    </xf>
    <xf numFmtId="0" fontId="10" fillId="6" borderId="8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top" wrapText="1" indent="1"/>
    </xf>
    <xf numFmtId="0" fontId="55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56" fillId="6" borderId="0" xfId="0" applyFont="1" applyFill="1" applyAlignment="1">
      <alignment horizontal="left" vertical="center" wrapText="1" indent="1"/>
    </xf>
    <xf numFmtId="0" fontId="58" fillId="0" borderId="0" xfId="0" applyFont="1" applyAlignment="1">
      <alignment horizontal="left" vertical="top" wrapText="1" indent="1"/>
    </xf>
    <xf numFmtId="0" fontId="52" fillId="15" borderId="13" xfId="0" applyFont="1" applyFill="1" applyBorder="1" applyAlignment="1">
      <alignment horizontal="center" vertical="center" wrapText="1"/>
    </xf>
    <xf numFmtId="0" fontId="60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3" fillId="0" borderId="0" xfId="0" applyFont="1" applyAlignment="1">
      <alignment horizontal="left" vertical="top" wrapText="1" indent="1"/>
    </xf>
    <xf numFmtId="0" fontId="65" fillId="0" borderId="0" xfId="0" applyFont="1" applyAlignment="1">
      <alignment horizontal="left" vertical="top" wrapText="1" indent="1"/>
    </xf>
    <xf numFmtId="0" fontId="62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68" fillId="0" borderId="0" xfId="0" applyFont="1" applyAlignment="1">
      <alignment horizontal="left" vertical="top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0" fillId="0" borderId="10" xfId="0" applyBorder="1"/>
    <xf numFmtId="0" fontId="16" fillId="7" borderId="1" xfId="0" applyFont="1" applyFill="1" applyBorder="1" applyAlignment="1">
      <alignment horizontal="left" vertical="center" wrapText="1" indent="1"/>
    </xf>
    <xf numFmtId="0" fontId="0" fillId="0" borderId="9" xfId="0" applyBorder="1"/>
    <xf numFmtId="0" fontId="3" fillId="5" borderId="1" xfId="0" applyFont="1" applyFill="1" applyBorder="1" applyAlignment="1">
      <alignment horizontal="left" vertical="center" wrapText="1" indent="1"/>
    </xf>
    <xf numFmtId="0" fontId="12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9" fillId="10" borderId="1" xfId="0" applyFont="1" applyFill="1" applyBorder="1" applyAlignment="1">
      <alignment horizontal="left" vertical="center" wrapText="1" indent="1"/>
    </xf>
    <xf numFmtId="0" fontId="2" fillId="0" borderId="8" xfId="0" applyFont="1" applyBorder="1" applyAlignment="1">
      <alignment horizontal="center" vertical="center" wrapText="1"/>
    </xf>
    <xf numFmtId="0" fontId="0" fillId="0" borderId="12" xfId="0" applyBorder="1"/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left" vertical="center" wrapText="1" indent="1"/>
    </xf>
    <xf numFmtId="0" fontId="10" fillId="10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 indent="1"/>
    </xf>
    <xf numFmtId="0" fontId="21" fillId="5" borderId="1" xfId="0" applyFont="1" applyFill="1" applyBorder="1" applyAlignment="1">
      <alignment horizontal="center" vertical="center" wrapText="1"/>
    </xf>
    <xf numFmtId="176" fontId="4" fillId="5" borderId="1" xfId="0" applyNumberFormat="1" applyFont="1" applyFill="1" applyBorder="1" applyAlignment="1">
      <alignment horizontal="left" vertical="center" wrapText="1" indent="1"/>
    </xf>
    <xf numFmtId="0" fontId="9" fillId="5" borderId="0" xfId="0" applyFont="1" applyFill="1" applyAlignment="1">
      <alignment horizontal="left" vertical="center" wrapText="1" indent="1"/>
    </xf>
    <xf numFmtId="0" fontId="0" fillId="0" borderId="0" xfId="0"/>
    <xf numFmtId="0" fontId="0" fillId="0" borderId="0" xfId="0" applyAlignment="1">
      <alignment horizontal="center"/>
    </xf>
    <xf numFmtId="177" fontId="2" fillId="5" borderId="1" xfId="0" applyNumberFormat="1" applyFont="1" applyFill="1" applyBorder="1" applyAlignment="1">
      <alignment horizontal="left" vertical="center" wrapText="1" indent="1"/>
    </xf>
    <xf numFmtId="0" fontId="11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2" borderId="0" xfId="0" applyFont="1" applyFill="1" applyAlignment="1">
      <alignment horizontal="center" vertical="center" wrapText="1"/>
    </xf>
    <xf numFmtId="0" fontId="62" fillId="5" borderId="1" xfId="0" applyFont="1" applyFill="1" applyBorder="1" applyAlignment="1">
      <alignment horizontal="left" vertical="center" wrapText="1" indent="1"/>
    </xf>
    <xf numFmtId="0" fontId="12" fillId="2" borderId="8" xfId="0" applyFont="1" applyFill="1" applyBorder="1" applyAlignment="1">
      <alignment horizontal="center" vertical="center" wrapText="1"/>
    </xf>
    <xf numFmtId="0" fontId="0" fillId="0" borderId="11" xfId="0" applyBorder="1"/>
    <xf numFmtId="0" fontId="24" fillId="0" borderId="0" xfId="0" applyFont="1" applyAlignment="1">
      <alignment horizontal="left" vertical="center" indent="1"/>
    </xf>
    <xf numFmtId="0" fontId="17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2" fillId="8" borderId="1" xfId="0" applyFont="1" applyFill="1" applyBorder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12" fillId="9" borderId="0" xfId="0" applyFont="1" applyFill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5" fillId="12" borderId="0" xfId="0" applyFont="1" applyFill="1" applyAlignment="1">
      <alignment horizontal="center" vertical="center" wrapText="1"/>
    </xf>
    <xf numFmtId="0" fontId="41" fillId="0" borderId="4" xfId="0" applyFont="1" applyBorder="1" applyAlignment="1">
      <alignment horizontal="left" vertical="center"/>
    </xf>
    <xf numFmtId="0" fontId="0" fillId="0" borderId="4" xfId="0" applyBorder="1"/>
    <xf numFmtId="0" fontId="43" fillId="0" borderId="5" xfId="0" applyFont="1" applyBorder="1" applyAlignment="1">
      <alignment horizontal="left"/>
    </xf>
    <xf numFmtId="0" fontId="0" fillId="0" borderId="5" xfId="0" applyBorder="1"/>
    <xf numFmtId="0" fontId="45" fillId="0" borderId="0" xfId="0" applyFont="1" applyAlignment="1">
      <alignment horizontal="left" vertical="top" wrapText="1"/>
    </xf>
    <xf numFmtId="0" fontId="45" fillId="0" borderId="0" xfId="0" applyFont="1" applyAlignment="1">
      <alignment horizontal="left" vertical="top" wrapText="1" indent="1"/>
    </xf>
    <xf numFmtId="0" fontId="42" fillId="13" borderId="0" xfId="0" applyFont="1" applyFill="1" applyAlignment="1">
      <alignment horizontal="left" vertical="center" wrapText="1" indent="1"/>
    </xf>
    <xf numFmtId="0" fontId="49" fillId="0" borderId="7" xfId="0" applyFont="1" applyBorder="1" applyAlignment="1">
      <alignment horizontal="center" vertical="center"/>
    </xf>
    <xf numFmtId="0" fontId="0" fillId="0" borderId="7" xfId="0" applyBorder="1"/>
    <xf numFmtId="0" fontId="71" fillId="0" borderId="0" xfId="0" applyFont="1" applyAlignment="1">
      <alignment horizontal="left" vertical="top" wrapText="1"/>
    </xf>
    <xf numFmtId="0" fontId="72" fillId="0" borderId="0" xfId="0" applyFont="1"/>
    <xf numFmtId="0" fontId="45" fillId="0" borderId="0" xfId="0" applyFont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71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  <xf numFmtId="0" fontId="5" fillId="0" borderId="0" xfId="0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0" fontId="59" fillId="14" borderId="0" xfId="0" applyFont="1" applyFill="1" applyAlignment="1">
      <alignment horizontal="center" vertical="center" wrapText="1"/>
    </xf>
    <xf numFmtId="0" fontId="60" fillId="16" borderId="0" xfId="0" applyFont="1" applyFill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167640</xdr:colOff>
      <xdr:row>46</xdr:row>
      <xdr:rowOff>15240</xdr:rowOff>
    </xdr:from>
    <xdr:to>
      <xdr:col>9</xdr:col>
      <xdr:colOff>777240</xdr:colOff>
      <xdr:row>47</xdr:row>
      <xdr:rowOff>3567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32320" y="14279880"/>
          <a:ext cx="609600" cy="597927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861060</xdr:colOff>
      <xdr:row>34</xdr:row>
      <xdr:rowOff>167640</xdr:rowOff>
    </xdr:from>
    <xdr:to>
      <xdr:col>9</xdr:col>
      <xdr:colOff>121920</xdr:colOff>
      <xdr:row>36</xdr:row>
      <xdr:rowOff>15240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53200" y="12405360"/>
          <a:ext cx="563880" cy="56388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H2" activePane="bottomRight" state="frozen"/>
      <selection pane="topRight" activeCell="H1" sqref="H1"/>
      <selection pane="bottomLeft" activeCell="A2" sqref="A2"/>
      <selection pane="bottomRight" activeCell="H1" sqref="H1"/>
    </sheetView>
  </sheetViews>
  <sheetFormatPr defaultColWidth="8.6640625" defaultRowHeight="14.4"/>
  <cols>
    <col min="1" max="19" width="18" customWidth="1"/>
  </cols>
  <sheetData>
    <row r="1" spans="1:19" ht="30" customHeight="1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/>
      <c r="S1" s="1" t="s">
        <v>97</v>
      </c>
    </row>
    <row r="2" spans="1:19" ht="46.5" customHeight="1">
      <c r="A2" s="2">
        <v>1</v>
      </c>
      <c r="B2" s="2" t="s">
        <v>98</v>
      </c>
      <c r="C2" s="2" t="s">
        <v>99</v>
      </c>
      <c r="D2" s="2" t="s">
        <v>100</v>
      </c>
      <c r="E2" s="2" t="s">
        <v>101</v>
      </c>
      <c r="F2" s="3" t="s">
        <v>102</v>
      </c>
      <c r="G2" s="3" t="s">
        <v>103</v>
      </c>
      <c r="H2" s="3" t="s">
        <v>104</v>
      </c>
      <c r="I2" s="2">
        <v>26400</v>
      </c>
      <c r="J2" s="2">
        <v>365</v>
      </c>
      <c r="K2" s="2">
        <v>300000</v>
      </c>
      <c r="L2" s="3" t="s">
        <v>105</v>
      </c>
      <c r="M2" s="2" t="s">
        <v>106</v>
      </c>
      <c r="N2" s="3" t="s">
        <v>107</v>
      </c>
      <c r="O2" s="4" t="s">
        <v>108</v>
      </c>
      <c r="P2" s="3" t="s">
        <v>109</v>
      </c>
      <c r="Q2" s="3" t="s">
        <v>110</v>
      </c>
      <c r="R2" s="3" t="s">
        <v>111</v>
      </c>
      <c r="S2" s="3" t="s">
        <v>112</v>
      </c>
    </row>
  </sheetData>
  <phoneticPr fontId="51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3"/>
  <sheetViews>
    <sheetView view="pageBreakPreview" topLeftCell="A31" zoomScaleNormal="100" workbookViewId="0">
      <selection activeCell="B46" sqref="B46:J46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5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6"/>
      <c r="B1" s="6"/>
      <c r="C1" s="6"/>
      <c r="D1" s="6"/>
      <c r="E1" s="7"/>
      <c r="F1" s="6"/>
      <c r="G1" s="6"/>
      <c r="H1" s="6"/>
      <c r="I1" s="6"/>
      <c r="J1" s="6"/>
      <c r="K1" s="6"/>
      <c r="L1" s="8" t="s">
        <v>113</v>
      </c>
    </row>
    <row r="2" spans="1:12" ht="48" customHeight="1">
      <c r="A2" s="6"/>
      <c r="B2" s="79" t="s">
        <v>114</v>
      </c>
      <c r="C2" s="66"/>
      <c r="D2" s="66"/>
      <c r="E2" s="67"/>
      <c r="F2" s="66"/>
      <c r="G2" s="66"/>
      <c r="H2" s="66"/>
      <c r="I2" s="66"/>
      <c r="J2" s="66"/>
      <c r="K2" s="6"/>
      <c r="L2" s="9">
        <v>1</v>
      </c>
    </row>
    <row r="3" spans="1:12" ht="24" customHeight="1">
      <c r="A3" s="6"/>
      <c r="B3" s="65" t="s">
        <v>115</v>
      </c>
      <c r="C3" s="66"/>
      <c r="D3" s="66"/>
      <c r="E3" s="67"/>
      <c r="F3" s="81" t="s">
        <v>80</v>
      </c>
      <c r="G3" s="66"/>
      <c r="H3" s="66"/>
      <c r="I3" s="69" t="str">
        <f>IFERROR(TEXT($L$2,"0000"),"")</f>
        <v>0001</v>
      </c>
      <c r="J3" s="70"/>
      <c r="K3" s="6"/>
      <c r="L3" s="6"/>
    </row>
    <row r="4" spans="1:12" ht="7.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6"/>
      <c r="L4" s="6"/>
    </row>
    <row r="5" spans="1:12" ht="25.5" customHeight="1">
      <c r="A5" s="6"/>
      <c r="B5" s="71" t="s">
        <v>116</v>
      </c>
      <c r="C5" s="66"/>
      <c r="D5" s="66"/>
      <c r="E5" s="67"/>
      <c r="F5" s="66"/>
      <c r="G5" s="66"/>
      <c r="H5" s="66"/>
      <c r="I5" s="66"/>
      <c r="J5" s="66"/>
      <c r="K5" s="6"/>
      <c r="L5" s="6"/>
    </row>
    <row r="6" spans="1:12" ht="21.75" customHeight="1">
      <c r="A6" s="6"/>
      <c r="B6" s="10" t="s">
        <v>82</v>
      </c>
      <c r="C6" s="48" t="str">
        <f>IFERROR(IF(VLOOKUP($L$2,계약리스트!$A$2:$X$10000,3,0)="","",VLOOKUP($L$2,계약리스트!$A$2:$X$10000,3,0)),"")</f>
        <v>UHR150</v>
      </c>
      <c r="D6" s="49"/>
      <c r="E6" s="10" t="s">
        <v>84</v>
      </c>
      <c r="F6" s="48" t="str">
        <f>IFERROR(IF(VLOOKUP($L$2,계약리스트!$A$2:$X$10000,5,0)="","",VLOOKUP($L$2,계약리스트!$A$2:$X$10000,5,0)),"")</f>
        <v>1나88370</v>
      </c>
      <c r="G6" s="49"/>
      <c r="H6" s="10" t="s">
        <v>85</v>
      </c>
      <c r="I6" s="48" t="str">
        <f>IFERROR(IF(VLOOKUP($L$2,계약리스트!$A$2:$X$10000,6,0)="","",VLOOKUP($L$2,계약리스트!$A$2:$X$10000,6,0)),"")</f>
        <v>화이트</v>
      </c>
      <c r="J6" s="49"/>
      <c r="K6" s="6"/>
      <c r="L6" s="6"/>
    </row>
    <row r="7" spans="1:12" ht="21.75" customHeight="1">
      <c r="A7" s="6"/>
      <c r="B7" s="10" t="s">
        <v>83</v>
      </c>
      <c r="C7" s="48" t="str">
        <f>IFERROR(IF(VLOOKUP($L$2,계약리스트!$A$2:$X$10000,4,0)="","",VLOOKUP($L$2,계약리스트!$A$2:$X$10000,4,0)),"")</f>
        <v>LWMTDKH95THJ00467</v>
      </c>
      <c r="D7" s="49"/>
      <c r="E7" s="10" t="s">
        <v>86</v>
      </c>
      <c r="F7" s="48" t="str">
        <f>IFERROR(IF(VLOOKUP($L$2,계약리스트!$A$2:$X$10000,7,0)="","",VLOOKUP($L$2,계약리스트!$A$2:$X$10000,7,0)),"")</f>
        <v>비포함</v>
      </c>
      <c r="G7" s="49"/>
      <c r="H7" s="11" t="s">
        <v>87</v>
      </c>
      <c r="I7" s="48" t="str">
        <f>IFERROR(IF(VLOOKUP($L$2,계약리스트!$A$2:$X$10000,8,0)="","",VLOOKUP($L$2,계약리스트!$A$2:$X$10000,8,0)),"")</f>
        <v>만30세</v>
      </c>
      <c r="J7" s="49"/>
      <c r="K7" s="6"/>
      <c r="L7" s="6"/>
    </row>
    <row r="8" spans="1:12" ht="25.5" customHeight="1">
      <c r="A8" s="6"/>
      <c r="B8" s="58" t="s">
        <v>117</v>
      </c>
      <c r="C8" s="51"/>
      <c r="D8" s="51"/>
      <c r="E8" s="51"/>
      <c r="F8" s="51"/>
      <c r="G8" s="51"/>
      <c r="H8" s="51"/>
      <c r="I8" s="51"/>
      <c r="J8" s="49"/>
      <c r="K8" s="6"/>
      <c r="L8" s="6"/>
    </row>
    <row r="9" spans="1:12" ht="7.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6"/>
      <c r="L9" s="6"/>
    </row>
    <row r="10" spans="1:12" ht="25.5" customHeight="1">
      <c r="A10" s="6"/>
      <c r="B10" s="53" t="s">
        <v>118</v>
      </c>
      <c r="C10" s="54"/>
      <c r="D10" s="54"/>
      <c r="E10" s="54"/>
      <c r="F10" s="54"/>
      <c r="G10" s="54"/>
      <c r="H10" s="54"/>
      <c r="I10" s="54"/>
      <c r="J10" s="54"/>
      <c r="K10" s="6"/>
      <c r="L10" s="6"/>
    </row>
    <row r="11" spans="1:12" ht="21.75" customHeight="1">
      <c r="A11" s="6"/>
      <c r="B11" s="10" t="s">
        <v>119</v>
      </c>
      <c r="C11" s="48" t="str">
        <f>_xlfn.XLOOKUP(L2,계약리스트!A:A,계약리스트!L:L)</f>
        <v>안종식</v>
      </c>
      <c r="D11" s="49"/>
      <c r="E11" s="10" t="s">
        <v>120</v>
      </c>
      <c r="F11" s="48" t="str">
        <f>_xlfn.XLOOKUP(L2,계약리스트!A:A,계약리스트!M:M)</f>
        <v>820530-1046518</v>
      </c>
      <c r="G11" s="49"/>
      <c r="H11" s="10" t="s">
        <v>94</v>
      </c>
      <c r="I11" s="48" t="str">
        <f>_xlfn.XLOOKUP(L2,계약리스트!A:A,계약리스트!O:O)</f>
        <v>010-5813-7336</v>
      </c>
      <c r="J11" s="49"/>
      <c r="K11" s="6"/>
      <c r="L11" s="6"/>
    </row>
    <row r="12" spans="1:12" ht="21.75" customHeight="1">
      <c r="A12" s="6"/>
      <c r="B12" s="10" t="s">
        <v>93</v>
      </c>
      <c r="C12" s="52" t="str">
        <f>_xlfn.XLOOKUP(L2,계약리스트!A:A,계약리스트!N:N)</f>
        <v>경기도 오산시 궐동로 77, 1층(궐동)</v>
      </c>
      <c r="D12" s="51"/>
      <c r="E12" s="51"/>
      <c r="F12" s="51"/>
      <c r="G12" s="51"/>
      <c r="H12" s="51"/>
      <c r="I12" s="51"/>
      <c r="J12" s="49"/>
      <c r="K12" s="6"/>
      <c r="L12" s="6"/>
    </row>
    <row r="13" spans="1:12" ht="19.5" customHeight="1">
      <c r="A13" s="6"/>
      <c r="B13" s="60" t="s">
        <v>121</v>
      </c>
      <c r="C13" s="51"/>
      <c r="D13" s="51"/>
      <c r="E13" s="51"/>
      <c r="F13" s="51"/>
      <c r="G13" s="51"/>
      <c r="H13" s="51"/>
      <c r="I13" s="51"/>
      <c r="J13" s="49"/>
      <c r="K13" s="6"/>
      <c r="L13" s="6"/>
    </row>
    <row r="14" spans="1:12" ht="7.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6"/>
      <c r="L14" s="6"/>
    </row>
    <row r="15" spans="1:12" ht="25.5" customHeight="1">
      <c r="A15" s="6"/>
      <c r="B15" s="71" t="s">
        <v>122</v>
      </c>
      <c r="C15" s="66"/>
      <c r="D15" s="66"/>
      <c r="E15" s="67"/>
      <c r="F15" s="66"/>
      <c r="G15" s="66"/>
      <c r="H15" s="66"/>
      <c r="I15" s="66"/>
      <c r="J15" s="66"/>
      <c r="K15" s="6"/>
      <c r="L15" s="6"/>
    </row>
    <row r="16" spans="1:12" ht="21.75" customHeight="1">
      <c r="A16" s="6"/>
      <c r="B16" s="10" t="s">
        <v>95</v>
      </c>
      <c r="C16" s="48" t="str">
        <f>_xlfn.XLOOKUP(L2,계약리스트!A:A,계약리스트!P:P)</f>
        <v>렌트</v>
      </c>
      <c r="D16" s="49"/>
      <c r="E16" s="10" t="s">
        <v>96</v>
      </c>
      <c r="F16" s="48" t="str">
        <f>_xlfn.XLOOKUP(L2,계약리스트!A:A,계약리스트!Q:Q)</f>
        <v>인수형</v>
      </c>
      <c r="G16" s="49"/>
      <c r="H16" s="10" t="s">
        <v>123</v>
      </c>
      <c r="I16" s="48">
        <f>_xlfn.XLOOKUP(L2,계약리스트!A:A,계약리스트!J:J)</f>
        <v>365</v>
      </c>
      <c r="J16" s="49"/>
      <c r="K16" s="6"/>
      <c r="L16" s="6"/>
    </row>
    <row r="17" spans="1:12" ht="21.75" customHeight="1">
      <c r="A17" s="6"/>
      <c r="B17" s="10" t="s">
        <v>124</v>
      </c>
      <c r="C17" s="68">
        <f>_xlfn.XLOOKUP(L2,계약리스트!A:A,계약리스트!I:I)</f>
        <v>26400</v>
      </c>
      <c r="D17" s="49"/>
      <c r="E17" s="10" t="s">
        <v>90</v>
      </c>
      <c r="F17" s="68">
        <f>_xlfn.XLOOKUP(L2,계약리스트!A:A,계약리스트!K:K)</f>
        <v>300000</v>
      </c>
      <c r="G17" s="49"/>
      <c r="H17" s="10" t="s">
        <v>97</v>
      </c>
      <c r="I17" s="48" t="str">
        <f>_xlfn.XLOOKUP(L2,계약리스트!A:A,계약리스트!S:S)</f>
        <v>월2회(15일,말일)</v>
      </c>
      <c r="J17" s="49"/>
      <c r="K17" s="6"/>
      <c r="L17" s="6"/>
    </row>
    <row r="18" spans="1:12" ht="21.75" customHeight="1">
      <c r="A18" s="6"/>
      <c r="B18" s="10" t="s">
        <v>125</v>
      </c>
      <c r="C18" s="52" t="s">
        <v>111</v>
      </c>
      <c r="D18" s="49"/>
      <c r="E18" s="10" t="s">
        <v>126</v>
      </c>
      <c r="F18" s="64" t="str">
        <f>TEXT(_xlfn.XLOOKUP(L2,계약리스트!A:A,계약리스트!B:B),"yyyy년 mm월 dd일")</f>
        <v>2026년 04월 24일</v>
      </c>
      <c r="G18" s="51"/>
      <c r="H18" s="51"/>
      <c r="I18" s="51"/>
      <c r="J18" s="49"/>
      <c r="K18" s="6"/>
      <c r="L18" s="6"/>
    </row>
    <row r="19" spans="1:12" ht="21.75" customHeight="1">
      <c r="A19" s="6"/>
      <c r="B19" s="10" t="s">
        <v>127</v>
      </c>
      <c r="C19" s="52" t="s">
        <v>128</v>
      </c>
      <c r="D19" s="51"/>
      <c r="E19" s="51"/>
      <c r="F19" s="51"/>
      <c r="G19" s="51"/>
      <c r="H19" s="51"/>
      <c r="I19" s="51"/>
      <c r="J19" s="49"/>
      <c r="K19" s="6"/>
      <c r="L19" s="6"/>
    </row>
    <row r="20" spans="1:12" ht="7.5" customHeight="1">
      <c r="A20" s="6"/>
      <c r="B20" s="6"/>
      <c r="C20" s="6"/>
      <c r="D20" s="6"/>
      <c r="E20" s="7"/>
      <c r="F20" s="6"/>
      <c r="G20" s="6"/>
      <c r="H20" s="6"/>
      <c r="I20" s="6"/>
      <c r="J20" s="6"/>
      <c r="K20" s="6"/>
      <c r="L20" s="6"/>
    </row>
    <row r="21" spans="1:12" ht="25.5" customHeight="1">
      <c r="A21" s="6"/>
      <c r="B21" s="71" t="s">
        <v>129</v>
      </c>
      <c r="C21" s="66"/>
      <c r="D21" s="66"/>
      <c r="E21" s="67"/>
      <c r="F21" s="66"/>
      <c r="G21" s="66"/>
      <c r="H21" s="66"/>
      <c r="I21" s="66"/>
      <c r="J21" s="66"/>
      <c r="K21" s="6"/>
      <c r="L21" s="6"/>
    </row>
    <row r="22" spans="1:12" ht="21.75" customHeight="1">
      <c r="A22" s="6"/>
      <c r="B22" s="10" t="s">
        <v>130</v>
      </c>
      <c r="C22" s="52" t="s">
        <v>115</v>
      </c>
      <c r="D22" s="49"/>
      <c r="E22" s="10" t="s">
        <v>131</v>
      </c>
      <c r="F22" s="48" t="s">
        <v>132</v>
      </c>
      <c r="G22" s="49"/>
      <c r="H22" s="10" t="s">
        <v>133</v>
      </c>
      <c r="I22" s="52" t="s">
        <v>134</v>
      </c>
      <c r="J22" s="49"/>
      <c r="K22" s="6"/>
      <c r="L22" s="6"/>
    </row>
    <row r="23" spans="1:12" ht="21.75" customHeight="1">
      <c r="A23" s="6"/>
      <c r="B23" s="10" t="s">
        <v>93</v>
      </c>
      <c r="C23" s="52" t="s">
        <v>135</v>
      </c>
      <c r="D23" s="51"/>
      <c r="E23" s="51"/>
      <c r="F23" s="49"/>
      <c r="G23" s="10" t="s">
        <v>136</v>
      </c>
      <c r="H23" s="48" t="s">
        <v>137</v>
      </c>
      <c r="I23" s="51"/>
      <c r="J23" s="49"/>
      <c r="K23" s="6"/>
      <c r="L23" s="6"/>
    </row>
    <row r="24" spans="1:12" ht="7.5" customHeight="1">
      <c r="A24" s="6"/>
      <c r="B24" s="6"/>
      <c r="C24" s="6"/>
      <c r="D24" s="6"/>
      <c r="E24" s="7"/>
      <c r="F24" s="6"/>
      <c r="G24" s="6"/>
      <c r="H24" s="6"/>
      <c r="I24" s="6"/>
      <c r="J24" s="6"/>
      <c r="K24" s="6"/>
      <c r="L24" s="6"/>
    </row>
    <row r="25" spans="1:12" ht="25.5" customHeight="1">
      <c r="A25" s="6"/>
      <c r="B25" s="82" t="s">
        <v>138</v>
      </c>
      <c r="C25" s="66"/>
      <c r="D25" s="66"/>
      <c r="E25" s="67"/>
      <c r="F25" s="66"/>
      <c r="G25" s="66"/>
      <c r="H25" s="66"/>
      <c r="I25" s="66"/>
      <c r="J25" s="66"/>
      <c r="K25" s="6"/>
      <c r="L25" s="6"/>
    </row>
    <row r="26" spans="1:12" ht="33.75" customHeight="1">
      <c r="A26" s="6"/>
      <c r="B26" s="59" t="s">
        <v>139</v>
      </c>
      <c r="C26" s="49"/>
      <c r="D26" s="50" t="s">
        <v>421</v>
      </c>
      <c r="E26" s="51"/>
      <c r="F26" s="51"/>
      <c r="G26" s="51"/>
      <c r="H26" s="51"/>
      <c r="I26" s="51"/>
      <c r="J26" s="49"/>
      <c r="K26" s="6"/>
      <c r="L26" s="6"/>
    </row>
    <row r="27" spans="1:12" ht="53.7" customHeight="1">
      <c r="A27" s="6"/>
      <c r="B27" s="59" t="s">
        <v>140</v>
      </c>
      <c r="C27" s="49"/>
      <c r="D27" s="50" t="s">
        <v>422</v>
      </c>
      <c r="E27" s="51"/>
      <c r="F27" s="51"/>
      <c r="G27" s="51"/>
      <c r="H27" s="51"/>
      <c r="I27" s="51"/>
      <c r="J27" s="49"/>
      <c r="K27" s="6"/>
      <c r="L27" s="6"/>
    </row>
    <row r="28" spans="1:12" ht="33.75" customHeight="1">
      <c r="A28" s="6"/>
      <c r="B28" s="59" t="s">
        <v>141</v>
      </c>
      <c r="C28" s="49"/>
      <c r="D28" s="50" t="s">
        <v>423</v>
      </c>
      <c r="E28" s="51"/>
      <c r="F28" s="51"/>
      <c r="G28" s="51"/>
      <c r="H28" s="51"/>
      <c r="I28" s="51"/>
      <c r="J28" s="49"/>
      <c r="K28" s="6"/>
      <c r="L28" s="6"/>
    </row>
    <row r="29" spans="1:12" ht="31.5" customHeight="1">
      <c r="A29" s="6"/>
      <c r="B29" s="76" t="s">
        <v>142</v>
      </c>
      <c r="C29" s="49"/>
      <c r="D29" s="50" t="s">
        <v>424</v>
      </c>
      <c r="E29" s="51"/>
      <c r="F29" s="51"/>
      <c r="G29" s="51"/>
      <c r="H29" s="51"/>
      <c r="I29" s="51"/>
      <c r="J29" s="49"/>
      <c r="K29" s="6"/>
      <c r="L29" s="6"/>
    </row>
    <row r="30" spans="1:12" ht="60.6" customHeight="1">
      <c r="A30" s="6"/>
      <c r="B30" s="59" t="s">
        <v>143</v>
      </c>
      <c r="C30" s="49"/>
      <c r="D30" s="50" t="s">
        <v>425</v>
      </c>
      <c r="E30" s="51"/>
      <c r="F30" s="51"/>
      <c r="G30" s="51"/>
      <c r="H30" s="51"/>
      <c r="I30" s="51"/>
      <c r="J30" s="49"/>
      <c r="K30" s="6"/>
      <c r="L30" s="6"/>
    </row>
    <row r="31" spans="1:12" ht="83.4" customHeight="1">
      <c r="A31" s="6"/>
      <c r="B31" s="59" t="s">
        <v>144</v>
      </c>
      <c r="C31" s="49"/>
      <c r="D31" s="50" t="s">
        <v>426</v>
      </c>
      <c r="E31" s="51"/>
      <c r="F31" s="51"/>
      <c r="G31" s="51"/>
      <c r="H31" s="51"/>
      <c r="I31" s="51"/>
      <c r="J31" s="49"/>
      <c r="K31" s="6"/>
      <c r="L31" s="6"/>
    </row>
    <row r="32" spans="1:12" ht="31.5" customHeight="1">
      <c r="A32" s="6"/>
      <c r="B32" s="78" t="s">
        <v>145</v>
      </c>
      <c r="C32" s="51"/>
      <c r="D32" s="51"/>
      <c r="E32" s="51"/>
      <c r="F32" s="51"/>
      <c r="G32" s="51"/>
      <c r="H32" s="51"/>
      <c r="I32" s="51"/>
      <c r="J32" s="49"/>
      <c r="K32" s="6"/>
      <c r="L32" s="6"/>
    </row>
    <row r="33" spans="1:12" ht="31.5" customHeight="1">
      <c r="A33" s="6"/>
      <c r="B33" s="72" t="s">
        <v>146</v>
      </c>
      <c r="C33" s="51"/>
      <c r="D33" s="51"/>
      <c r="E33" s="51"/>
      <c r="F33" s="51"/>
      <c r="G33" s="51"/>
      <c r="H33" s="51"/>
      <c r="I33" s="51"/>
      <c r="J33" s="49"/>
      <c r="K33" s="6"/>
      <c r="L33" s="6"/>
    </row>
    <row r="34" spans="1:12" ht="31.5" customHeight="1">
      <c r="A34" s="6"/>
      <c r="B34" s="62" t="s">
        <v>147</v>
      </c>
      <c r="C34" s="51"/>
      <c r="D34" s="51"/>
      <c r="E34" s="51"/>
      <c r="F34" s="51"/>
      <c r="G34" s="51"/>
      <c r="H34" s="51"/>
      <c r="I34" s="51"/>
      <c r="J34" s="49"/>
      <c r="K34" s="6"/>
      <c r="L34" s="6"/>
    </row>
    <row r="35" spans="1:12" ht="7.5" customHeight="1">
      <c r="A35" s="6"/>
      <c r="B35" s="6"/>
      <c r="C35" s="6"/>
      <c r="D35" s="6"/>
      <c r="E35" s="7"/>
      <c r="F35" s="6"/>
      <c r="G35" s="6"/>
      <c r="H35" s="6"/>
      <c r="I35" s="6"/>
      <c r="J35" s="6"/>
      <c r="K35" s="6"/>
      <c r="L35" s="6"/>
    </row>
    <row r="36" spans="1:12" ht="25.5" customHeight="1">
      <c r="A36" s="6"/>
      <c r="B36" s="77" t="s">
        <v>148</v>
      </c>
      <c r="C36" s="51"/>
      <c r="D36" s="51"/>
      <c r="E36" s="51"/>
      <c r="F36" s="51"/>
      <c r="G36" s="51"/>
      <c r="H36" s="51"/>
      <c r="I36" s="51"/>
      <c r="J36" s="49"/>
      <c r="K36" s="6"/>
      <c r="L36" s="6"/>
    </row>
    <row r="37" spans="1:12" ht="25.5" customHeight="1">
      <c r="A37" s="6"/>
      <c r="B37" s="61" t="s">
        <v>149</v>
      </c>
      <c r="C37" s="49"/>
      <c r="D37" s="55" t="s">
        <v>150</v>
      </c>
      <c r="E37" s="51"/>
      <c r="F37" s="51"/>
      <c r="G37" s="51"/>
      <c r="H37" s="51"/>
      <c r="I37" s="51"/>
      <c r="J37" s="49"/>
      <c r="K37" s="6"/>
      <c r="L37" s="6"/>
    </row>
    <row r="38" spans="1:12" ht="25.5" customHeight="1">
      <c r="A38" s="6"/>
      <c r="B38" s="61" t="s">
        <v>151</v>
      </c>
      <c r="C38" s="49"/>
      <c r="D38" s="55" t="s">
        <v>152</v>
      </c>
      <c r="E38" s="51"/>
      <c r="F38" s="51"/>
      <c r="G38" s="51"/>
      <c r="H38" s="51"/>
      <c r="I38" s="51"/>
      <c r="J38" s="49"/>
      <c r="K38" s="6"/>
      <c r="L38" s="6"/>
    </row>
    <row r="39" spans="1:12" ht="25.5" customHeight="1">
      <c r="A39" s="6"/>
      <c r="B39" s="61" t="s">
        <v>153</v>
      </c>
      <c r="C39" s="49"/>
      <c r="D39" s="55" t="s">
        <v>154</v>
      </c>
      <c r="E39" s="51"/>
      <c r="F39" s="51"/>
      <c r="G39" s="51"/>
      <c r="H39" s="51"/>
      <c r="I39" s="51"/>
      <c r="J39" s="49"/>
      <c r="K39" s="6"/>
      <c r="L39" s="6"/>
    </row>
    <row r="40" spans="1:12" ht="25.5" customHeight="1">
      <c r="A40" s="6"/>
      <c r="B40" s="61" t="s">
        <v>155</v>
      </c>
      <c r="C40" s="49"/>
      <c r="D40" s="55" t="s">
        <v>156</v>
      </c>
      <c r="E40" s="51"/>
      <c r="F40" s="51"/>
      <c r="G40" s="51"/>
      <c r="H40" s="51"/>
      <c r="I40" s="51"/>
      <c r="J40" s="49"/>
      <c r="K40" s="6"/>
      <c r="L40" s="6"/>
    </row>
    <row r="41" spans="1:12" ht="25.5" customHeight="1">
      <c r="A41" s="6"/>
      <c r="B41" s="61" t="s">
        <v>157</v>
      </c>
      <c r="C41" s="49"/>
      <c r="D41" s="55" t="s">
        <v>158</v>
      </c>
      <c r="E41" s="51"/>
      <c r="F41" s="51"/>
      <c r="G41" s="51"/>
      <c r="H41" s="51"/>
      <c r="I41" s="51"/>
      <c r="J41" s="49"/>
      <c r="K41" s="6"/>
      <c r="L41" s="6"/>
    </row>
    <row r="42" spans="1:12" ht="25.5" customHeight="1">
      <c r="A42" s="6"/>
      <c r="B42" s="61" t="s">
        <v>159</v>
      </c>
      <c r="C42" s="49"/>
      <c r="D42" s="55" t="s">
        <v>160</v>
      </c>
      <c r="E42" s="51"/>
      <c r="F42" s="51"/>
      <c r="G42" s="51"/>
      <c r="H42" s="51"/>
      <c r="I42" s="51"/>
      <c r="J42" s="49"/>
      <c r="K42" s="6"/>
      <c r="L42" s="6"/>
    </row>
    <row r="43" spans="1:12" ht="25.5" customHeight="1">
      <c r="A43" s="6"/>
      <c r="B43" s="80" t="s">
        <v>161</v>
      </c>
      <c r="C43" s="51"/>
      <c r="D43" s="51"/>
      <c r="E43" s="51"/>
      <c r="F43" s="51"/>
      <c r="G43" s="51"/>
      <c r="H43" s="51"/>
      <c r="I43" s="51"/>
      <c r="J43" s="49"/>
      <c r="K43" s="6"/>
      <c r="L43" s="6"/>
    </row>
    <row r="44" spans="1:12" ht="12" customHeight="1">
      <c r="A44" s="6"/>
      <c r="B44" s="6"/>
      <c r="C44" s="6"/>
      <c r="D44" s="6"/>
      <c r="E44" s="7"/>
      <c r="F44" s="6"/>
      <c r="G44" s="6"/>
      <c r="H44" s="6"/>
      <c r="I44" s="6"/>
      <c r="J44" s="6"/>
      <c r="K44" s="6"/>
      <c r="L44" s="6"/>
    </row>
    <row r="45" spans="1:12" ht="25.5" customHeight="1">
      <c r="A45" s="6"/>
      <c r="B45" s="71" t="s">
        <v>162</v>
      </c>
      <c r="C45" s="66"/>
      <c r="D45" s="66"/>
      <c r="E45" s="67"/>
      <c r="F45" s="66"/>
      <c r="G45" s="66"/>
      <c r="H45" s="66"/>
      <c r="I45" s="66"/>
      <c r="J45" s="66"/>
      <c r="K45" s="6"/>
      <c r="L45" s="6"/>
    </row>
    <row r="46" spans="1:12" ht="36" customHeight="1">
      <c r="A46" s="6"/>
      <c r="B46" s="83" t="s">
        <v>163</v>
      </c>
      <c r="C46" s="51"/>
      <c r="D46" s="51"/>
      <c r="E46" s="51"/>
      <c r="F46" s="51"/>
      <c r="G46" s="51"/>
      <c r="H46" s="51"/>
      <c r="I46" s="51"/>
      <c r="J46" s="49"/>
      <c r="K46" s="6"/>
      <c r="L46" s="6"/>
    </row>
    <row r="47" spans="1:12" ht="48" customHeight="1">
      <c r="A47" s="6"/>
      <c r="B47" s="12" t="s">
        <v>164</v>
      </c>
      <c r="C47" s="63" t="str">
        <f>_xlfn.XLOOKUP(L2,계약리스트!A:A,계약리스트!L:L)</f>
        <v>안종식</v>
      </c>
      <c r="D47" s="51"/>
      <c r="E47" s="49"/>
      <c r="F47" s="13" t="s">
        <v>165</v>
      </c>
      <c r="G47" s="10" t="s">
        <v>166</v>
      </c>
      <c r="H47" s="63" t="s">
        <v>167</v>
      </c>
      <c r="I47" s="49"/>
      <c r="J47" s="13" t="s">
        <v>165</v>
      </c>
      <c r="K47" s="6"/>
      <c r="L47" s="6"/>
    </row>
    <row r="48" spans="1:12" ht="15" customHeight="1">
      <c r="A48" s="6"/>
      <c r="B48" s="73" t="s">
        <v>168</v>
      </c>
      <c r="C48" s="74"/>
      <c r="D48" s="74"/>
      <c r="E48" s="74"/>
      <c r="F48" s="74"/>
      <c r="G48" s="74"/>
      <c r="H48" s="74"/>
      <c r="I48" s="74"/>
      <c r="J48" s="57"/>
      <c r="K48" s="6"/>
      <c r="L48" s="6"/>
    </row>
    <row r="49" spans="1:12" ht="15" customHeight="1">
      <c r="A49" s="6"/>
      <c r="B49" s="34" t="s">
        <v>169</v>
      </c>
      <c r="C49" s="56"/>
      <c r="D49" s="57"/>
      <c r="E49" s="34" t="s">
        <v>170</v>
      </c>
      <c r="F49" s="56"/>
      <c r="G49" s="57"/>
      <c r="H49" s="34" t="s">
        <v>171</v>
      </c>
      <c r="I49" s="56"/>
      <c r="J49" s="57"/>
      <c r="K49" s="6"/>
      <c r="L49" s="6"/>
    </row>
    <row r="50" spans="1:12" ht="15" customHeight="1">
      <c r="A50" s="6"/>
      <c r="B50" s="34" t="s">
        <v>172</v>
      </c>
      <c r="C50" s="56"/>
      <c r="D50" s="57"/>
      <c r="E50" s="34" t="s">
        <v>173</v>
      </c>
      <c r="F50" s="56"/>
      <c r="G50" s="57"/>
      <c r="H50" s="34" t="s">
        <v>174</v>
      </c>
      <c r="I50" s="56"/>
      <c r="J50" s="57"/>
      <c r="K50" s="6"/>
      <c r="L50" s="6"/>
    </row>
    <row r="51" spans="1:12" ht="15" customHeight="1">
      <c r="A51" s="6"/>
      <c r="B51" s="75"/>
      <c r="C51" s="66"/>
      <c r="D51" s="66"/>
      <c r="E51" s="67"/>
      <c r="F51" s="66"/>
      <c r="G51" s="66"/>
      <c r="H51" s="66"/>
      <c r="I51" s="66"/>
      <c r="J51" s="66"/>
      <c r="K51" s="6"/>
      <c r="L51" s="6"/>
    </row>
    <row r="52" spans="1:12" ht="15" customHeight="1">
      <c r="A52" s="6"/>
      <c r="B52" s="6"/>
      <c r="C52" s="6"/>
      <c r="D52" s="6"/>
      <c r="E52" s="7"/>
      <c r="F52" s="6"/>
      <c r="G52" s="6"/>
      <c r="H52" s="6"/>
      <c r="I52" s="6"/>
      <c r="J52" s="6"/>
      <c r="K52" s="6"/>
      <c r="L52" s="6"/>
    </row>
    <row r="53" spans="1:12" ht="15" customHeight="1">
      <c r="A53" s="6"/>
      <c r="B53" s="6"/>
      <c r="C53" s="6"/>
      <c r="D53" s="6"/>
      <c r="E53" s="7"/>
      <c r="F53" s="6"/>
      <c r="G53" s="6"/>
      <c r="H53" s="6"/>
      <c r="I53" s="6"/>
      <c r="J53" s="6"/>
      <c r="K53" s="6"/>
      <c r="L53" s="6"/>
    </row>
    <row r="54" spans="1:12" ht="15" customHeight="1">
      <c r="A54" s="6"/>
      <c r="B54" s="6"/>
      <c r="C54" s="6"/>
      <c r="D54" s="6"/>
      <c r="E54" s="7"/>
      <c r="F54" s="6"/>
      <c r="G54" s="6"/>
      <c r="H54" s="6"/>
      <c r="I54" s="6"/>
      <c r="J54" s="6"/>
      <c r="K54" s="6"/>
      <c r="L54" s="6"/>
    </row>
    <row r="55" spans="1:12" ht="15" customHeight="1">
      <c r="A55" s="6"/>
      <c r="B55" s="6"/>
      <c r="C55" s="6"/>
      <c r="D55" s="6"/>
      <c r="E55" s="7"/>
      <c r="F55" s="6"/>
      <c r="G55" s="6"/>
      <c r="H55" s="6"/>
      <c r="I55" s="6"/>
      <c r="J55" s="6"/>
      <c r="K55" s="6"/>
      <c r="L55" s="6"/>
    </row>
    <row r="56" spans="1:12" ht="15" customHeight="1">
      <c r="A56" s="6"/>
      <c r="B56" s="6"/>
      <c r="C56" s="6"/>
      <c r="D56" s="6"/>
      <c r="E56" s="7"/>
      <c r="F56" s="6"/>
      <c r="G56" s="6"/>
      <c r="H56" s="6"/>
      <c r="I56" s="6"/>
      <c r="J56" s="6"/>
      <c r="K56" s="6"/>
      <c r="L56" s="6"/>
    </row>
    <row r="57" spans="1:12" ht="15" customHeight="1">
      <c r="A57" s="6"/>
      <c r="B57" s="6"/>
      <c r="C57" s="6"/>
      <c r="D57" s="6"/>
      <c r="E57" s="7"/>
      <c r="F57" s="6"/>
      <c r="G57" s="6"/>
      <c r="H57" s="6"/>
      <c r="I57" s="6"/>
      <c r="J57" s="6"/>
      <c r="K57" s="6"/>
      <c r="L57" s="6"/>
    </row>
    <row r="58" spans="1:12" ht="15" customHeight="1">
      <c r="A58" s="6"/>
      <c r="B58" s="6"/>
      <c r="C58" s="6"/>
      <c r="D58" s="6"/>
      <c r="E58" s="7"/>
      <c r="F58" s="6"/>
      <c r="G58" s="6"/>
      <c r="H58" s="6"/>
      <c r="I58" s="6"/>
      <c r="J58" s="6"/>
      <c r="K58" s="6"/>
      <c r="L58" s="6"/>
    </row>
    <row r="59" spans="1:12" ht="15" customHeight="1">
      <c r="A59" s="6"/>
      <c r="B59" s="6"/>
      <c r="C59" s="6"/>
      <c r="D59" s="6"/>
      <c r="E59" s="7"/>
      <c r="F59" s="6"/>
      <c r="G59" s="6"/>
      <c r="H59" s="6"/>
      <c r="I59" s="6"/>
      <c r="J59" s="6"/>
      <c r="K59" s="6"/>
      <c r="L59" s="6"/>
    </row>
    <row r="60" spans="1:12" ht="15" customHeight="1">
      <c r="A60" s="6"/>
      <c r="B60" s="6"/>
      <c r="C60" s="6"/>
      <c r="D60" s="6"/>
      <c r="E60" s="7"/>
      <c r="F60" s="6"/>
      <c r="G60" s="6"/>
      <c r="H60" s="6"/>
      <c r="I60" s="6"/>
      <c r="J60" s="6"/>
      <c r="K60" s="6"/>
      <c r="L60" s="6"/>
    </row>
    <row r="61" spans="1:12" ht="15" customHeight="1">
      <c r="A61" s="6"/>
      <c r="B61" s="6"/>
      <c r="C61" s="6"/>
      <c r="D61" s="6"/>
      <c r="E61" s="7"/>
      <c r="F61" s="6"/>
      <c r="G61" s="6"/>
      <c r="H61" s="6"/>
      <c r="I61" s="6"/>
      <c r="J61" s="6"/>
      <c r="K61" s="6"/>
      <c r="L61" s="6"/>
    </row>
    <row r="62" spans="1:12" ht="15" customHeight="1">
      <c r="A62" s="6"/>
      <c r="B62" s="6"/>
      <c r="C62" s="6"/>
      <c r="D62" s="6"/>
      <c r="E62" s="7"/>
      <c r="F62" s="6"/>
      <c r="G62" s="6"/>
      <c r="H62" s="6"/>
      <c r="I62" s="6"/>
      <c r="J62" s="6"/>
      <c r="K62" s="6"/>
      <c r="L62" s="6"/>
    </row>
    <row r="63" spans="1:12" ht="15" customHeight="1">
      <c r="A63" s="6"/>
      <c r="B63" s="6"/>
      <c r="C63" s="6"/>
      <c r="D63" s="6"/>
      <c r="E63" s="7"/>
      <c r="F63" s="6"/>
      <c r="G63" s="6"/>
      <c r="H63" s="6"/>
      <c r="I63" s="6"/>
      <c r="J63" s="6"/>
      <c r="K63" s="6"/>
      <c r="L63" s="6"/>
    </row>
    <row r="64" spans="1:12" ht="15" customHeight="1">
      <c r="A64" s="6"/>
      <c r="B64" s="6"/>
      <c r="C64" s="6"/>
      <c r="D64" s="6"/>
      <c r="E64" s="7"/>
      <c r="F64" s="6"/>
      <c r="G64" s="6"/>
      <c r="H64" s="6"/>
      <c r="I64" s="6"/>
      <c r="J64" s="6"/>
      <c r="K64" s="6"/>
      <c r="L64" s="6"/>
    </row>
    <row r="65" spans="1:12" ht="15" customHeight="1">
      <c r="A65" s="6"/>
      <c r="B65" s="6"/>
      <c r="C65" s="6"/>
      <c r="D65" s="6"/>
      <c r="E65" s="7"/>
      <c r="F65" s="6"/>
      <c r="G65" s="6"/>
      <c r="H65" s="6"/>
      <c r="I65" s="6"/>
      <c r="J65" s="6"/>
      <c r="K65" s="6"/>
      <c r="L65" s="6"/>
    </row>
    <row r="66" spans="1:12" ht="15" customHeight="1">
      <c r="A66" s="6"/>
      <c r="B66" s="6"/>
      <c r="C66" s="6"/>
      <c r="D66" s="6"/>
      <c r="E66" s="7"/>
      <c r="F66" s="6"/>
      <c r="G66" s="6"/>
      <c r="H66" s="6"/>
      <c r="I66" s="6"/>
      <c r="J66" s="6"/>
      <c r="K66" s="6"/>
      <c r="L66" s="6"/>
    </row>
    <row r="67" spans="1:12" ht="15" customHeight="1">
      <c r="A67" s="6"/>
      <c r="B67" s="6"/>
      <c r="C67" s="6"/>
      <c r="D67" s="6"/>
      <c r="E67" s="7"/>
      <c r="F67" s="6"/>
      <c r="G67" s="6"/>
      <c r="H67" s="6"/>
      <c r="I67" s="6"/>
      <c r="J67" s="6"/>
      <c r="K67" s="6"/>
      <c r="L67" s="6"/>
    </row>
    <row r="68" spans="1:12" ht="15" customHeight="1">
      <c r="A68" s="6"/>
      <c r="B68" s="6"/>
      <c r="C68" s="6"/>
      <c r="D68" s="6"/>
      <c r="E68" s="7"/>
      <c r="F68" s="6"/>
      <c r="G68" s="6"/>
      <c r="H68" s="6"/>
      <c r="I68" s="6"/>
      <c r="J68" s="6"/>
      <c r="K68" s="6"/>
      <c r="L68" s="6"/>
    </row>
    <row r="69" spans="1:12" ht="15" customHeight="1">
      <c r="A69" s="6"/>
      <c r="B69" s="6"/>
      <c r="C69" s="6"/>
      <c r="D69" s="6"/>
      <c r="E69" s="7"/>
      <c r="F69" s="6"/>
      <c r="G69" s="6"/>
      <c r="H69" s="6"/>
      <c r="I69" s="6"/>
      <c r="J69" s="6"/>
      <c r="K69" s="6"/>
      <c r="L69" s="6"/>
    </row>
    <row r="70" spans="1:12" ht="15" customHeight="1">
      <c r="A70" s="6"/>
      <c r="B70" s="6"/>
      <c r="C70" s="6"/>
      <c r="D70" s="6"/>
      <c r="E70" s="7"/>
      <c r="F70" s="6"/>
      <c r="G70" s="6"/>
      <c r="H70" s="6"/>
      <c r="I70" s="6"/>
      <c r="J70" s="6"/>
      <c r="K70" s="6"/>
      <c r="L70" s="6"/>
    </row>
    <row r="71" spans="1:12" ht="15" customHeight="1">
      <c r="A71" s="6"/>
      <c r="B71" s="6"/>
      <c r="C71" s="6"/>
      <c r="D71" s="6"/>
      <c r="E71" s="7"/>
      <c r="F71" s="6"/>
      <c r="G71" s="6"/>
      <c r="H71" s="6"/>
      <c r="I71" s="6"/>
      <c r="J71" s="6"/>
      <c r="K71" s="6"/>
      <c r="L71" s="6"/>
    </row>
    <row r="72" spans="1:12" ht="15" customHeight="1">
      <c r="A72" s="6"/>
      <c r="B72" s="6"/>
      <c r="C72" s="6"/>
      <c r="D72" s="6"/>
      <c r="E72" s="7"/>
      <c r="F72" s="6"/>
      <c r="G72" s="6"/>
      <c r="H72" s="6"/>
      <c r="I72" s="6"/>
      <c r="J72" s="6"/>
      <c r="K72" s="6"/>
      <c r="L72" s="6"/>
    </row>
    <row r="73" spans="1:12" ht="15" customHeight="1">
      <c r="A73" s="6"/>
      <c r="B73" s="6"/>
      <c r="C73" s="6"/>
      <c r="D73" s="6"/>
      <c r="E73" s="7"/>
      <c r="F73" s="6"/>
      <c r="G73" s="6"/>
      <c r="H73" s="6"/>
      <c r="I73" s="6"/>
      <c r="J73" s="6"/>
      <c r="K73" s="6"/>
      <c r="L73" s="6"/>
    </row>
    <row r="74" spans="1:12" ht="15" customHeight="1">
      <c r="A74" s="6"/>
      <c r="B74" s="6"/>
      <c r="C74" s="6"/>
      <c r="D74" s="6"/>
      <c r="E74" s="7"/>
      <c r="F74" s="6"/>
      <c r="G74" s="6"/>
      <c r="H74" s="6"/>
      <c r="I74" s="6"/>
      <c r="J74" s="6"/>
      <c r="K74" s="6"/>
      <c r="L74" s="6"/>
    </row>
    <row r="75" spans="1:12" ht="15" customHeight="1">
      <c r="A75" s="6"/>
      <c r="B75" s="6"/>
      <c r="C75" s="6"/>
      <c r="D75" s="6"/>
      <c r="E75" s="7"/>
      <c r="F75" s="6"/>
      <c r="G75" s="6"/>
      <c r="H75" s="6"/>
      <c r="I75" s="6"/>
      <c r="J75" s="6"/>
      <c r="K75" s="6"/>
      <c r="L75" s="6"/>
    </row>
    <row r="76" spans="1:12" ht="15" customHeight="1">
      <c r="A76" s="6"/>
      <c r="B76" s="6"/>
      <c r="C76" s="6"/>
      <c r="D76" s="6"/>
      <c r="E76" s="7"/>
      <c r="F76" s="6"/>
      <c r="G76" s="6"/>
      <c r="H76" s="6"/>
      <c r="I76" s="6"/>
      <c r="J76" s="6"/>
      <c r="K76" s="6"/>
      <c r="L76" s="6"/>
    </row>
    <row r="77" spans="1:12" ht="15" customHeight="1">
      <c r="A77" s="6"/>
      <c r="B77" s="6"/>
      <c r="C77" s="6"/>
      <c r="D77" s="6"/>
      <c r="E77" s="7"/>
      <c r="F77" s="6"/>
      <c r="G77" s="6"/>
      <c r="H77" s="6"/>
      <c r="I77" s="6"/>
      <c r="J77" s="6"/>
      <c r="K77" s="6"/>
      <c r="L77" s="6"/>
    </row>
    <row r="78" spans="1:12" ht="15" customHeight="1">
      <c r="A78" s="6"/>
      <c r="B78" s="6"/>
      <c r="C78" s="6"/>
      <c r="D78" s="6"/>
      <c r="E78" s="7"/>
      <c r="F78" s="6"/>
      <c r="G78" s="6"/>
      <c r="H78" s="6"/>
      <c r="I78" s="6"/>
      <c r="J78" s="6"/>
      <c r="K78" s="6"/>
      <c r="L78" s="6"/>
    </row>
    <row r="79" spans="1:12" ht="15" customHeight="1">
      <c r="A79" s="6"/>
      <c r="B79" s="6"/>
      <c r="C79" s="6"/>
      <c r="D79" s="6"/>
      <c r="E79" s="7"/>
      <c r="F79" s="6"/>
      <c r="G79" s="6"/>
      <c r="H79" s="6"/>
      <c r="I79" s="6"/>
      <c r="J79" s="6"/>
      <c r="K79" s="6"/>
      <c r="L79" s="6"/>
    </row>
    <row r="80" spans="1:12" ht="15" customHeight="1">
      <c r="A80" s="6"/>
      <c r="B80" s="6"/>
      <c r="C80" s="6"/>
      <c r="D80" s="6"/>
      <c r="E80" s="7"/>
      <c r="F80" s="6"/>
      <c r="G80" s="6"/>
      <c r="H80" s="6"/>
      <c r="I80" s="6"/>
      <c r="J80" s="6"/>
      <c r="K80" s="6"/>
      <c r="L80" s="6"/>
    </row>
    <row r="81" spans="1:12" ht="15" customHeight="1">
      <c r="A81" s="6"/>
      <c r="B81" s="6"/>
      <c r="C81" s="6"/>
      <c r="D81" s="6"/>
      <c r="E81" s="7"/>
      <c r="F81" s="6"/>
      <c r="G81" s="6"/>
      <c r="H81" s="6"/>
      <c r="I81" s="6"/>
      <c r="J81" s="6"/>
      <c r="K81" s="6"/>
      <c r="L81" s="6"/>
    </row>
    <row r="82" spans="1:12" ht="15" customHeight="1">
      <c r="A82" s="6"/>
      <c r="B82" s="6"/>
      <c r="C82" s="6"/>
      <c r="D82" s="6"/>
      <c r="E82" s="7"/>
      <c r="F82" s="6"/>
      <c r="G82" s="6"/>
      <c r="H82" s="6"/>
      <c r="I82" s="6"/>
      <c r="J82" s="6"/>
      <c r="K82" s="6"/>
      <c r="L82" s="6"/>
    </row>
    <row r="83" spans="1:12" ht="15" customHeight="1">
      <c r="A83" s="6"/>
      <c r="B83" s="6"/>
      <c r="C83" s="6"/>
      <c r="D83" s="6"/>
      <c r="E83" s="7"/>
      <c r="F83" s="6"/>
      <c r="G83" s="6"/>
      <c r="H83" s="6"/>
      <c r="I83" s="6"/>
      <c r="J83" s="6"/>
      <c r="K83" s="6"/>
      <c r="L83" s="6"/>
    </row>
    <row r="84" spans="1:12" ht="15" customHeight="1">
      <c r="A84" s="6"/>
      <c r="B84" s="6"/>
      <c r="C84" s="6"/>
      <c r="D84" s="6"/>
      <c r="E84" s="7"/>
      <c r="F84" s="6"/>
      <c r="G84" s="6"/>
      <c r="H84" s="6"/>
      <c r="I84" s="6"/>
      <c r="J84" s="6"/>
      <c r="K84" s="6"/>
      <c r="L84" s="6"/>
    </row>
    <row r="85" spans="1:12" ht="15" customHeight="1">
      <c r="A85" s="6"/>
      <c r="B85" s="6"/>
      <c r="C85" s="6"/>
      <c r="D85" s="6"/>
      <c r="E85" s="7"/>
      <c r="F85" s="6"/>
      <c r="G85" s="6"/>
      <c r="H85" s="6"/>
      <c r="I85" s="6"/>
      <c r="J85" s="6"/>
      <c r="K85" s="6"/>
      <c r="L85" s="6"/>
    </row>
    <row r="86" spans="1:12" ht="15" customHeight="1">
      <c r="A86" s="6"/>
      <c r="B86" s="6"/>
      <c r="C86" s="6"/>
      <c r="D86" s="6"/>
      <c r="E86" s="7"/>
      <c r="F86" s="6"/>
      <c r="G86" s="6"/>
      <c r="H86" s="6"/>
      <c r="I86" s="6"/>
      <c r="J86" s="6"/>
      <c r="K86" s="6"/>
      <c r="L86" s="6"/>
    </row>
    <row r="87" spans="1:12" ht="15" customHeight="1">
      <c r="A87" s="6"/>
      <c r="B87" s="6"/>
      <c r="C87" s="6"/>
      <c r="D87" s="6"/>
      <c r="E87" s="7"/>
      <c r="F87" s="6"/>
      <c r="G87" s="6"/>
      <c r="H87" s="6"/>
      <c r="I87" s="6"/>
      <c r="J87" s="6"/>
      <c r="K87" s="6"/>
      <c r="L87" s="6"/>
    </row>
    <row r="88" spans="1:12" ht="15" customHeight="1">
      <c r="A88" s="6"/>
      <c r="B88" s="6"/>
      <c r="C88" s="6"/>
      <c r="D88" s="6"/>
      <c r="E88" s="7"/>
      <c r="F88" s="6"/>
      <c r="G88" s="6"/>
      <c r="H88" s="6"/>
      <c r="I88" s="6"/>
      <c r="J88" s="6"/>
      <c r="K88" s="6"/>
      <c r="L88" s="6"/>
    </row>
    <row r="89" spans="1:12" ht="15" customHeight="1">
      <c r="A89" s="6"/>
      <c r="B89" s="6"/>
      <c r="C89" s="6"/>
      <c r="D89" s="6"/>
      <c r="E89" s="7"/>
      <c r="F89" s="6"/>
      <c r="G89" s="6"/>
      <c r="H89" s="6"/>
      <c r="I89" s="6"/>
      <c r="J89" s="6"/>
      <c r="K89" s="6"/>
      <c r="L89" s="6"/>
    </row>
    <row r="90" spans="1:12" ht="15" customHeight="1">
      <c r="A90" s="6"/>
      <c r="B90" s="6"/>
      <c r="C90" s="6"/>
      <c r="D90" s="6"/>
      <c r="E90" s="7"/>
      <c r="F90" s="6"/>
      <c r="G90" s="6"/>
      <c r="H90" s="6"/>
      <c r="I90" s="6"/>
      <c r="J90" s="6"/>
      <c r="K90" s="6"/>
      <c r="L90" s="6"/>
    </row>
    <row r="91" spans="1:12" ht="15" customHeight="1">
      <c r="A91" s="6"/>
      <c r="B91" s="6"/>
      <c r="C91" s="6"/>
      <c r="D91" s="6"/>
      <c r="E91" s="7"/>
      <c r="F91" s="6"/>
      <c r="G91" s="6"/>
      <c r="H91" s="6"/>
      <c r="I91" s="6"/>
      <c r="J91" s="6"/>
      <c r="K91" s="6"/>
      <c r="L91" s="6"/>
    </row>
    <row r="92" spans="1:12" ht="15" customHeight="1">
      <c r="A92" s="6"/>
      <c r="B92" s="6"/>
      <c r="C92" s="6"/>
      <c r="D92" s="6"/>
      <c r="E92" s="7"/>
      <c r="F92" s="6"/>
      <c r="G92" s="6"/>
      <c r="H92" s="6"/>
      <c r="I92" s="6"/>
      <c r="J92" s="6"/>
      <c r="K92" s="6"/>
      <c r="L92" s="6"/>
    </row>
    <row r="93" spans="1:12" ht="15" customHeight="1">
      <c r="A93" s="6"/>
      <c r="B93" s="6"/>
      <c r="C93" s="6"/>
      <c r="D93" s="6"/>
      <c r="E93" s="7"/>
      <c r="F93" s="6"/>
      <c r="G93" s="6"/>
      <c r="H93" s="6"/>
      <c r="I93" s="6"/>
      <c r="J93" s="6"/>
      <c r="K93" s="6"/>
      <c r="L93" s="6"/>
    </row>
    <row r="94" spans="1:12" ht="15" customHeight="1">
      <c r="A94" s="6"/>
      <c r="B94" s="6"/>
      <c r="C94" s="6"/>
      <c r="D94" s="6"/>
      <c r="E94" s="7"/>
      <c r="F94" s="6"/>
      <c r="G94" s="6"/>
      <c r="H94" s="6"/>
      <c r="I94" s="6"/>
      <c r="J94" s="6"/>
      <c r="K94" s="6"/>
      <c r="L94" s="6"/>
    </row>
    <row r="95" spans="1:12" ht="15" customHeight="1">
      <c r="A95" s="6"/>
      <c r="B95" s="6"/>
      <c r="C95" s="6"/>
      <c r="D95" s="6"/>
      <c r="E95" s="7"/>
      <c r="F95" s="6"/>
      <c r="G95" s="6"/>
      <c r="H95" s="6"/>
      <c r="I95" s="6"/>
      <c r="J95" s="6"/>
      <c r="K95" s="6"/>
      <c r="L95" s="6"/>
    </row>
    <row r="96" spans="1:12" ht="15" customHeight="1">
      <c r="A96" s="6"/>
      <c r="B96" s="6"/>
      <c r="C96" s="6"/>
      <c r="D96" s="6"/>
      <c r="E96" s="7"/>
      <c r="F96" s="6"/>
      <c r="G96" s="6"/>
      <c r="H96" s="6"/>
      <c r="I96" s="6"/>
      <c r="J96" s="6"/>
      <c r="K96" s="6"/>
      <c r="L96" s="6"/>
    </row>
    <row r="97" spans="1:12" ht="15" customHeight="1">
      <c r="A97" s="6"/>
      <c r="B97" s="6"/>
      <c r="C97" s="6"/>
      <c r="D97" s="6"/>
      <c r="E97" s="7"/>
      <c r="F97" s="6"/>
      <c r="G97" s="6"/>
      <c r="H97" s="6"/>
      <c r="I97" s="6"/>
      <c r="J97" s="6"/>
      <c r="K97" s="6"/>
      <c r="L97" s="6"/>
    </row>
    <row r="98" spans="1:12" ht="15" customHeight="1">
      <c r="A98" s="6"/>
      <c r="B98" s="6"/>
      <c r="C98" s="6"/>
      <c r="D98" s="6"/>
      <c r="E98" s="7"/>
      <c r="F98" s="6"/>
      <c r="G98" s="6"/>
      <c r="H98" s="6"/>
      <c r="I98" s="6"/>
      <c r="J98" s="6"/>
      <c r="K98" s="6"/>
      <c r="L98" s="6"/>
    </row>
    <row r="99" spans="1:12" ht="15" customHeight="1">
      <c r="A99" s="6"/>
      <c r="B99" s="6"/>
      <c r="C99" s="6"/>
      <c r="D99" s="6"/>
      <c r="E99" s="7"/>
      <c r="F99" s="6"/>
      <c r="G99" s="6"/>
      <c r="H99" s="6"/>
      <c r="I99" s="6"/>
      <c r="J99" s="6"/>
      <c r="K99" s="6"/>
      <c r="L99" s="6"/>
    </row>
    <row r="100" spans="1:12" ht="15" customHeight="1">
      <c r="A100" s="6"/>
      <c r="B100" s="6"/>
      <c r="C100" s="6"/>
      <c r="D100" s="6"/>
      <c r="E100" s="7"/>
      <c r="F100" s="6"/>
      <c r="G100" s="6"/>
      <c r="H100" s="6"/>
      <c r="I100" s="6"/>
      <c r="J100" s="6"/>
      <c r="K100" s="6"/>
      <c r="L100" s="6"/>
    </row>
    <row r="101" spans="1:12" ht="15" customHeight="1">
      <c r="A101" s="6"/>
      <c r="B101" s="6"/>
      <c r="C101" s="6"/>
      <c r="D101" s="6"/>
      <c r="E101" s="7"/>
      <c r="F101" s="6"/>
      <c r="G101" s="6"/>
      <c r="H101" s="6"/>
      <c r="I101" s="6"/>
      <c r="J101" s="6"/>
      <c r="K101" s="6"/>
      <c r="L101" s="6"/>
    </row>
    <row r="102" spans="1:12" ht="15" customHeight="1">
      <c r="A102" s="6"/>
      <c r="B102" s="6"/>
      <c r="C102" s="6"/>
      <c r="D102" s="6"/>
      <c r="E102" s="7"/>
      <c r="F102" s="6"/>
      <c r="G102" s="6"/>
      <c r="H102" s="6"/>
      <c r="I102" s="6"/>
      <c r="J102" s="6"/>
      <c r="K102" s="6"/>
      <c r="L102" s="6"/>
    </row>
    <row r="103" spans="1:12" ht="15" customHeight="1">
      <c r="A103" s="6"/>
      <c r="B103" s="6"/>
      <c r="C103" s="6"/>
      <c r="D103" s="6"/>
      <c r="E103" s="7"/>
      <c r="F103" s="6"/>
      <c r="G103" s="6"/>
      <c r="H103" s="6"/>
      <c r="I103" s="6"/>
      <c r="J103" s="6"/>
      <c r="K103" s="6"/>
      <c r="L103" s="6"/>
    </row>
  </sheetData>
  <mergeCells count="76">
    <mergeCell ref="B2:J2"/>
    <mergeCell ref="C47:E47"/>
    <mergeCell ref="I50:J50"/>
    <mergeCell ref="C18:D18"/>
    <mergeCell ref="B43:J43"/>
    <mergeCell ref="F3:H3"/>
    <mergeCell ref="C19:J19"/>
    <mergeCell ref="B21:J21"/>
    <mergeCell ref="C49:D49"/>
    <mergeCell ref="B25:J25"/>
    <mergeCell ref="B30:C30"/>
    <mergeCell ref="C7:D7"/>
    <mergeCell ref="D41:J41"/>
    <mergeCell ref="B26:C26"/>
    <mergeCell ref="B46:J46"/>
    <mergeCell ref="F49:G49"/>
    <mergeCell ref="B51:J51"/>
    <mergeCell ref="B5:J5"/>
    <mergeCell ref="B29:C29"/>
    <mergeCell ref="D40:J40"/>
    <mergeCell ref="B45:J45"/>
    <mergeCell ref="D37:J37"/>
    <mergeCell ref="C11:D11"/>
    <mergeCell ref="B36:J36"/>
    <mergeCell ref="H23:J23"/>
    <mergeCell ref="B32:J32"/>
    <mergeCell ref="B28:C28"/>
    <mergeCell ref="B37:C37"/>
    <mergeCell ref="B41:C41"/>
    <mergeCell ref="F22:G22"/>
    <mergeCell ref="B40:C40"/>
    <mergeCell ref="B42:C42"/>
    <mergeCell ref="C50:D50"/>
    <mergeCell ref="F18:J18"/>
    <mergeCell ref="B3:E3"/>
    <mergeCell ref="C22:D22"/>
    <mergeCell ref="I22:J22"/>
    <mergeCell ref="F50:G50"/>
    <mergeCell ref="F17:G17"/>
    <mergeCell ref="I3:J3"/>
    <mergeCell ref="B15:J15"/>
    <mergeCell ref="D31:J31"/>
    <mergeCell ref="B33:J33"/>
    <mergeCell ref="C12:J12"/>
    <mergeCell ref="B38:C38"/>
    <mergeCell ref="C17:D17"/>
    <mergeCell ref="B48:J48"/>
    <mergeCell ref="D39:J39"/>
    <mergeCell ref="I11:J11"/>
    <mergeCell ref="I49:J49"/>
    <mergeCell ref="F6:G6"/>
    <mergeCell ref="B8:J8"/>
    <mergeCell ref="D30:J30"/>
    <mergeCell ref="B31:C31"/>
    <mergeCell ref="D42:J42"/>
    <mergeCell ref="B27:C27"/>
    <mergeCell ref="B13:J13"/>
    <mergeCell ref="D29:J29"/>
    <mergeCell ref="F7:G7"/>
    <mergeCell ref="D38:J38"/>
    <mergeCell ref="B39:C39"/>
    <mergeCell ref="B34:J34"/>
    <mergeCell ref="H47:I47"/>
    <mergeCell ref="C16:D16"/>
    <mergeCell ref="D28:J28"/>
    <mergeCell ref="F11:G11"/>
    <mergeCell ref="C6:D6"/>
    <mergeCell ref="I6:J6"/>
    <mergeCell ref="C23:F23"/>
    <mergeCell ref="F16:G16"/>
    <mergeCell ref="B10:J10"/>
    <mergeCell ref="I16:J16"/>
    <mergeCell ref="D26:J26"/>
    <mergeCell ref="I7:J7"/>
    <mergeCell ref="D27:J27"/>
    <mergeCell ref="I17:J17"/>
  </mergeCells>
  <phoneticPr fontId="51" type="noConversion"/>
  <printOptions horizontalCentered="1"/>
  <pageMargins left="0.3" right="0.3" top="0.4" bottom="0.4" header="0.511811023622047" footer="0.511811023622047"/>
  <pageSetup paperSize="9" scale="60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28"/>
  <sheetViews>
    <sheetView showGridLines="0" view="pageBreakPreview" topLeftCell="A22" zoomScale="115" zoomScaleNormal="115" zoomScalePageLayoutView="115" workbookViewId="0">
      <selection activeCell="D25" sqref="D25"/>
    </sheetView>
  </sheetViews>
  <sheetFormatPr defaultColWidth="8.6640625" defaultRowHeight="14.4"/>
  <cols>
    <col min="1" max="1" width="2" customWidth="1"/>
    <col min="2" max="2" width="70.44140625" customWidth="1"/>
    <col min="3" max="3" width="1.5546875" customWidth="1"/>
    <col min="4" max="4" width="70.44140625" customWidth="1"/>
    <col min="5" max="5" width="2" customWidth="1"/>
  </cols>
  <sheetData>
    <row r="1" spans="2:4" ht="31.5" customHeight="1">
      <c r="B1" s="84" t="s">
        <v>0</v>
      </c>
      <c r="C1" s="66"/>
      <c r="D1" s="66"/>
    </row>
    <row r="3" spans="2:4" ht="14.25" customHeight="1">
      <c r="B3" s="14" t="s">
        <v>1</v>
      </c>
      <c r="D3" s="14" t="s">
        <v>2</v>
      </c>
    </row>
    <row r="4" spans="2:4" ht="13.8" customHeight="1">
      <c r="B4" s="43" t="s">
        <v>3</v>
      </c>
      <c r="D4" s="45" t="s">
        <v>4</v>
      </c>
    </row>
    <row r="5" spans="2:4" ht="13.8" customHeight="1">
      <c r="B5" s="37" t="s">
        <v>5</v>
      </c>
      <c r="D5" s="45" t="s">
        <v>6</v>
      </c>
    </row>
    <row r="6" spans="2:4" ht="13.8" customHeight="1">
      <c r="B6" s="16"/>
      <c r="D6" s="45" t="s">
        <v>7</v>
      </c>
    </row>
    <row r="7" spans="2:4" ht="13.8" customHeight="1">
      <c r="B7" s="14" t="s">
        <v>8</v>
      </c>
      <c r="D7" s="45" t="s">
        <v>9</v>
      </c>
    </row>
    <row r="8" spans="2:4" ht="13.8" customHeight="1">
      <c r="B8" s="17" t="s">
        <v>248</v>
      </c>
      <c r="D8" s="45" t="s">
        <v>10</v>
      </c>
    </row>
    <row r="9" spans="2:4" ht="13.8" customHeight="1">
      <c r="B9" s="37" t="s">
        <v>249</v>
      </c>
      <c r="D9" s="45" t="s">
        <v>11</v>
      </c>
    </row>
    <row r="10" spans="2:4" ht="13.8" customHeight="1">
      <c r="B10" s="17" t="s">
        <v>250</v>
      </c>
      <c r="D10" s="45" t="s">
        <v>12</v>
      </c>
    </row>
    <row r="11" spans="2:4" ht="13.8" customHeight="1">
      <c r="B11" s="17" t="s">
        <v>251</v>
      </c>
      <c r="D11" s="45" t="s">
        <v>13</v>
      </c>
    </row>
    <row r="12" spans="2:4" ht="13.8" customHeight="1">
      <c r="B12" s="17" t="s">
        <v>252</v>
      </c>
      <c r="D12" s="45" t="s">
        <v>14</v>
      </c>
    </row>
    <row r="13" spans="2:4" ht="13.8" customHeight="1">
      <c r="B13" s="37" t="s">
        <v>253</v>
      </c>
    </row>
    <row r="14" spans="2:4" ht="13.8" customHeight="1">
      <c r="B14" s="17" t="s">
        <v>254</v>
      </c>
      <c r="D14" s="15" t="s">
        <v>15</v>
      </c>
    </row>
    <row r="15" spans="2:4" ht="13.8" customHeight="1">
      <c r="B15" s="37" t="s">
        <v>255</v>
      </c>
      <c r="D15" s="36" t="s">
        <v>296</v>
      </c>
    </row>
    <row r="16" spans="2:4" ht="13.8" customHeight="1">
      <c r="B16" s="35" t="s">
        <v>256</v>
      </c>
      <c r="D16" s="43" t="s">
        <v>297</v>
      </c>
    </row>
    <row r="17" spans="2:4" ht="13.8" customHeight="1">
      <c r="B17" s="35" t="s">
        <v>257</v>
      </c>
      <c r="D17" s="37" t="s">
        <v>298</v>
      </c>
    </row>
    <row r="18" spans="2:4" ht="13.8" customHeight="1">
      <c r="B18" s="16" t="s">
        <v>258</v>
      </c>
      <c r="D18" s="36" t="s">
        <v>299</v>
      </c>
    </row>
    <row r="19" spans="2:4" ht="13.8" customHeight="1">
      <c r="B19" s="35" t="s">
        <v>259</v>
      </c>
      <c r="D19" s="36" t="s">
        <v>300</v>
      </c>
    </row>
    <row r="20" spans="2:4" ht="13.8" customHeight="1">
      <c r="B20" s="35" t="s">
        <v>260</v>
      </c>
      <c r="D20" s="37" t="s">
        <v>301</v>
      </c>
    </row>
    <row r="21" spans="2:4" ht="13.8" customHeight="1">
      <c r="B21" s="37" t="s">
        <v>261</v>
      </c>
      <c r="D21" s="36" t="s">
        <v>302</v>
      </c>
    </row>
    <row r="22" spans="2:4" ht="13.8" customHeight="1">
      <c r="B22" s="44" t="s">
        <v>262</v>
      </c>
      <c r="D22" s="37" t="s">
        <v>303</v>
      </c>
    </row>
    <row r="23" spans="2:4" ht="13.8" customHeight="1">
      <c r="B23" s="35" t="s">
        <v>263</v>
      </c>
      <c r="D23" s="36" t="s">
        <v>304</v>
      </c>
    </row>
    <row r="24" spans="2:4" ht="13.8" customHeight="1">
      <c r="B24" s="37" t="s">
        <v>16</v>
      </c>
    </row>
    <row r="25" spans="2:4" ht="13.8" customHeight="1">
      <c r="B25" s="35" t="s">
        <v>264</v>
      </c>
      <c r="D25" s="15" t="s">
        <v>17</v>
      </c>
    </row>
    <row r="26" spans="2:4" ht="13.8" customHeight="1">
      <c r="B26" s="44" t="s">
        <v>265</v>
      </c>
      <c r="D26" s="47" t="s">
        <v>305</v>
      </c>
    </row>
    <row r="27" spans="2:4" ht="13.8" customHeight="1">
      <c r="B27" s="37" t="s">
        <v>266</v>
      </c>
      <c r="D27" s="43" t="s">
        <v>306</v>
      </c>
    </row>
    <row r="28" spans="2:4" ht="13.8" customHeight="1">
      <c r="B28" s="35" t="s">
        <v>267</v>
      </c>
      <c r="D28" s="43" t="s">
        <v>307</v>
      </c>
    </row>
    <row r="29" spans="2:4" ht="13.8" customHeight="1">
      <c r="B29" s="37" t="s">
        <v>268</v>
      </c>
      <c r="D29" s="47" t="s">
        <v>308</v>
      </c>
    </row>
    <row r="30" spans="2:4" ht="13.8" customHeight="1">
      <c r="D30" s="39" t="s">
        <v>309</v>
      </c>
    </row>
    <row r="31" spans="2:4" ht="13.8" customHeight="1">
      <c r="B31" s="38" t="s">
        <v>269</v>
      </c>
      <c r="D31" s="39" t="s">
        <v>310</v>
      </c>
    </row>
    <row r="32" spans="2:4" ht="13.8" customHeight="1">
      <c r="B32" s="36" t="s">
        <v>270</v>
      </c>
      <c r="D32" s="47" t="s">
        <v>311</v>
      </c>
    </row>
    <row r="33" spans="2:4" ht="13.8" customHeight="1">
      <c r="B33" s="43" t="s">
        <v>271</v>
      </c>
      <c r="D33" s="39" t="s">
        <v>18</v>
      </c>
    </row>
    <row r="34" spans="2:4" ht="13.8" customHeight="1">
      <c r="B34" s="36" t="s">
        <v>272</v>
      </c>
    </row>
    <row r="35" spans="2:4" ht="13.8" customHeight="1">
      <c r="B35" s="37" t="s">
        <v>273</v>
      </c>
      <c r="D35" s="38" t="s">
        <v>312</v>
      </c>
    </row>
    <row r="36" spans="2:4" ht="13.8" customHeight="1">
      <c r="D36" s="47" t="s">
        <v>313</v>
      </c>
    </row>
    <row r="37" spans="2:4" ht="13.8" customHeight="1">
      <c r="B37" s="38" t="s">
        <v>274</v>
      </c>
      <c r="D37" s="39" t="s">
        <v>314</v>
      </c>
    </row>
    <row r="38" spans="2:4" ht="13.8" customHeight="1">
      <c r="B38" s="36" t="s">
        <v>275</v>
      </c>
      <c r="D38" s="47" t="s">
        <v>315</v>
      </c>
    </row>
    <row r="39" spans="2:4" ht="13.8" customHeight="1">
      <c r="B39" s="36" t="s">
        <v>276</v>
      </c>
      <c r="D39" s="39" t="s">
        <v>316</v>
      </c>
    </row>
    <row r="40" spans="2:4" ht="13.8" customHeight="1">
      <c r="B40" s="37" t="s">
        <v>277</v>
      </c>
      <c r="D40" s="47" t="s">
        <v>317</v>
      </c>
    </row>
    <row r="41" spans="2:4" ht="13.8" customHeight="1">
      <c r="B41" s="36" t="s">
        <v>278</v>
      </c>
      <c r="D41" s="39" t="s">
        <v>318</v>
      </c>
    </row>
    <row r="42" spans="2:4" ht="13.8" customHeight="1">
      <c r="B42" s="36" t="s">
        <v>279</v>
      </c>
      <c r="D42" s="47" t="s">
        <v>319</v>
      </c>
    </row>
    <row r="43" spans="2:4" ht="13.8" customHeight="1">
      <c r="B43" s="37" t="s">
        <v>280</v>
      </c>
      <c r="D43" s="19" t="s">
        <v>320</v>
      </c>
    </row>
    <row r="44" spans="2:4" ht="13.8" customHeight="1">
      <c r="D44" s="39" t="s">
        <v>321</v>
      </c>
    </row>
    <row r="45" spans="2:4" ht="13.8" customHeight="1">
      <c r="B45" s="15" t="s">
        <v>19</v>
      </c>
      <c r="D45" s="47" t="s">
        <v>322</v>
      </c>
    </row>
    <row r="46" spans="2:4" ht="13.8" customHeight="1">
      <c r="B46" s="36" t="s">
        <v>281</v>
      </c>
      <c r="D46" s="43" t="s">
        <v>323</v>
      </c>
    </row>
    <row r="47" spans="2:4" ht="13.8" customHeight="1">
      <c r="B47" s="37" t="s">
        <v>282</v>
      </c>
    </row>
    <row r="48" spans="2:4" ht="13.8" customHeight="1">
      <c r="B48" s="44" t="s">
        <v>283</v>
      </c>
      <c r="D48" s="15" t="s">
        <v>20</v>
      </c>
    </row>
    <row r="49" spans="2:4" ht="13.8" customHeight="1">
      <c r="B49" s="43" t="s">
        <v>284</v>
      </c>
      <c r="D49" s="44" t="s">
        <v>324</v>
      </c>
    </row>
    <row r="50" spans="2:4" ht="13.8" customHeight="1">
      <c r="B50" s="43" t="s">
        <v>21</v>
      </c>
      <c r="D50" s="43" t="s">
        <v>325</v>
      </c>
    </row>
    <row r="51" spans="2:4" ht="13.8" customHeight="1">
      <c r="B51" s="44" t="s">
        <v>285</v>
      </c>
      <c r="D51" s="44" t="s">
        <v>326</v>
      </c>
    </row>
    <row r="52" spans="2:4" ht="13.8" customHeight="1">
      <c r="B52" s="43" t="s">
        <v>286</v>
      </c>
      <c r="D52" s="43" t="s">
        <v>327</v>
      </c>
    </row>
    <row r="53" spans="2:4" ht="13.8" customHeight="1">
      <c r="B53" s="44" t="s">
        <v>287</v>
      </c>
      <c r="D53" s="44" t="s">
        <v>328</v>
      </c>
    </row>
    <row r="54" spans="2:4" ht="13.8" customHeight="1">
      <c r="B54" s="44" t="s">
        <v>288</v>
      </c>
      <c r="D54" s="43" t="s">
        <v>329</v>
      </c>
    </row>
    <row r="55" spans="2:4" ht="13.8" customHeight="1">
      <c r="D55" s="44" t="s">
        <v>330</v>
      </c>
    </row>
    <row r="56" spans="2:4" ht="13.8" customHeight="1">
      <c r="B56" s="15" t="s">
        <v>22</v>
      </c>
    </row>
    <row r="57" spans="2:4" ht="13.8" customHeight="1">
      <c r="B57" s="44" t="s">
        <v>289</v>
      </c>
      <c r="D57" s="15" t="s">
        <v>23</v>
      </c>
    </row>
    <row r="58" spans="2:4" ht="13.8" customHeight="1">
      <c r="B58" s="37" t="s">
        <v>290</v>
      </c>
      <c r="D58" s="36" t="s">
        <v>332</v>
      </c>
    </row>
    <row r="59" spans="2:4" ht="13.8" customHeight="1">
      <c r="B59" s="36" t="s">
        <v>291</v>
      </c>
      <c r="D59" s="36" t="s">
        <v>331</v>
      </c>
    </row>
    <row r="60" spans="2:4" ht="13.8" customHeight="1">
      <c r="B60" s="37" t="s">
        <v>292</v>
      </c>
      <c r="D60" s="37" t="s">
        <v>333</v>
      </c>
    </row>
    <row r="61" spans="2:4" ht="13.8" customHeight="1">
      <c r="B61" s="36" t="s">
        <v>293</v>
      </c>
      <c r="D61" s="36" t="s">
        <v>334</v>
      </c>
    </row>
    <row r="62" spans="2:4" ht="13.8" customHeight="1">
      <c r="B62" s="37" t="s">
        <v>280</v>
      </c>
      <c r="D62" s="37" t="s">
        <v>335</v>
      </c>
    </row>
    <row r="63" spans="2:4" ht="13.8" customHeight="1">
      <c r="B63" s="36" t="s">
        <v>295</v>
      </c>
      <c r="D63" s="36" t="s">
        <v>336</v>
      </c>
    </row>
    <row r="64" spans="2:4" ht="13.8" customHeight="1">
      <c r="B64" s="36" t="s">
        <v>294</v>
      </c>
      <c r="D64" s="37" t="s">
        <v>337</v>
      </c>
    </row>
    <row r="65" spans="2:4" ht="13.8" customHeight="1">
      <c r="B65" s="37" t="s">
        <v>24</v>
      </c>
    </row>
    <row r="66" spans="2:4" ht="13.8" customHeight="1">
      <c r="B66" s="37" t="s">
        <v>25</v>
      </c>
      <c r="D66" s="38" t="s">
        <v>338</v>
      </c>
    </row>
    <row r="67" spans="2:4" ht="13.8" customHeight="1">
      <c r="B67" s="17" t="s">
        <v>26</v>
      </c>
      <c r="D67" s="36" t="s">
        <v>339</v>
      </c>
    </row>
    <row r="68" spans="2:4" ht="13.8" customHeight="1">
      <c r="B68" s="17" t="s">
        <v>27</v>
      </c>
      <c r="D68" s="37" t="s">
        <v>340</v>
      </c>
    </row>
    <row r="69" spans="2:4" ht="13.8" customHeight="1">
      <c r="B69" s="17" t="s">
        <v>28</v>
      </c>
      <c r="D69" s="36" t="s">
        <v>341</v>
      </c>
    </row>
    <row r="70" spans="2:4" ht="13.8" customHeight="1">
      <c r="B70" s="16" t="s">
        <v>29</v>
      </c>
      <c r="D70" s="36" t="s">
        <v>342</v>
      </c>
    </row>
    <row r="71" spans="2:4" ht="13.8" customHeight="1">
      <c r="D71" s="37" t="s">
        <v>343</v>
      </c>
    </row>
    <row r="72" spans="2:4" ht="13.8" customHeight="1"/>
    <row r="73" spans="2:4" ht="13.8" customHeight="1">
      <c r="B73" s="16"/>
    </row>
    <row r="74" spans="2:4" ht="13.8" customHeight="1">
      <c r="B74" s="16"/>
    </row>
    <row r="75" spans="2:4" ht="13.8" customHeight="1">
      <c r="B75" s="16"/>
    </row>
    <row r="76" spans="2:4" ht="13.8" customHeight="1"/>
    <row r="77" spans="2:4" ht="13.8" customHeight="1">
      <c r="B77" s="38" t="s">
        <v>30</v>
      </c>
      <c r="D77" s="38" t="s">
        <v>31</v>
      </c>
    </row>
    <row r="78" spans="2:4" ht="13.8" customHeight="1">
      <c r="B78" s="47" t="s">
        <v>344</v>
      </c>
      <c r="D78" s="39" t="s">
        <v>32</v>
      </c>
    </row>
    <row r="79" spans="2:4" ht="13.8" customHeight="1">
      <c r="B79" s="39" t="s">
        <v>33</v>
      </c>
      <c r="D79" s="39" t="s">
        <v>34</v>
      </c>
    </row>
    <row r="80" spans="2:4" ht="13.8" customHeight="1">
      <c r="B80" s="39" t="s">
        <v>35</v>
      </c>
      <c r="D80" s="43" t="s">
        <v>36</v>
      </c>
    </row>
    <row r="81" spans="2:4" ht="13.8" customHeight="1">
      <c r="B81" s="39" t="s">
        <v>37</v>
      </c>
      <c r="D81" s="43" t="s">
        <v>38</v>
      </c>
    </row>
    <row r="82" spans="2:4" ht="13.8" customHeight="1">
      <c r="B82" s="37" t="s">
        <v>39</v>
      </c>
      <c r="D82" s="21" t="s">
        <v>40</v>
      </c>
    </row>
    <row r="83" spans="2:4" ht="13.8" customHeight="1">
      <c r="B83" s="37" t="s">
        <v>41</v>
      </c>
      <c r="D83" s="39" t="s">
        <v>42</v>
      </c>
    </row>
    <row r="84" spans="2:4" ht="13.8" customHeight="1">
      <c r="B84" s="47" t="s">
        <v>345</v>
      </c>
      <c r="D84" s="18"/>
    </row>
    <row r="85" spans="2:4" ht="13.8" customHeight="1">
      <c r="B85" s="39" t="s">
        <v>43</v>
      </c>
      <c r="D85" s="15" t="s">
        <v>44</v>
      </c>
    </row>
    <row r="86" spans="2:4" ht="13.8" customHeight="1">
      <c r="B86" s="45" t="s">
        <v>346</v>
      </c>
      <c r="D86" s="44" t="s">
        <v>389</v>
      </c>
    </row>
    <row r="87" spans="2:4" ht="13.8" customHeight="1">
      <c r="B87" s="45" t="s">
        <v>45</v>
      </c>
      <c r="D87" s="44" t="s">
        <v>390</v>
      </c>
    </row>
    <row r="88" spans="2:4" ht="13.8" customHeight="1">
      <c r="B88" s="47" t="s">
        <v>347</v>
      </c>
      <c r="D88" s="43" t="s">
        <v>391</v>
      </c>
    </row>
    <row r="89" spans="2:4" ht="13.8" customHeight="1">
      <c r="B89" s="39" t="s">
        <v>46</v>
      </c>
      <c r="D89" s="44" t="s">
        <v>392</v>
      </c>
    </row>
    <row r="90" spans="2:4" ht="13.8" customHeight="1"/>
    <row r="91" spans="2:4" ht="13.8" customHeight="1">
      <c r="B91" s="38" t="s">
        <v>47</v>
      </c>
      <c r="D91" s="15" t="s">
        <v>48</v>
      </c>
    </row>
    <row r="92" spans="2:4" ht="13.8" customHeight="1">
      <c r="B92" s="36" t="s">
        <v>348</v>
      </c>
      <c r="D92" s="36" t="s">
        <v>393</v>
      </c>
    </row>
    <row r="93" spans="2:4" ht="13.8" customHeight="1">
      <c r="B93" s="37" t="s">
        <v>349</v>
      </c>
      <c r="D93" s="43" t="s">
        <v>394</v>
      </c>
    </row>
    <row r="94" spans="2:4" ht="13.8" customHeight="1">
      <c r="B94" s="36" t="s">
        <v>350</v>
      </c>
      <c r="D94" s="44" t="s">
        <v>395</v>
      </c>
    </row>
    <row r="95" spans="2:4" ht="13.8" customHeight="1">
      <c r="B95" s="36" t="s">
        <v>351</v>
      </c>
      <c r="D95" s="43" t="s">
        <v>396</v>
      </c>
    </row>
    <row r="96" spans="2:4" ht="13.8" customHeight="1">
      <c r="B96" s="37" t="s">
        <v>49</v>
      </c>
      <c r="D96" s="44" t="s">
        <v>397</v>
      </c>
    </row>
    <row r="97" spans="2:4" ht="13.8" customHeight="1">
      <c r="B97" s="37" t="s">
        <v>50</v>
      </c>
      <c r="D97" s="44" t="s">
        <v>398</v>
      </c>
    </row>
    <row r="98" spans="2:4" ht="13.8" customHeight="1">
      <c r="B98" s="36" t="s">
        <v>352</v>
      </c>
      <c r="D98" s="43" t="s">
        <v>399</v>
      </c>
    </row>
    <row r="99" spans="2:4" ht="13.8" customHeight="1">
      <c r="B99" s="37" t="s">
        <v>353</v>
      </c>
      <c r="D99" s="43" t="s">
        <v>400</v>
      </c>
    </row>
    <row r="100" spans="2:4" ht="13.8" customHeight="1">
      <c r="B100" s="36" t="s">
        <v>354</v>
      </c>
      <c r="D100" s="44" t="s">
        <v>401</v>
      </c>
    </row>
    <row r="101" spans="2:4" ht="13.8" customHeight="1">
      <c r="B101" s="37" t="s">
        <v>355</v>
      </c>
      <c r="D101" s="43" t="s">
        <v>402</v>
      </c>
    </row>
    <row r="102" spans="2:4" ht="13.8" customHeight="1">
      <c r="B102" s="36" t="s">
        <v>356</v>
      </c>
      <c r="D102" s="44" t="s">
        <v>403</v>
      </c>
    </row>
    <row r="103" spans="2:4" ht="13.8" customHeight="1">
      <c r="B103" s="17" t="s">
        <v>357</v>
      </c>
      <c r="D103" s="43" t="s">
        <v>51</v>
      </c>
    </row>
    <row r="104" spans="2:4" ht="13.8" customHeight="1">
      <c r="B104" s="17" t="s">
        <v>358</v>
      </c>
    </row>
    <row r="105" spans="2:4" ht="13.8" customHeight="1">
      <c r="B105" s="17" t="s">
        <v>359</v>
      </c>
      <c r="D105" s="15" t="s">
        <v>52</v>
      </c>
    </row>
    <row r="106" spans="2:4" ht="13.8" customHeight="1">
      <c r="B106" s="17" t="s">
        <v>53</v>
      </c>
      <c r="D106" s="36" t="s">
        <v>404</v>
      </c>
    </row>
    <row r="107" spans="2:4" ht="13.8" customHeight="1">
      <c r="B107" s="36" t="s">
        <v>360</v>
      </c>
      <c r="D107" s="37" t="s">
        <v>405</v>
      </c>
    </row>
    <row r="108" spans="2:4" ht="13.8" customHeight="1">
      <c r="B108" s="37" t="s">
        <v>361</v>
      </c>
      <c r="D108" s="36" t="s">
        <v>406</v>
      </c>
    </row>
    <row r="109" spans="2:4" ht="13.8" customHeight="1">
      <c r="B109" s="16"/>
    </row>
    <row r="110" spans="2:4" ht="13.8" customHeight="1">
      <c r="B110" s="15" t="s">
        <v>54</v>
      </c>
      <c r="D110" s="38" t="s">
        <v>55</v>
      </c>
    </row>
    <row r="111" spans="2:4" ht="13.8" customHeight="1">
      <c r="B111" s="36" t="s">
        <v>362</v>
      </c>
      <c r="D111" s="36" t="s">
        <v>407</v>
      </c>
    </row>
    <row r="112" spans="2:4" ht="13.8" customHeight="1">
      <c r="B112" s="37" t="s">
        <v>363</v>
      </c>
      <c r="D112" s="36" t="s">
        <v>408</v>
      </c>
    </row>
    <row r="113" spans="2:4" ht="13.8" customHeight="1">
      <c r="B113" s="36" t="s">
        <v>364</v>
      </c>
      <c r="D113" s="36" t="s">
        <v>409</v>
      </c>
    </row>
    <row r="114" spans="2:4" ht="13.8" customHeight="1">
      <c r="B114" s="37" t="s">
        <v>365</v>
      </c>
      <c r="D114" s="37" t="s">
        <v>410</v>
      </c>
    </row>
    <row r="115" spans="2:4" ht="13.8" customHeight="1">
      <c r="B115" s="37" t="s">
        <v>366</v>
      </c>
      <c r="D115" s="36" t="s">
        <v>411</v>
      </c>
    </row>
    <row r="116" spans="2:4" ht="13.8" customHeight="1">
      <c r="B116" s="44" t="s">
        <v>367</v>
      </c>
      <c r="D116" s="17" t="s">
        <v>56</v>
      </c>
    </row>
    <row r="117" spans="2:4" ht="13.8" customHeight="1">
      <c r="B117" s="37" t="s">
        <v>57</v>
      </c>
    </row>
    <row r="118" spans="2:4" ht="13.8" customHeight="1">
      <c r="D118" s="15" t="s">
        <v>58</v>
      </c>
    </row>
    <row r="119" spans="2:4" ht="13.8" customHeight="1">
      <c r="B119" s="38" t="s">
        <v>368</v>
      </c>
      <c r="D119" s="37" t="s">
        <v>59</v>
      </c>
    </row>
    <row r="120" spans="2:4" ht="13.8" customHeight="1">
      <c r="B120" s="37" t="s">
        <v>369</v>
      </c>
      <c r="D120" s="37" t="s">
        <v>60</v>
      </c>
    </row>
    <row r="121" spans="2:4" ht="13.8" customHeight="1">
      <c r="B121" s="37" t="s">
        <v>370</v>
      </c>
      <c r="D121" s="16"/>
    </row>
    <row r="122" spans="2:4" ht="13.8" customHeight="1">
      <c r="B122" s="46" t="s">
        <v>61</v>
      </c>
      <c r="D122" s="15" t="s">
        <v>62</v>
      </c>
    </row>
    <row r="123" spans="2:4" ht="13.8" customHeight="1">
      <c r="B123" s="37" t="s">
        <v>371</v>
      </c>
      <c r="D123" s="43" t="s">
        <v>63</v>
      </c>
    </row>
    <row r="124" spans="2:4" ht="13.8" customHeight="1">
      <c r="B124" s="16"/>
      <c r="D124" s="43" t="s">
        <v>64</v>
      </c>
    </row>
    <row r="125" spans="2:4" ht="13.8" customHeight="1">
      <c r="B125" s="38" t="s">
        <v>372</v>
      </c>
      <c r="D125" s="20" t="s">
        <v>65</v>
      </c>
    </row>
    <row r="126" spans="2:4" ht="13.8" customHeight="1">
      <c r="B126" s="36" t="s">
        <v>373</v>
      </c>
    </row>
    <row r="127" spans="2:4" ht="13.8" customHeight="1">
      <c r="B127" s="37" t="s">
        <v>374</v>
      </c>
      <c r="D127" s="15" t="s">
        <v>66</v>
      </c>
    </row>
    <row r="128" spans="2:4" ht="13.8" customHeight="1">
      <c r="B128" s="36" t="s">
        <v>376</v>
      </c>
      <c r="D128" s="36" t="s">
        <v>412</v>
      </c>
    </row>
    <row r="129" spans="2:4" ht="13.8" customHeight="1">
      <c r="B129" s="37" t="s">
        <v>375</v>
      </c>
      <c r="D129" s="37" t="s">
        <v>67</v>
      </c>
    </row>
    <row r="130" spans="2:4" ht="13.8" customHeight="1">
      <c r="B130" s="36" t="s">
        <v>377</v>
      </c>
      <c r="D130" s="37" t="s">
        <v>68</v>
      </c>
    </row>
    <row r="131" spans="2:4" ht="13.8" customHeight="1">
      <c r="D131" s="36" t="s">
        <v>413</v>
      </c>
    </row>
    <row r="132" spans="2:4" ht="13.8" customHeight="1">
      <c r="B132" s="15" t="s">
        <v>69</v>
      </c>
    </row>
    <row r="133" spans="2:4" ht="13.8" customHeight="1">
      <c r="B133" s="36" t="s">
        <v>378</v>
      </c>
      <c r="D133" s="15" t="s">
        <v>70</v>
      </c>
    </row>
    <row r="134" spans="2:4" ht="13.8" customHeight="1">
      <c r="B134" s="36" t="s">
        <v>379</v>
      </c>
      <c r="D134" s="17" t="s">
        <v>71</v>
      </c>
    </row>
    <row r="135" spans="2:4" ht="13.8" customHeight="1">
      <c r="B135" s="37" t="s">
        <v>380</v>
      </c>
      <c r="D135" s="45" t="s">
        <v>72</v>
      </c>
    </row>
    <row r="136" spans="2:4" ht="13.8" customHeight="1">
      <c r="B136" s="44" t="s">
        <v>381</v>
      </c>
    </row>
    <row r="137" spans="2:4" ht="13.8" customHeight="1">
      <c r="B137" s="36" t="s">
        <v>382</v>
      </c>
      <c r="D137" s="15" t="s">
        <v>73</v>
      </c>
    </row>
    <row r="138" spans="2:4" ht="13.8" customHeight="1">
      <c r="B138" s="37" t="s">
        <v>383</v>
      </c>
      <c r="D138" s="36" t="s">
        <v>414</v>
      </c>
    </row>
    <row r="139" spans="2:4" ht="13.8" customHeight="1">
      <c r="D139" s="37" t="s">
        <v>74</v>
      </c>
    </row>
    <row r="140" spans="2:4" ht="13.8" customHeight="1">
      <c r="B140" s="38" t="s">
        <v>75</v>
      </c>
      <c r="D140" s="36" t="s">
        <v>415</v>
      </c>
    </row>
    <row r="141" spans="2:4" ht="13.8" customHeight="1">
      <c r="B141" s="44" t="s">
        <v>384</v>
      </c>
      <c r="D141" s="37" t="s">
        <v>76</v>
      </c>
    </row>
    <row r="142" spans="2:4" ht="13.8" customHeight="1">
      <c r="B142" s="43" t="s">
        <v>385</v>
      </c>
      <c r="D142" s="36" t="s">
        <v>416</v>
      </c>
    </row>
    <row r="143" spans="2:4" ht="13.8" customHeight="1">
      <c r="B143" s="45" t="s">
        <v>387</v>
      </c>
      <c r="D143" s="36" t="s">
        <v>417</v>
      </c>
    </row>
    <row r="144" spans="2:4" ht="13.8" customHeight="1">
      <c r="B144" s="45" t="s">
        <v>388</v>
      </c>
      <c r="D144" s="23"/>
    </row>
    <row r="145" spans="2:4" ht="13.8" customHeight="1">
      <c r="B145" s="45" t="s">
        <v>386</v>
      </c>
      <c r="D145" s="15" t="s">
        <v>78</v>
      </c>
    </row>
    <row r="146" spans="2:4" ht="13.8" customHeight="1">
      <c r="B146" s="43" t="s">
        <v>77</v>
      </c>
      <c r="D146" s="36" t="s">
        <v>418</v>
      </c>
    </row>
    <row r="147" spans="2:4" ht="13.8" customHeight="1">
      <c r="D147" s="43" t="s">
        <v>419</v>
      </c>
    </row>
    <row r="148" spans="2:4" ht="13.8" customHeight="1">
      <c r="D148" s="44" t="s">
        <v>420</v>
      </c>
    </row>
    <row r="149" spans="2:4" ht="13.8" customHeight="1"/>
    <row r="150" spans="2:4" ht="13.8" customHeight="1"/>
    <row r="151" spans="2:4" ht="14.25" customHeight="1">
      <c r="B151" s="22" t="s">
        <v>79</v>
      </c>
    </row>
    <row r="152" spans="2:4" ht="14.25" customHeight="1">
      <c r="B152" s="23" t="str">
        <f>"계약자             "&amp;계약서!C11&amp;"                       서명 또는 인"</f>
        <v>계약자             안종식                       서명 또는 인</v>
      </c>
    </row>
    <row r="153" spans="2:4" ht="14.25" customHeight="1"/>
    <row r="154" spans="2:4" ht="14.25" customHeight="1">
      <c r="C154" s="16"/>
    </row>
    <row r="155" spans="2:4" ht="13.5" customHeight="1"/>
    <row r="156" spans="2:4" ht="13.5" customHeight="1">
      <c r="B156" s="24"/>
    </row>
    <row r="157" spans="2:4" ht="13.5" customHeight="1">
      <c r="B157" s="16"/>
      <c r="C157" s="16"/>
    </row>
    <row r="158" spans="2:4" ht="13.5" customHeight="1">
      <c r="B158" s="16"/>
      <c r="C158" s="16"/>
    </row>
    <row r="159" spans="2:4" ht="13.5" customHeight="1"/>
    <row r="160" spans="2:4" ht="13.5" customHeight="1"/>
    <row r="161" spans="2:4" ht="13.5" customHeight="1">
      <c r="B161" s="16"/>
      <c r="C161" s="16"/>
      <c r="D161" s="16"/>
    </row>
    <row r="162" spans="2:4" ht="13.5" customHeight="1">
      <c r="B162" s="16"/>
      <c r="C162" s="16"/>
      <c r="D162" s="16"/>
    </row>
    <row r="163" spans="2:4" ht="13.5" customHeight="1">
      <c r="B163" s="16"/>
      <c r="C163" s="16"/>
      <c r="D163" s="16"/>
    </row>
    <row r="164" spans="2:4" ht="13.5" customHeight="1">
      <c r="B164" s="16"/>
      <c r="C164" s="16"/>
      <c r="D164" s="16"/>
    </row>
    <row r="165" spans="2:4" ht="13.5" customHeight="1">
      <c r="B165" s="16"/>
      <c r="C165" s="16"/>
      <c r="D165" s="16"/>
    </row>
    <row r="166" spans="2:4" s="25" customFormat="1" ht="13.5" customHeight="1">
      <c r="B166" s="16"/>
      <c r="C166" s="16"/>
      <c r="D166" s="16"/>
    </row>
    <row r="167" spans="2:4" ht="13.5" customHeight="1">
      <c r="B167" s="16"/>
      <c r="C167" s="16"/>
      <c r="D167" s="16"/>
    </row>
    <row r="168" spans="2:4" ht="13.5" customHeight="1">
      <c r="B168" s="16"/>
      <c r="C168" s="16"/>
      <c r="D168" s="16"/>
    </row>
    <row r="169" spans="2:4" ht="13.5" customHeight="1">
      <c r="B169" s="16"/>
      <c r="C169" s="16"/>
      <c r="D169" s="16"/>
    </row>
    <row r="170" spans="2:4" ht="13.5" customHeight="1">
      <c r="B170" s="16"/>
      <c r="C170" s="16"/>
      <c r="D170" s="16"/>
    </row>
    <row r="171" spans="2:4" ht="13.5" customHeight="1">
      <c r="B171" s="16"/>
      <c r="C171" s="16"/>
      <c r="D171" s="16"/>
    </row>
    <row r="172" spans="2:4" ht="13.5" customHeight="1">
      <c r="B172" s="16"/>
      <c r="C172" s="16"/>
      <c r="D172" s="16"/>
    </row>
    <row r="173" spans="2:4" ht="13.5" customHeight="1">
      <c r="B173" s="16"/>
      <c r="C173" s="16"/>
      <c r="D173" s="16"/>
    </row>
    <row r="174" spans="2:4" ht="13.5" customHeight="1">
      <c r="B174" s="16"/>
      <c r="C174" s="16"/>
      <c r="D174" s="16"/>
    </row>
    <row r="175" spans="2:4" ht="13.5" customHeight="1">
      <c r="B175" s="16"/>
      <c r="C175" s="16"/>
      <c r="D175" s="16"/>
    </row>
    <row r="176" spans="2:4" ht="13.5" customHeight="1">
      <c r="B176" s="16"/>
      <c r="C176" s="16"/>
      <c r="D176" s="16"/>
    </row>
    <row r="177" spans="2:4" ht="13.5" customHeight="1">
      <c r="B177" s="16"/>
      <c r="C177" s="16"/>
      <c r="D177" s="16"/>
    </row>
    <row r="178" spans="2:4" ht="13.5" customHeight="1">
      <c r="B178" s="16"/>
      <c r="C178" s="16"/>
      <c r="D178" s="16"/>
    </row>
    <row r="179" spans="2:4" ht="13.5" customHeight="1">
      <c r="B179" s="16"/>
      <c r="C179" s="16"/>
      <c r="D179" s="16"/>
    </row>
    <row r="180" spans="2:4" ht="13.5" customHeight="1">
      <c r="B180" s="16"/>
      <c r="C180" s="16"/>
      <c r="D180" s="16"/>
    </row>
    <row r="181" spans="2:4" ht="13.5" customHeight="1">
      <c r="B181" s="16"/>
      <c r="C181" s="16"/>
      <c r="D181" s="16"/>
    </row>
    <row r="182" spans="2:4" ht="13.5" customHeight="1">
      <c r="B182" s="16"/>
      <c r="C182" s="16"/>
      <c r="D182" s="16"/>
    </row>
    <row r="183" spans="2:4" ht="13.5" customHeight="1">
      <c r="B183" s="16"/>
      <c r="C183" s="16"/>
      <c r="D183" s="16"/>
    </row>
    <row r="184" spans="2:4" ht="13.5" customHeight="1">
      <c r="B184" s="16"/>
      <c r="C184" s="16"/>
      <c r="D184" s="16"/>
    </row>
    <row r="185" spans="2:4" ht="13.5" customHeight="1">
      <c r="B185" s="16"/>
      <c r="C185" s="16"/>
      <c r="D185" s="16"/>
    </row>
    <row r="186" spans="2:4" ht="13.5" customHeight="1">
      <c r="B186" s="16"/>
      <c r="C186" s="16"/>
      <c r="D186" s="16"/>
    </row>
    <row r="187" spans="2:4" ht="13.5" customHeight="1">
      <c r="B187" s="16"/>
      <c r="C187" s="16"/>
      <c r="D187" s="16"/>
    </row>
    <row r="188" spans="2:4" ht="13.5" customHeight="1">
      <c r="B188" s="16"/>
      <c r="C188" s="16"/>
      <c r="D188" s="16"/>
    </row>
    <row r="189" spans="2:4" ht="13.5" customHeight="1">
      <c r="B189" s="16"/>
      <c r="C189" s="16"/>
      <c r="D189" s="16"/>
    </row>
    <row r="190" spans="2:4" ht="13.5" customHeight="1">
      <c r="B190" s="16"/>
      <c r="C190" s="16"/>
      <c r="D190" s="16"/>
    </row>
    <row r="191" spans="2:4" ht="13.5" customHeight="1">
      <c r="B191" s="16"/>
      <c r="C191" s="16"/>
      <c r="D191" s="16"/>
    </row>
    <row r="192" spans="2:4" ht="13.5" customHeight="1">
      <c r="B192" s="16"/>
      <c r="C192" s="16"/>
      <c r="D192" s="16"/>
    </row>
    <row r="193" spans="2:4" ht="13.5" customHeight="1">
      <c r="B193" s="16"/>
      <c r="C193" s="16"/>
      <c r="D193" s="16"/>
    </row>
    <row r="194" spans="2:4" ht="13.5" customHeight="1">
      <c r="B194" s="16"/>
      <c r="C194" s="16"/>
      <c r="D194" s="16"/>
    </row>
    <row r="195" spans="2:4" ht="13.5" customHeight="1">
      <c r="B195" s="16"/>
      <c r="C195" s="16"/>
      <c r="D195" s="16"/>
    </row>
    <row r="196" spans="2:4" ht="13.5" customHeight="1">
      <c r="B196" s="16"/>
      <c r="C196" s="16"/>
      <c r="D196" s="16"/>
    </row>
    <row r="197" spans="2:4" ht="13.5" customHeight="1">
      <c r="B197" s="16"/>
      <c r="C197" s="16"/>
      <c r="D197" s="16"/>
    </row>
    <row r="198" spans="2:4" ht="13.5" customHeight="1">
      <c r="B198" s="16"/>
      <c r="C198" s="16"/>
      <c r="D198" s="16"/>
    </row>
    <row r="199" spans="2:4" ht="13.5" customHeight="1">
      <c r="B199" s="16"/>
      <c r="C199" s="16"/>
      <c r="D199" s="16"/>
    </row>
    <row r="200" spans="2:4" ht="13.5" customHeight="1">
      <c r="B200" s="16"/>
      <c r="C200" s="16"/>
      <c r="D200" s="16"/>
    </row>
    <row r="201" spans="2:4" ht="13.5" customHeight="1">
      <c r="B201" s="16"/>
      <c r="C201" s="16"/>
      <c r="D201" s="16"/>
    </row>
    <row r="202" spans="2:4" ht="13.5" customHeight="1"/>
    <row r="203" spans="2:4" ht="13.5" customHeight="1"/>
    <row r="204" spans="2:4" ht="13.5" customHeight="1"/>
    <row r="205" spans="2:4" ht="14.25" customHeight="1"/>
    <row r="206" spans="2:4" ht="14.25" customHeight="1">
      <c r="B206" s="16"/>
      <c r="C206" s="16"/>
      <c r="D206" s="16"/>
    </row>
    <row r="207" spans="2:4" ht="21.75" customHeight="1">
      <c r="B207" s="16"/>
      <c r="C207" s="16"/>
      <c r="D207" s="16"/>
    </row>
    <row r="208" spans="2:4" ht="15.75" customHeight="1">
      <c r="B208" s="16"/>
      <c r="D208" s="16"/>
    </row>
    <row r="209" spans="2:4" ht="15.75" customHeight="1">
      <c r="B209" s="16"/>
      <c r="D209" s="16"/>
    </row>
    <row r="210" spans="2:4" ht="15.75" customHeight="1">
      <c r="B210" s="16"/>
      <c r="D210" s="16"/>
    </row>
    <row r="211" spans="2:4" ht="15.75" customHeight="1">
      <c r="B211" s="16"/>
      <c r="D211" s="16"/>
    </row>
    <row r="212" spans="2:4" ht="14.25" customHeight="1">
      <c r="B212" s="16"/>
      <c r="D212" s="16"/>
    </row>
    <row r="213" spans="2:4" ht="21.75" customHeight="1">
      <c r="B213" s="16"/>
      <c r="D213" s="16"/>
    </row>
    <row r="214" spans="2:4" ht="48" customHeight="1">
      <c r="B214" s="16"/>
      <c r="D214" s="16"/>
    </row>
    <row r="215" spans="2:4" ht="48" customHeight="1">
      <c r="B215" s="16"/>
      <c r="D215" s="16"/>
    </row>
    <row r="216" spans="2:4" ht="48" customHeight="1">
      <c r="B216" s="16"/>
      <c r="D216" s="16"/>
    </row>
    <row r="217" spans="2:4" ht="31.5" customHeight="1">
      <c r="B217" s="16"/>
      <c r="D217" s="16"/>
    </row>
    <row r="218" spans="2:4" ht="31.5" customHeight="1">
      <c r="B218" s="16"/>
      <c r="D218" s="16"/>
    </row>
    <row r="219" spans="2:4" ht="31.5" customHeight="1">
      <c r="B219" s="16"/>
      <c r="D219" s="16"/>
    </row>
    <row r="220" spans="2:4" ht="31.5" customHeight="1">
      <c r="B220" s="16"/>
      <c r="D220" s="16"/>
    </row>
    <row r="221" spans="2:4" ht="15.75" customHeight="1">
      <c r="B221" s="16"/>
      <c r="D221" s="16"/>
    </row>
    <row r="222" spans="2:4" ht="14.25" customHeight="1">
      <c r="B222" s="16"/>
      <c r="D222" s="16"/>
    </row>
    <row r="223" spans="2:4" ht="14.25" customHeight="1">
      <c r="B223" s="16"/>
      <c r="D223" s="16"/>
    </row>
    <row r="224" spans="2:4" ht="21.75" customHeight="1">
      <c r="B224" s="16"/>
      <c r="C224" s="26"/>
    </row>
    <row r="225" spans="2:4" ht="31.5" customHeight="1">
      <c r="B225" s="16"/>
      <c r="C225" s="24"/>
    </row>
    <row r="226" spans="2:4">
      <c r="B226" s="16"/>
      <c r="D226" s="16"/>
    </row>
    <row r="227" spans="2:4">
      <c r="B227" s="24"/>
      <c r="D227" s="16"/>
    </row>
    <row r="228" spans="2:4">
      <c r="B228" s="24"/>
      <c r="D228" s="27"/>
    </row>
  </sheetData>
  <mergeCells count="1">
    <mergeCell ref="B1:D1"/>
  </mergeCells>
  <phoneticPr fontId="51" type="noConversion"/>
  <pageMargins left="0.3" right="0.3" top="0.4" bottom="0.4" header="0.511811023622047" footer="0.511811023622047"/>
  <pageSetup paperSize="9" scale="67" fitToHeight="0" orientation="portrait" horizontalDpi="300" verticalDpi="300" r:id="rId1"/>
  <rowBreaks count="1" manualBreakCount="1">
    <brk id="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E48" sqref="E48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97" t="s">
        <v>175</v>
      </c>
      <c r="C2" s="66"/>
      <c r="D2" s="66"/>
      <c r="E2" s="66"/>
      <c r="F2" s="66"/>
      <c r="G2" s="66"/>
      <c r="H2" s="66"/>
      <c r="I2" s="66"/>
    </row>
    <row r="3" spans="2:9" ht="18" customHeight="1">
      <c r="B3" s="85" t="s">
        <v>176</v>
      </c>
      <c r="C3" s="86"/>
      <c r="D3" s="86"/>
      <c r="E3" s="86"/>
      <c r="F3" s="86"/>
      <c r="G3" s="86"/>
      <c r="H3" s="86"/>
      <c r="I3" s="86"/>
    </row>
    <row r="5" spans="2:9" ht="49.5" customHeight="1">
      <c r="B5" s="91" t="s">
        <v>177</v>
      </c>
      <c r="C5" s="66"/>
      <c r="D5" s="66"/>
      <c r="E5" s="66"/>
      <c r="F5" s="66"/>
      <c r="G5" s="66"/>
      <c r="H5" s="66"/>
      <c r="I5" s="66"/>
    </row>
    <row r="7" spans="2:9" ht="25.5" customHeight="1">
      <c r="B7" s="87" t="s">
        <v>178</v>
      </c>
      <c r="C7" s="88"/>
      <c r="D7" s="88"/>
      <c r="E7" s="88"/>
      <c r="F7" s="88"/>
      <c r="G7" s="88"/>
      <c r="H7" s="88"/>
      <c r="I7" s="88"/>
    </row>
    <row r="8" spans="2:9" ht="42" customHeight="1">
      <c r="B8" s="99" t="s">
        <v>179</v>
      </c>
      <c r="C8" s="66"/>
      <c r="D8" s="66"/>
      <c r="E8" s="66"/>
      <c r="F8" s="66"/>
      <c r="G8" s="66"/>
      <c r="H8" s="66"/>
      <c r="I8" s="66"/>
    </row>
    <row r="10" spans="2:9" ht="25.5" customHeight="1">
      <c r="B10" s="87" t="s">
        <v>180</v>
      </c>
      <c r="C10" s="88"/>
      <c r="D10" s="88"/>
      <c r="E10" s="88"/>
      <c r="F10" s="88"/>
      <c r="G10" s="88"/>
      <c r="H10" s="88"/>
      <c r="I10" s="88"/>
    </row>
    <row r="11" spans="2:9" ht="21.75" customHeight="1">
      <c r="B11" s="90" t="s">
        <v>181</v>
      </c>
      <c r="C11" s="66"/>
      <c r="D11" s="66"/>
      <c r="E11" s="66"/>
      <c r="F11" s="66"/>
      <c r="G11" s="66"/>
      <c r="H11" s="66"/>
      <c r="I11" s="66"/>
    </row>
    <row r="12" spans="2:9" ht="37.5" customHeight="1">
      <c r="B12" s="28" t="s">
        <v>182</v>
      </c>
      <c r="C12" s="29" t="s">
        <v>139</v>
      </c>
      <c r="D12" s="89" t="s">
        <v>183</v>
      </c>
      <c r="E12" s="66"/>
      <c r="F12" s="66"/>
      <c r="G12" s="66"/>
      <c r="H12" s="66"/>
      <c r="I12" s="66"/>
    </row>
    <row r="13" spans="2:9" ht="37.5" customHeight="1">
      <c r="B13" s="28" t="s">
        <v>184</v>
      </c>
      <c r="C13" s="29" t="s">
        <v>185</v>
      </c>
      <c r="D13" s="94" t="s">
        <v>186</v>
      </c>
      <c r="E13" s="95"/>
      <c r="F13" s="95"/>
      <c r="G13" s="95"/>
      <c r="H13" s="95"/>
      <c r="I13" s="95"/>
    </row>
    <row r="14" spans="2:9" ht="37.5" customHeight="1">
      <c r="B14" s="28" t="s">
        <v>187</v>
      </c>
      <c r="C14" s="29" t="s">
        <v>141</v>
      </c>
      <c r="D14" s="89" t="s">
        <v>188</v>
      </c>
      <c r="E14" s="66"/>
      <c r="F14" s="66"/>
      <c r="G14" s="66"/>
      <c r="H14" s="66"/>
      <c r="I14" s="66"/>
    </row>
    <row r="15" spans="2:9" ht="37.5" customHeight="1">
      <c r="B15" s="28" t="s">
        <v>189</v>
      </c>
      <c r="C15" s="30" t="s">
        <v>142</v>
      </c>
      <c r="D15" s="89" t="s">
        <v>190</v>
      </c>
      <c r="E15" s="66"/>
      <c r="F15" s="66"/>
      <c r="G15" s="66"/>
      <c r="H15" s="66"/>
      <c r="I15" s="66"/>
    </row>
    <row r="16" spans="2:9" ht="37.5" customHeight="1">
      <c r="B16" s="28" t="s">
        <v>191</v>
      </c>
      <c r="C16" s="29" t="s">
        <v>192</v>
      </c>
      <c r="D16" s="89" t="s">
        <v>193</v>
      </c>
      <c r="E16" s="66"/>
      <c r="F16" s="66"/>
      <c r="G16" s="66"/>
      <c r="H16" s="66"/>
      <c r="I16" s="66"/>
    </row>
    <row r="17" spans="2:9" ht="37.5" customHeight="1">
      <c r="B17" s="28" t="s">
        <v>194</v>
      </c>
      <c r="C17" s="29" t="s">
        <v>195</v>
      </c>
      <c r="D17" s="89" t="s">
        <v>196</v>
      </c>
      <c r="E17" s="66"/>
      <c r="F17" s="66"/>
      <c r="G17" s="66"/>
      <c r="H17" s="66"/>
      <c r="I17" s="66"/>
    </row>
    <row r="18" spans="2:9" ht="37.5" customHeight="1">
      <c r="B18" s="28" t="s">
        <v>197</v>
      </c>
      <c r="C18" s="29" t="s">
        <v>198</v>
      </c>
      <c r="D18" s="89" t="s">
        <v>199</v>
      </c>
      <c r="E18" s="66"/>
      <c r="F18" s="66"/>
      <c r="G18" s="66"/>
      <c r="H18" s="66"/>
      <c r="I18" s="66"/>
    </row>
    <row r="19" spans="2:9" ht="25.5" customHeight="1">
      <c r="B19" s="87" t="s">
        <v>200</v>
      </c>
      <c r="C19" s="88"/>
      <c r="D19" s="88"/>
      <c r="E19" s="88"/>
      <c r="F19" s="88"/>
      <c r="G19" s="88"/>
      <c r="H19" s="88"/>
      <c r="I19" s="88"/>
    </row>
    <row r="20" spans="2:9" ht="43.5" customHeight="1">
      <c r="B20" s="90" t="s">
        <v>201</v>
      </c>
      <c r="C20" s="66"/>
      <c r="D20" s="66"/>
      <c r="E20" s="66"/>
      <c r="F20" s="66"/>
      <c r="G20" s="66"/>
      <c r="H20" s="66"/>
      <c r="I20" s="66"/>
    </row>
    <row r="22" spans="2:9" ht="25.5" customHeight="1">
      <c r="B22" s="87" t="s">
        <v>202</v>
      </c>
      <c r="C22" s="88"/>
      <c r="D22" s="88"/>
      <c r="E22" s="88"/>
      <c r="F22" s="88"/>
      <c r="G22" s="88"/>
      <c r="H22" s="88"/>
      <c r="I22" s="88"/>
    </row>
    <row r="23" spans="2:9" ht="31.5" customHeight="1">
      <c r="B23" s="98" t="s">
        <v>203</v>
      </c>
      <c r="C23" s="95"/>
      <c r="D23" s="95"/>
      <c r="E23" s="95"/>
      <c r="F23" s="95"/>
      <c r="G23" s="95"/>
      <c r="H23" s="95"/>
      <c r="I23" s="95"/>
    </row>
    <row r="24" spans="2:9" ht="30" customHeight="1">
      <c r="B24" s="28" t="s">
        <v>182</v>
      </c>
      <c r="C24" s="29" t="s">
        <v>204</v>
      </c>
      <c r="D24" s="89" t="s">
        <v>205</v>
      </c>
      <c r="E24" s="66"/>
      <c r="F24" s="66"/>
      <c r="G24" s="66"/>
      <c r="H24" s="66"/>
      <c r="I24" s="66"/>
    </row>
    <row r="25" spans="2:9" ht="33" customHeight="1">
      <c r="B25" s="28" t="s">
        <v>184</v>
      </c>
      <c r="C25" s="29" t="s">
        <v>206</v>
      </c>
      <c r="D25" s="89" t="s">
        <v>207</v>
      </c>
      <c r="E25" s="66"/>
      <c r="F25" s="66"/>
      <c r="G25" s="66"/>
      <c r="H25" s="66"/>
      <c r="I25" s="66"/>
    </row>
    <row r="26" spans="2:9" ht="52.05" customHeight="1">
      <c r="B26" s="28" t="s">
        <v>187</v>
      </c>
      <c r="C26" s="29" t="s">
        <v>208</v>
      </c>
      <c r="D26" s="89" t="s">
        <v>209</v>
      </c>
      <c r="E26" s="66"/>
      <c r="F26" s="66"/>
      <c r="G26" s="66"/>
      <c r="H26" s="66"/>
      <c r="I26" s="66"/>
    </row>
    <row r="27" spans="2:9" ht="30" customHeight="1">
      <c r="B27" s="28" t="s">
        <v>189</v>
      </c>
      <c r="C27" s="29" t="s">
        <v>210</v>
      </c>
      <c r="D27" s="89" t="s">
        <v>211</v>
      </c>
      <c r="E27" s="66"/>
      <c r="F27" s="66"/>
      <c r="G27" s="66"/>
      <c r="H27" s="66"/>
      <c r="I27" s="66"/>
    </row>
    <row r="28" spans="2:9" ht="45" customHeight="1">
      <c r="B28" s="28" t="s">
        <v>191</v>
      </c>
      <c r="C28" s="29" t="s">
        <v>212</v>
      </c>
      <c r="D28" s="89" t="s">
        <v>213</v>
      </c>
      <c r="E28" s="66"/>
      <c r="F28" s="66"/>
      <c r="G28" s="66"/>
      <c r="H28" s="66"/>
      <c r="I28" s="66"/>
    </row>
    <row r="29" spans="2:9" ht="30" customHeight="1">
      <c r="B29" s="28" t="s">
        <v>194</v>
      </c>
      <c r="C29" s="29" t="s">
        <v>214</v>
      </c>
      <c r="D29" s="89" t="s">
        <v>215</v>
      </c>
      <c r="E29" s="66"/>
      <c r="F29" s="66"/>
      <c r="G29" s="66"/>
      <c r="H29" s="66"/>
      <c r="I29" s="66"/>
    </row>
    <row r="31" spans="2:9" ht="7.5" customHeight="1">
      <c r="B31" s="31"/>
      <c r="C31" s="31"/>
      <c r="D31" s="31"/>
      <c r="E31" s="31"/>
      <c r="F31" s="31"/>
      <c r="G31" s="31"/>
      <c r="H31" s="31"/>
      <c r="I31" s="31"/>
    </row>
    <row r="32" spans="2:9" ht="36" customHeight="1">
      <c r="B32" s="96" t="s">
        <v>216</v>
      </c>
      <c r="C32" s="66"/>
      <c r="D32" s="66"/>
      <c r="E32" s="66"/>
      <c r="F32" s="66"/>
      <c r="G32" s="66"/>
      <c r="H32" s="66"/>
      <c r="I32" s="66"/>
    </row>
    <row r="34" spans="2:9" ht="42" customHeight="1">
      <c r="B34" s="32" t="s">
        <v>164</v>
      </c>
      <c r="C34" s="92" t="str">
        <f>계약서!C11</f>
        <v>안종식</v>
      </c>
      <c r="D34" s="93"/>
      <c r="E34" s="93"/>
      <c r="F34" s="93"/>
      <c r="G34" s="93"/>
      <c r="H34" s="93"/>
      <c r="I34" s="33" t="s">
        <v>165</v>
      </c>
    </row>
    <row r="36" spans="2:9" ht="42" customHeight="1">
      <c r="B36" s="32" t="s">
        <v>166</v>
      </c>
      <c r="C36" s="92" t="s">
        <v>115</v>
      </c>
      <c r="D36" s="93"/>
      <c r="E36" s="93"/>
      <c r="F36" s="93"/>
      <c r="G36" s="93"/>
      <c r="H36" s="93"/>
      <c r="I36" s="33" t="s">
        <v>165</v>
      </c>
    </row>
  </sheetData>
  <mergeCells count="27">
    <mergeCell ref="C36:H36"/>
    <mergeCell ref="D28:I28"/>
    <mergeCell ref="B11:I11"/>
    <mergeCell ref="B2:I2"/>
    <mergeCell ref="D18:I18"/>
    <mergeCell ref="D12:I12"/>
    <mergeCell ref="B23:I23"/>
    <mergeCell ref="B8:I8"/>
    <mergeCell ref="D25:I25"/>
    <mergeCell ref="D15:I15"/>
    <mergeCell ref="D24:I24"/>
    <mergeCell ref="D14:I14"/>
    <mergeCell ref="D29:I29"/>
    <mergeCell ref="B10:I10"/>
    <mergeCell ref="B19:I19"/>
    <mergeCell ref="C34:H34"/>
    <mergeCell ref="D27:I27"/>
    <mergeCell ref="B7:I7"/>
    <mergeCell ref="D13:I13"/>
    <mergeCell ref="D17:I17"/>
    <mergeCell ref="B32:I32"/>
    <mergeCell ref="B3:I3"/>
    <mergeCell ref="B22:I22"/>
    <mergeCell ref="D16:I16"/>
    <mergeCell ref="D26:I26"/>
    <mergeCell ref="B20:I20"/>
    <mergeCell ref="B5:I5"/>
  </mergeCells>
  <phoneticPr fontId="51" type="noConversion"/>
  <printOptions horizontalCentered="1"/>
  <pageMargins left="0.5" right="0.5" top="0.5" bottom="0.5" header="0.511811023622047" footer="0.511811023622047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2:H16"/>
  <sheetViews>
    <sheetView tabSelected="1" workbookViewId="0">
      <selection activeCell="H10" sqref="H10"/>
    </sheetView>
  </sheetViews>
  <sheetFormatPr defaultRowHeight="14.4"/>
  <cols>
    <col min="1" max="1" width="2" customWidth="1"/>
    <col min="2" max="2" width="14" customWidth="1"/>
    <col min="3" max="3" width="12" customWidth="1"/>
    <col min="4" max="8" width="8.88671875" customWidth="1"/>
    <col min="9" max="9" width="2" customWidth="1"/>
  </cols>
  <sheetData>
    <row r="2" spans="2:8" ht="36" customHeight="1">
      <c r="B2" s="102" t="s">
        <v>217</v>
      </c>
      <c r="C2" s="66"/>
      <c r="D2" s="66"/>
      <c r="E2" s="66"/>
      <c r="F2" s="66"/>
      <c r="G2" s="66"/>
      <c r="H2" s="66"/>
    </row>
    <row r="4" spans="2:8" ht="40.049999999999997" customHeight="1">
      <c r="B4" s="100" t="s">
        <v>218</v>
      </c>
      <c r="C4" s="66"/>
      <c r="D4" s="66"/>
      <c r="E4" s="66"/>
      <c r="F4" s="66"/>
      <c r="G4" s="66"/>
      <c r="H4" s="66"/>
    </row>
    <row r="6" spans="2:8" ht="28.05" customHeight="1">
      <c r="B6" s="40" t="s">
        <v>219</v>
      </c>
      <c r="C6" s="40" t="s">
        <v>220</v>
      </c>
      <c r="D6" s="40" t="s">
        <v>221</v>
      </c>
      <c r="E6" s="40" t="s">
        <v>222</v>
      </c>
      <c r="F6" s="40" t="s">
        <v>223</v>
      </c>
      <c r="G6" s="40" t="s">
        <v>224</v>
      </c>
      <c r="H6" s="40" t="s">
        <v>225</v>
      </c>
    </row>
    <row r="7" spans="2:8" ht="25.95" customHeight="1">
      <c r="B7" s="41" t="s">
        <v>226</v>
      </c>
      <c r="C7" s="41" t="s">
        <v>227</v>
      </c>
      <c r="D7" s="42" t="s">
        <v>228</v>
      </c>
      <c r="E7" s="42" t="s">
        <v>229</v>
      </c>
      <c r="F7" s="42" t="s">
        <v>230</v>
      </c>
      <c r="G7" s="42" t="s">
        <v>231</v>
      </c>
      <c r="H7" s="42" t="s">
        <v>232</v>
      </c>
    </row>
    <row r="8" spans="2:8" ht="25.95" customHeight="1">
      <c r="B8" s="41" t="s">
        <v>233</v>
      </c>
      <c r="C8" s="41" t="s">
        <v>227</v>
      </c>
      <c r="D8" s="42" t="s">
        <v>234</v>
      </c>
      <c r="E8" s="42" t="s">
        <v>235</v>
      </c>
      <c r="F8" s="42" t="s">
        <v>236</v>
      </c>
      <c r="G8" s="42" t="s">
        <v>237</v>
      </c>
      <c r="H8" s="42" t="s">
        <v>238</v>
      </c>
    </row>
    <row r="9" spans="2:8" ht="25.95" customHeight="1">
      <c r="B9" s="41" t="s">
        <v>239</v>
      </c>
      <c r="C9" s="41" t="s">
        <v>227</v>
      </c>
      <c r="D9" s="42" t="s">
        <v>240</v>
      </c>
      <c r="E9" s="42" t="s">
        <v>241</v>
      </c>
      <c r="F9" s="42" t="s">
        <v>237</v>
      </c>
      <c r="G9" s="42" t="s">
        <v>242</v>
      </c>
      <c r="H9" s="42" t="s">
        <v>243</v>
      </c>
    </row>
    <row r="11" spans="2:8" ht="40.049999999999997" customHeight="1">
      <c r="B11" s="103" t="s">
        <v>244</v>
      </c>
      <c r="C11" s="66"/>
      <c r="D11" s="66"/>
      <c r="E11" s="66"/>
      <c r="F11" s="66"/>
      <c r="G11" s="66"/>
      <c r="H11" s="66"/>
    </row>
    <row r="13" spans="2:8" ht="31.95" customHeight="1">
      <c r="B13" s="100" t="s">
        <v>245</v>
      </c>
      <c r="C13" s="66"/>
      <c r="D13" s="66"/>
      <c r="E13" s="66"/>
      <c r="F13" s="66"/>
      <c r="G13" s="66"/>
      <c r="H13" s="66"/>
    </row>
    <row r="15" spans="2:8" ht="25.95" customHeight="1">
      <c r="B15" s="101" t="s">
        <v>246</v>
      </c>
      <c r="C15" s="66"/>
      <c r="D15" s="66"/>
      <c r="E15" s="66"/>
      <c r="F15" s="66"/>
      <c r="G15" s="66"/>
      <c r="H15" s="66"/>
    </row>
    <row r="16" spans="2:8" ht="52.05" customHeight="1">
      <c r="B16" s="101" t="s">
        <v>247</v>
      </c>
      <c r="C16" s="66"/>
      <c r="D16" s="66"/>
      <c r="E16" s="66"/>
      <c r="F16" s="66"/>
      <c r="G16" s="66"/>
      <c r="H16" s="66"/>
    </row>
  </sheetData>
  <mergeCells count="6">
    <mergeCell ref="B13:H13"/>
    <mergeCell ref="B4:H4"/>
    <mergeCell ref="B16:H16"/>
    <mergeCell ref="B2:H2"/>
    <mergeCell ref="B15:H15"/>
    <mergeCell ref="B11:H11"/>
  </mergeCells>
  <phoneticPr fontId="51" type="noConversion"/>
  <pageMargins left="0.5" right="0.5" top="0.6" bottom="0.6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계약리스트</vt:lpstr>
      <vt:lpstr>계약서</vt:lpstr>
      <vt:lpstr>이용약관</vt:lpstr>
      <vt:lpstr>별지_구상금</vt:lpstr>
      <vt:lpstr>별지_단가표</vt:lpstr>
      <vt:lpstr>계약서!Print_Area</vt:lpstr>
      <vt:lpstr>별지_단가표!Print_Area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2026-05-11T09:33:50Z</cp:lastPrinted>
  <dcterms:created xsi:type="dcterms:W3CDTF">2026-04-27T06:03:32Z</dcterms:created>
  <dcterms:modified xsi:type="dcterms:W3CDTF">2026-06-06T08:54:31Z</dcterms:modified>
  <dc:language>en-US</dc:language>
</cp:coreProperties>
</file>