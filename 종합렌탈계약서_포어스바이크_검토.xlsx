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CA46A744-F0DC-4388-873E-F7233378C119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5" r:id="rId3"/>
  </sheets>
  <definedNames>
    <definedName name="_xlnm.Print_Area" localSheetId="1">계약서!$A$1:$K$52</definedName>
    <definedName name="_xlnm.Print_Area" localSheetId="2">이용약관!$A$1:$D$140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2" l="1"/>
  <c r="C52" i="2" l="1"/>
  <c r="H51" i="2"/>
  <c r="C51" i="2"/>
  <c r="C24" i="2"/>
  <c r="C23" i="2"/>
  <c r="I22" i="2"/>
  <c r="F22" i="2"/>
  <c r="C22" i="2"/>
  <c r="I21" i="2"/>
  <c r="F21" i="2"/>
  <c r="C21" i="2"/>
  <c r="C17" i="2"/>
  <c r="I16" i="2"/>
  <c r="F16" i="2"/>
  <c r="C16" i="2"/>
  <c r="D140" i="5" s="1"/>
  <c r="C12" i="2"/>
  <c r="I11" i="2"/>
  <c r="F11" i="2"/>
  <c r="C11" i="2"/>
  <c r="B140" i="5" s="1"/>
  <c r="C8" i="2"/>
  <c r="I7" i="2"/>
  <c r="F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<sst xmlns="http://schemas.openxmlformats.org/spreadsheetml/2006/main" count="378" uniqueCount="353">
  <si>
    <t>계약번호</t>
  </si>
  <si>
    <t>계약일자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</si>
  <si>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</si>
  <si>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</si>
  <si>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</si>
  <si>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</si>
  <si>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</si>
  <si>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</si>
  <si>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</si>
  <si>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</si>
  <si>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</si>
  <si>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</si>
  <si>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</si>
  <si>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</si>
  <si>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</si>
  <si>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</si>
  <si>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</si>
  <si>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</si>
  <si>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</si>
  <si>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</si>
  <si>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</si>
  <si>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</si>
  <si>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</si>
  <si>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</si>
  <si>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</si>
  <si>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</si>
  <si>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</si>
  <si>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</si>
  <si>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</si>
  <si>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</si>
  <si>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</si>
  <si>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맑은 고딕"/>
        <family val="3"/>
        <charset val="129"/>
      </rPr>
      <t>30</t>
    </r>
    <r>
      <rPr>
        <sz val="10"/>
        <color rgb="FF000000"/>
        <rFont val="DejaVu Sans"/>
        <family val="2"/>
      </rPr>
      <t>세</t>
    </r>
  </si>
  <si>
    <t>중앙 오토바이 가수점</t>
  </si>
  <si>
    <t>737-55-00719</t>
  </si>
  <si>
    <t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</si>
  <si>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맑은 고딕"/>
        <family val="3"/>
        <charset val="129"/>
      </rPr>
      <t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맑은 고딕"/>
        <family val="3"/>
        <charset val="129"/>
      </rPr>
      <t>5,6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가수동</t>
    </r>
    <r>
      <rPr>
        <sz val="10"/>
        <color rgb="FF000000"/>
        <rFont val="맑은 고딕"/>
        <family val="3"/>
        <charset val="129"/>
      </rPr>
      <t>)</t>
    </r>
  </si>
  <si>
    <t>010-5813-7336</t>
  </si>
  <si>
    <t>jungang@example.com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</si>
  <si>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</si>
  <si>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맑은 고딕"/>
        <family val="3"/>
        <charset val="129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맑은 고딕"/>
        <family val="3"/>
        <charset val="129"/>
      </rPr>
      <t>)</t>
    </r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</si>
  <si>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</si>
  <si>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</si>
  <si>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</si>
  <si>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맑은 고딕"/>
        <family val="3"/>
        <charset val="129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</si>
  <si>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맑은 고딕"/>
        <family val="3"/>
        <charset val="129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맑은 고딕"/>
        <family val="3"/>
        <charset val="129"/>
      </rPr>
      <t>)</t>
    </r>
  </si>
  <si>
    <t>계약번호입력→</t>
  </si>
  <si>
    <t>포어스바이크 유한회사</t>
  </si>
  <si>
    <t>■ 차량 정보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</si>
  <si>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맑은 고딕"/>
        <family val="3"/>
        <charset val="129"/>
      </rPr>
      <t>.</t>
    </r>
  </si>
  <si>
    <t>업체명</t>
  </si>
  <si>
    <t>연락처</t>
  </si>
  <si>
    <t>성명</t>
  </si>
  <si>
    <t>주민등록번호</t>
  </si>
  <si>
    <t>주소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</si>
  <si>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맑은 고딕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 xml:space="preserve">대표자 신분증 사본  </t>
    </r>
    <r>
      <rPr>
        <i/>
        <sz val="8"/>
        <color rgb="FF595959"/>
        <rFont val="맑은 고딕"/>
        <family val="3"/>
        <charset val="129"/>
      </rPr>
      <t xml:space="preserve">|  </t>
    </r>
    <r>
      <rPr>
        <i/>
        <sz val="8"/>
        <color rgb="FF595959"/>
        <rFont val="DejaVu Sans"/>
        <family val="2"/>
      </rPr>
      <t xml:space="preserve">보증 기한 </t>
    </r>
    <r>
      <rPr>
        <i/>
        <sz val="8"/>
        <color rgb="FF595959"/>
        <rFont val="맑은 고딕"/>
        <family val="3"/>
        <charset val="129"/>
      </rPr>
      <t>: 2</t>
    </r>
    <r>
      <rPr>
        <i/>
        <sz val="8"/>
        <color rgb="FF595959"/>
        <rFont val="DejaVu Sans"/>
        <family val="2"/>
      </rPr>
      <t xml:space="preserve">년  </t>
    </r>
    <r>
      <rPr>
        <i/>
        <sz val="8"/>
        <color rgb="FF595959"/>
        <rFont val="맑은 고딕"/>
        <family val="3"/>
        <charset val="129"/>
      </rPr>
      <t xml:space="preserve">|  </t>
    </r>
    <r>
      <rPr>
        <i/>
        <sz val="8"/>
        <color rgb="FF595959"/>
        <rFont val="DejaVu Sans"/>
        <family val="2"/>
      </rPr>
      <t xml:space="preserve">보증 한도 </t>
    </r>
    <r>
      <rPr>
        <i/>
        <sz val="8"/>
        <color rgb="FF595959"/>
        <rFont val="맑은 고딕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 xml:space="preserve">전체 이용료의 </t>
    </r>
    <r>
      <rPr>
        <i/>
        <sz val="8"/>
        <color rgb="FF595959"/>
        <rFont val="맑은 고딕"/>
        <family val="3"/>
        <charset val="129"/>
      </rPr>
      <t>130%</t>
    </r>
  </si>
  <si>
    <t>■ 계약 조건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</si>
  <si>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맑은 고딕"/>
        <family val="3"/>
        <charset val="129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맑은 고딕"/>
        <family val="3"/>
        <charset val="129"/>
      </rPr>
      <t>)</t>
    </r>
  </si>
  <si>
    <t>청구시작일</t>
  </si>
  <si>
    <t>차량 인도일부터</t>
  </si>
  <si>
    <t>상호</t>
  </si>
  <si>
    <t>104-86-62883</t>
  </si>
  <si>
    <t>대표이사</t>
  </si>
  <si>
    <t>김현수</t>
  </si>
  <si>
    <t>고객센터</t>
  </si>
  <si>
    <t>010-2730-7845 / 0507-1489-7885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</si>
  <si>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맑은 고딕"/>
        <family val="3"/>
        <charset val="129"/>
      </rPr>
      <t>)</t>
    </r>
  </si>
  <si>
    <t>운행자성</t>
  </si>
  <si>
    <r>
      <rPr>
        <b/>
        <sz val="8"/>
        <color rgb="FFC00000"/>
        <rFont val="DejaVu Sans"/>
        <family val="2"/>
      </rPr>
      <t xml:space="preserve">회사는 본 차량의 소유자이나 자동차손해배상보장법상 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가 아니며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운행지배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운행이익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은 전적으로 계약자에게 있습니다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따라서 운행 중 발생하는 모든 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손해의 운행자 책임은 계약자가 부담합니다</t>
    </r>
    <r>
      <rPr>
        <b/>
        <sz val="8"/>
        <color rgb="FFC00000"/>
        <rFont val="맑은 고딕"/>
        <family val="3"/>
        <charset val="129"/>
      </rPr>
      <t>.</t>
    </r>
  </si>
  <si>
    <t>사고 즉시 고지 의무</t>
  </si>
  <si>
    <r>
      <rPr>
        <b/>
        <sz val="8"/>
        <color rgb="FFC00000"/>
        <rFont val="DejaVu Sans"/>
        <family val="2"/>
      </rPr>
      <t>회사는 운행자가 아니므로 사고 발생 사실을 직접 인지할 수 없습니다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사고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단독사고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차량 파손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멸실 등 일체</t>
    </r>
    <r>
      <rPr>
        <b/>
        <sz val="8"/>
        <color rgb="FFC00000"/>
        <rFont val="맑은 고딕"/>
        <family val="3"/>
        <charset val="129"/>
      </rPr>
      <t xml:space="preserve">) </t>
    </r>
    <r>
      <rPr>
        <b/>
        <sz val="8"/>
        <color rgb="FFC00000"/>
        <rFont val="DejaVu Sans"/>
        <family val="2"/>
      </rPr>
      <t>발생 시 계약자는 즉시 회사에 고지하여야 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지연 고지로 발생하는 모든 손해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보험 미보장분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 추가 부담 비용 등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는 계약자가 전적으로 책임지며 회사는 본 계약을 즉시 해지하고 차량을 회수할 수 있습니다</t>
    </r>
    <r>
      <rPr>
        <b/>
        <sz val="8"/>
        <color rgb="FFC00000"/>
        <rFont val="맑은 고딕"/>
        <family val="3"/>
        <charset val="129"/>
      </rPr>
      <t>.</t>
    </r>
  </si>
  <si>
    <t>보험연령 미달자 운전</t>
  </si>
  <si>
    <r>
      <rPr>
        <b/>
        <sz val="8"/>
        <color rgb="FFC00000"/>
        <rFont val="DejaVu Sans"/>
        <family val="2"/>
      </rPr>
      <t>본 차량은 보험연령 이상의 운전자만이 운행해야 합니다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보험연령 미달자가 운행하여 발생한 사고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손해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보험사 구상금은 회사의 라이더 신원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연령 확인 여부와 관계없이 계약자가 전적으로 책임집니다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</si>
  <si>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</si>
  <si>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r>
      <rPr>
        <b/>
        <sz val="8"/>
        <color rgb="FFC00000"/>
        <rFont val="DejaVu Sans"/>
        <family val="2"/>
      </rPr>
      <t>신호위반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중앙선침범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음주운전 등 </t>
    </r>
    <r>
      <rPr>
        <b/>
        <sz val="8"/>
        <color rgb="FFC00000"/>
        <rFont val="맑은 고딕"/>
        <family val="3"/>
        <charset val="129"/>
      </rPr>
      <t>12</t>
    </r>
    <r>
      <rPr>
        <b/>
        <sz val="8"/>
        <color rgb="FFC00000"/>
        <rFont val="DejaVu Sans"/>
        <family val="2"/>
      </rPr>
      <t>대 중과실 또는 보험약관상 면책사항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고의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약물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범죄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운행자 범위 외 운전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도난중 운행 등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에 해당하는 사고로 회사에 보험사 구상금이 청구되는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계약자는 통보 후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맑은 고딕"/>
        <family val="3"/>
        <charset val="129"/>
      </rPr>
      <t>.</t>
    </r>
  </si>
  <si>
    <t>미변제 시 즉시 처리</t>
  </si>
  <si>
    <r>
      <rPr>
        <b/>
        <sz val="8"/>
        <color rgb="FFC00000"/>
        <rFont val="DejaVu Sans"/>
        <family val="2"/>
      </rPr>
      <t xml:space="preserve">위 구상금을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 변제하지 아니하는 경우 본 계약은 자동 해지되고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차량을 즉시 회수하며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보증금은 반환하지 아니합니다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위약금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손해배상금은 별도 청구</t>
    </r>
    <r>
      <rPr>
        <b/>
        <sz val="8"/>
        <color rgb="FFC00000"/>
        <rFont val="맑은 고딕"/>
        <family val="3"/>
        <charset val="129"/>
      </rPr>
      <t>).</t>
    </r>
  </si>
  <si>
    <t>계열사 미납 교차 적용</t>
  </si>
  <si>
    <t>보증금 처리</t>
  </si>
  <si>
    <t>수납 방식</t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</si>
  <si>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맑은 고딕"/>
        <family val="3"/>
        <charset val="129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맑은 고딕"/>
        <family val="3"/>
        <charset val="129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</si>
  <si>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목적</t>
    </r>
  </si>
  <si>
    <t>수집 항목</t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</si>
  <si>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기간</t>
    </r>
  </si>
  <si>
    <t>금융거래정보 제공</t>
  </si>
  <si>
    <t>자동이체 동의</t>
  </si>
  <si>
    <t>업무위탁 내역</t>
  </si>
  <si>
    <t>■ 계약 체결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</si>
  <si>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</si>
  <si>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서명일</t>
  </si>
  <si>
    <t>공급자</t>
  </si>
  <si>
    <t>제1조 (목적)</t>
  </si>
  <si>
    <t>제2조 (용어의 정의)</t>
  </si>
  <si>
    <t>③ "계약기간"이란, 계약자가 본 계약에 따라 이륜차를 인도받아 사용하는 기간을 말한다.</t>
    <phoneticPr fontId="30" type="noConversion"/>
  </si>
  <si>
    <r>
      <rPr>
        <b/>
        <sz val="9"/>
        <color rgb="FF1F3864"/>
        <rFont val="맑은 고딕"/>
        <family val="3"/>
        <charset val="129"/>
      </rPr>
      <t>이용약관의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내용에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대해서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설명을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듣고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확인하였습니다.</t>
    </r>
    <phoneticPr fontId="30" type="noConversion"/>
  </si>
  <si>
    <t>이 약관은 포어스바이크 유한회사(이하 "회사")와 본 계약을 체결한 계약자간의 이륜차 렌</t>
    <phoneticPr fontId="30" type="noConversion"/>
  </si>
  <si>
    <r>
      <rPr>
        <sz val="8"/>
        <color rgb="FF2B2B2B"/>
        <rFont val="맑은 고딕"/>
        <family val="3"/>
        <charset val="129"/>
      </rPr>
      <t>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0" type="noConversion"/>
  </si>
  <si>
    <t>① "이륜차 렌트 계약"이란, 회사가 계약자의 요청에 따라 이륜차를 취득하여 일정 기간 사</t>
    <phoneticPr fontId="30" type="noConversion"/>
  </si>
  <si>
    <t>용하게 하고 그 대가를 정기적으로 지급받는 계약을 말한다.</t>
    <phoneticPr fontId="30" type="noConversion"/>
  </si>
  <si>
    <t>② "이륜차"란, 회사가 본 계약서에 특정한 이륜차로서 인도 시 부착된 부속품 및 장착물을</t>
    <phoneticPr fontId="30" type="noConversion"/>
  </si>
  <si>
    <t>포함한다.</t>
    <phoneticPr fontId="30" type="noConversion"/>
  </si>
  <si>
    <t>는 금원을 말하며, 계약기간 만료 및 모든 채무 이행 완료 시 반환한다.</t>
    <phoneticPr fontId="30" type="noConversion"/>
  </si>
  <si>
    <t>⑤ "계약자"는 본 계약 제1면에 "계약자"로 기재된 사업장(법인 또는 개인사업자)을 말하며,</t>
    <phoneticPr fontId="30" type="noConversion"/>
  </si>
  <si>
    <t>본 계약상 모든 채무를 부담한다.</t>
    <phoneticPr fontId="30" type="noConversion"/>
  </si>
  <si>
    <r>
      <rPr>
        <sz val="8"/>
        <color rgb="FF2B2B2B"/>
        <rFont val="Segoe UI Symbol"/>
        <family val="3"/>
      </rPr>
      <t>⑦</t>
    </r>
    <r>
      <rPr>
        <sz val="8"/>
        <color rgb="FF2B2B2B"/>
        <rFont val="DejaVu Sans"/>
        <family val="3"/>
        <charset val="129"/>
      </rPr>
      <t xml:space="preserve"> "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</t>
    </r>
    <phoneticPr fontId="30" type="noConversion"/>
  </si>
  <si>
    <t>자는 사용자의 신원·자격·연령 관리에 대한 모든 책임을 부담하며, 회사는 사용자의 신원</t>
    <phoneticPr fontId="30" type="noConversion"/>
  </si>
  <si>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연령을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30" type="noConversion"/>
  </si>
  <si>
    <t>⑧ "보험연령"이란, 본 계약 차량에 가입된 보험에서 운전자로서 보장 가능한 최저연령을</t>
    <phoneticPr fontId="30" type="noConversion"/>
  </si>
  <si>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Arial"/>
        <family val="2"/>
      </rPr>
      <t>.</t>
    </r>
    <phoneticPr fontId="30" type="noConversion"/>
  </si>
  <si>
    <t>⑨ "위약금"이란, 계약자의 귀책사유로 주문 취소 또는 중도 해지 시 회사에 지급하여야 하</t>
    <phoneticPr fontId="30" type="noConversion"/>
  </si>
  <si>
    <t>는 금액을 말한다.</t>
    <phoneticPr fontId="30" type="noConversion"/>
  </si>
  <si>
    <t>⑩ "지연손해금"이란, 계약자가 렌트료·위약금·과태료 등의 납부를 지체한 경우 발생하는 추</t>
    <phoneticPr fontId="30" type="noConversion"/>
  </si>
  <si>
    <t>가 비용을 말한다.</t>
    <phoneticPr fontId="30" type="noConversion"/>
  </si>
  <si>
    <t>⑪ "구상금"이란, 본 계약 차량 운행 중 발생한 사고로 보험사가 회사에게 청구한 금액 일체</t>
    <phoneticPr fontId="30" type="noConversion"/>
  </si>
  <si>
    <t>를 말한다.</t>
    <phoneticPr fontId="30" type="noConversion"/>
  </si>
  <si>
    <t>③ 반납형 계약의 경우 이륜차의 소유권은 계약 종료 후에도 회사에 귀속된다.</t>
    <phoneticPr fontId="30" type="noConversion"/>
  </si>
  <si>
    <t>① 보험사가 면책하거나 회사에 구상금을 청구하는 사고로서 다음 각 호에 해당하는 경우,</t>
    <phoneticPr fontId="30" type="noConversion"/>
  </si>
  <si>
    <t>② 위 사유로 보험사가 회사에 구상금을 청구한 경우, 회사는 그 사실을 계약자에게 통보하</t>
    <phoneticPr fontId="30" type="noConversion"/>
  </si>
  <si>
    <t>며, 계약자는 통보 후 7일 이내에 구상금 전액 및 회사가 그와 관련하여 지출한 변호사비·소</t>
    <phoneticPr fontId="30" type="noConversion"/>
  </si>
  <si>
    <t>① 계약자는 선량한 관리자의 주의로 이륜차를 유지·관리하여야 하며, 사용자가 운행 중 발</t>
    <phoneticPr fontId="30" type="noConversion"/>
  </si>
  <si>
    <t>생하는 모든 사고에 대한 책임을 부담한다.</t>
    <phoneticPr fontId="30" type="noConversion"/>
  </si>
  <si>
    <t>② 계약자가 제3자에게 승계하고자 하는 경우 인적사항·신용상태·영업상황 등 필요 정보를</t>
    <phoneticPr fontId="30" type="noConversion"/>
  </si>
  <si>
    <t>계약자는 위약금을 계약 해지일까지 회사에 지급한다.</t>
    <phoneticPr fontId="30" type="noConversion"/>
  </si>
  <si>
    <t>② 보증금은 어떠한 경우에도 반환하지 아니하며, 위약금·손해배상금은 별도로 청구한다.</t>
    <phoneticPr fontId="30" type="noConversion"/>
  </si>
  <si>
    <t>③ 반환된 이륜차·부착물·키 부속품 일체에 파손이 있는 경우 계약자는 원상복구 수리비를</t>
    <phoneticPr fontId="30" type="noConversion"/>
  </si>
  <si>
    <t>① 본 계약이 해지되는 경우 계약자는 즉시 회사가 지정하는 장소로 이륜차를 반환한다.</t>
    <phoneticPr fontId="30" type="noConversion"/>
  </si>
  <si>
    <t>본 계약은 대한민국 법률에 따라 해석·적용하며, 본 계약과 관련하여 분쟁이 발생하는 경우</t>
    <phoneticPr fontId="30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</si>
  <si>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계약자</t>
    </r>
    <phoneticPr fontId="30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</si>
  <si>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연대보증인</t>
    </r>
    <phoneticPr fontId="30" type="noConversion"/>
  </si>
  <si>
    <t>이륜차 종합렌트 계약 이용약관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</si>
  <si>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</si>
  <si>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성실히</t>
    </r>
    <phoneticPr fontId="30" type="noConversion"/>
  </si>
  <si>
    <t>응한다. 제출된 서류는 어떠한 경우에도 반환하지 아니한다.</t>
    <phoneticPr fontId="30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</si>
  <si>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Arial"/>
        <family val="2"/>
      </rPr>
      <t>.</t>
    </r>
    <phoneticPr fontId="30" type="noConversion"/>
  </si>
  <si>
    <r>
      <rPr>
        <sz val="8"/>
        <color rgb="FF2B2B2B"/>
        <rFont val="맑은 고딕"/>
        <family val="1"/>
        <charset val="129"/>
      </rPr>
      <t>인도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</rPr>
      <t>.</t>
    </r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</si>
  <si>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맑은 고딕"/>
        <family val="3"/>
        <charset val="129"/>
      </rPr>
      <t>)</t>
    </r>
  </si>
  <si>
    <t>① 본 계약에 따른 이륜차의 소유권은 계약자가 모든 채무를 전액 이행할 때까지 회사에 유</t>
    <phoneticPr fontId="30" type="noConversion"/>
  </si>
  <si>
    <t>보된다.</t>
    <phoneticPr fontId="30" type="noConversion"/>
  </si>
  <si>
    <t>② 인수형 계약의 경우, 계약자가 모든 채무를 완전히 이행한 때 회사는 회사의 내부 행정 절</t>
    <phoneticPr fontId="30" type="noConversion"/>
  </si>
  <si>
    <t>차에 따라 이륜차의 소유권을 계약자에게 이전한다.</t>
    <phoneticPr fontId="30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</si>
  <si>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phoneticPr fontId="30" type="noConversion"/>
  </si>
  <si>
    <r>
      <rPr>
        <sz val="8"/>
        <color rgb="FF2B2B2B"/>
        <rFont val="맑은 고딕"/>
        <family val="1"/>
        <charset val="129"/>
      </rPr>
      <t>소유권을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주장할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없다</t>
    </r>
    <r>
      <rPr>
        <sz val="8"/>
        <color rgb="FF2B2B2B"/>
        <rFont val="DejaVu Sans"/>
        <family val="1"/>
      </rPr>
      <t>.</t>
    </r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</si>
  <si>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맑은 고딕"/>
        <family val="3"/>
        <charset val="129"/>
      </rPr>
      <t>)</t>
    </r>
  </si>
  <si>
    <t>① 계약자는 계약 체결 시 회사가 지정하는 계좌(포어스바이크 유한회사)로 보증금을 지급</t>
    <phoneticPr fontId="30" type="noConversion"/>
  </si>
  <si>
    <t>한다. 사전동의를 받아 보증금지급이 지연된 경우 회사는 최대 7일의 유예기간을 둘 수 있다.</t>
    <phoneticPr fontId="30" type="noConversion"/>
  </si>
  <si>
    <t>② 전항의 유예기간 내 미지급 시 본 계약은 자동 해지되며, 계약자는 즉시 이륜차를 반환</t>
    <phoneticPr fontId="30" type="noConversion"/>
  </si>
  <si>
    <t>함과 동시에 (1) 인도일부터 반환일까지 일할 사용료, (2) 감가손실액, (3) 차량 등록비·번호판·</t>
    <phoneticPr fontId="30" type="noConversion"/>
  </si>
  <si>
    <t>보험료 등 회사가 이미 지출한 부대비용 일체를 배상한다.</t>
    <phoneticPr fontId="30" type="noConversion"/>
  </si>
  <si>
    <t>③ 보증금은 계약기간 만료 및 모든 채무 이행 완료 시 반환한다. 다만, 미납 과태료·수리비·</t>
    <phoneticPr fontId="30" type="noConversion"/>
  </si>
  <si>
    <t>구상금 등이 확인될 수 있어 만료일로부터 1개월 경과 후 반환한다.</t>
    <phoneticPr fontId="30" type="noConversion"/>
  </si>
  <si>
    <t>④ 미납 과태료·범칙금은 보증금에서 공제하고 잔액을 반환하며, 초과분은 계약자가 추가 납</t>
    <phoneticPr fontId="30" type="noConversion"/>
  </si>
  <si>
    <t>부한다.</t>
    <phoneticPr fontId="30" type="noConversion"/>
  </si>
  <si>
    <t>⑤ 계약이 중도 해지된 경우 보증금 및 계약금은 반환하지 아니하며, 위약금 및 손해배상금</t>
    <phoneticPr fontId="30" type="noConversion"/>
  </si>
  <si>
    <t>은 별도로 청구한다.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</si>
  <si>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맑은 고딕"/>
        <family val="3"/>
        <charset val="129"/>
      </rPr>
      <t>)</t>
    </r>
  </si>
  <si>
    <t>① 계약자는 공휴일과 무관하게 정해진 결제일에 회사 명의 계좌로 렌트료 등 모든 비용을</t>
    <phoneticPr fontId="30" type="noConversion"/>
  </si>
  <si>
    <t>직접 납부한다. 회사가 지정한 은행계좌로 입금하며, 타 계좌 입금분은 수납이 확인되지 아</t>
    <phoneticPr fontId="30" type="noConversion"/>
  </si>
  <si>
    <t>니할 수 있다.</t>
    <phoneticPr fontId="30" type="noConversion"/>
  </si>
  <si>
    <t>② 매도인 가격 인상, 정부 정책, 보험사 단가 변경 등 불가피한 사정으로 렌트료가 변동될</t>
    <phoneticPr fontId="30" type="noConversion"/>
  </si>
  <si>
    <t>경우 회사는 계약자에게 개별 통지하며, 계약자는 출고 이전까지 계약을 취소할 수 있다.</t>
    <phoneticPr fontId="30" type="noConversion"/>
  </si>
  <si>
    <t>③ 이륜차 도난·멸실·훼손 등으로 운행이 불가능한 사유가 발생하더라도 계약자는 렌트료 지</t>
    <phoneticPr fontId="30" type="noConversion"/>
  </si>
  <si>
    <t>급의무를 거부할 수 없다.</t>
    <phoneticPr fontId="30" type="noConversion"/>
  </si>
  <si>
    <t>④ 보험연령 변경 등으로 렌트료가 변동될 경우 해당 차량 최초 계약 당시 단가표 기준으로</t>
    <phoneticPr fontId="30" type="noConversion"/>
  </si>
  <si>
    <t>산정한다.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</si>
  <si>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맑은 고딕"/>
        <family val="3"/>
        <charset val="129"/>
      </rPr>
      <t>)</t>
    </r>
  </si>
  <si>
    <t>① 계약자가 약정 금액을 기한 내 이행하지 않는 경우 위약금이 발생하며, 회사 청구일로부</t>
    <phoneticPr fontId="30" type="noConversion"/>
  </si>
  <si>
    <t>터 5일 이내에 지급한다.</t>
    <phoneticPr fontId="30" type="noConversion"/>
  </si>
  <si>
    <t>② 지연손해금: [지연손해금 = 연체금액 × 경과일수 × 연 15%].</t>
    <phoneticPr fontId="30" type="noConversion"/>
  </si>
  <si>
    <t>계약 만료 후 처리절차 지체 손해배상금: [손해배상금 = 1만원 × 지체일수].</t>
    <phoneticPr fontId="30" type="noConversion"/>
  </si>
  <si>
    <t>③ 지연손해금·손해배상금은 회사의 손해배상청구와 별도로 부과될 수 있으며, 연체·미납 발</t>
    <phoneticPr fontId="30" type="noConversion"/>
  </si>
  <si>
    <t>생 시 회사는 별도 동의 없이 신용정보집중기관 등록 또는 채권추심을 의뢰할 수 있다.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</si>
  <si>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연대보증인의 책임</t>
    </r>
    <r>
      <rPr>
        <b/>
        <sz val="9"/>
        <color rgb="FF1F4E89"/>
        <rFont val="맑은 고딕"/>
        <family val="3"/>
        <charset val="129"/>
      </rPr>
      <t>)</t>
    </r>
  </si>
  <si>
    <t>① 연대보증인은 렌트료 지급채무를 포함하여 계약자가 회사에 부담하는 일체의 채무를 보</t>
    <phoneticPr fontId="30" type="noConversion"/>
  </si>
  <si>
    <t>증하며, 계약자와 연대하여 그 채무를 이행한다.</t>
    <phoneticPr fontId="30" type="noConversion"/>
  </si>
  <si>
    <t>② 계약자가 회사 동의 없이 본 계약상 채무를 제3자에게 인수·승계시킨 경우에도 연대보증</t>
    <phoneticPr fontId="30" type="noConversion"/>
  </si>
  <si>
    <t>인은 채무가 전액 변제될 때까지 보증채무를 부담한다.</t>
    <phoneticPr fontId="30" type="noConversion"/>
  </si>
  <si>
    <t>③ 연대보증인은 계약자의 미변제 채무가 남아있는 경우 계약자의 채무를 회사보다 먼저 변</t>
    <phoneticPr fontId="30" type="noConversion"/>
  </si>
  <si>
    <t>제받을 권리를 행사할 수 없다.</t>
    <phoneticPr fontId="30" type="noConversion"/>
  </si>
  <si>
    <t>④ 보험연령 변경 등 일부 계약 내용 변경 시 연대보증인이 별도 서명·날인하지 않더라도 동</t>
    <phoneticPr fontId="30" type="noConversion"/>
  </si>
  <si>
    <t>의한 것으로 본다. 변경 내용이 연대보증인에게 불리한 경우 계약자는 즉시 통지하여야 하</t>
    <phoneticPr fontId="30" type="noConversion"/>
  </si>
  <si>
    <t>며, 7일 이내 이의 제기 시 회사는 새 보증인의 추가·교체를 요구할 수 있다.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</si>
  <si>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맑은 고딕"/>
        <family val="3"/>
        <charset val="129"/>
      </rPr>
      <t>)</t>
    </r>
  </si>
  <si>
    <t>① 회사는 이륜차 출고 시 계약자가 요청하는 보험연령에 따라 보험에 가입한다. 회사는 계</t>
    <phoneticPr fontId="30" type="noConversion"/>
  </si>
  <si>
    <t>약자를 대신하여 보험료를 납부하며, 보험의 내용은 보험증권 약관에 따른다.</t>
    <phoneticPr fontId="30" type="noConversion"/>
  </si>
  <si>
    <t>② 렌트료·과태료 등 미수금이 있을 경우 보험연령 변경이 불가하다. 보험사 정책상 보험</t>
    <phoneticPr fontId="30" type="noConversion"/>
  </si>
  <si>
    <t>연령 변경이 불가능한 경우 회사는 계약자에게 즉시 통지한다.</t>
    <phoneticPr fontId="30" type="noConversion"/>
  </si>
  <si>
    <t>③ 보험연령 변경에 따라 렌트료가 변경될 경우 해당 차량 최초 계약 당시 단가표 기준으로</t>
    <phoneticPr fontId="30" type="noConversion"/>
  </si>
  <si>
    <t xml:space="preserve">적용된다. 보험사 정책상 고가의 보험료를 수취하는 경우 보험사 보험료 정책에 따라 고가의 </t>
    <phoneticPr fontId="30" type="noConversion"/>
  </si>
  <si>
    <t>렌트료가 적용될 수 있다.</t>
    <phoneticPr fontId="30" type="noConversion"/>
  </si>
  <si>
    <t>④ 계약 해지 사유 발생 시 회사는 보험을 해지할 수 있으며, 이로 인해 발생하는 보험환급금</t>
    <phoneticPr fontId="30" type="noConversion"/>
  </si>
  <si>
    <t>은 회사에 귀속되고 계약자는 이에 대한 추가 환급을 청구할 수 없다.</t>
    <phoneticPr fontId="30" type="noConversion"/>
  </si>
  <si>
    <r>
      <rPr>
        <sz val="8"/>
        <color rgb="FF2B2B2B"/>
        <rFont val="Segoe UI Symbol"/>
        <family val="3"/>
      </rPr>
      <t>⑤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계약기간과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일치하게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보험계약을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체결한다</t>
    </r>
    <r>
      <rPr>
        <sz val="8"/>
        <color rgb="FF2B2B2B"/>
        <rFont val="DejaVu Sans"/>
        <family val="3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종료일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무보험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상태에서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운</t>
    </r>
    <phoneticPr fontId="30" type="noConversion"/>
  </si>
  <si>
    <r>
      <rPr>
        <sz val="8"/>
        <color rgb="FF2B2B2B"/>
        <rFont val="맑은 고딕"/>
        <family val="3"/>
        <charset val="129"/>
      </rPr>
      <t>행하여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손해가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발생하면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계약자가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배상책임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및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민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DejaVu Sans"/>
        <family val="3"/>
        <charset val="129"/>
      </rPr>
      <t>형사상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책임을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진다</t>
    </r>
    <r>
      <rPr>
        <sz val="8"/>
        <color rgb="FF2B2B2B"/>
        <rFont val="DejaVu Sans"/>
        <family val="3"/>
      </rPr>
      <t>.</t>
    </r>
    <phoneticPr fontId="30" type="noConversion"/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</si>
  <si>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10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운행자성 및 운행지배</t>
    </r>
    <r>
      <rPr>
        <b/>
        <sz val="9"/>
        <color rgb="FFC00000"/>
        <rFont val="맑은 고딕"/>
        <family val="3"/>
        <charset val="129"/>
      </rPr>
      <t>)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</si>
  <si>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11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사고 발생 시 고지 의무</t>
    </r>
    <r>
      <rPr>
        <b/>
        <sz val="9"/>
        <color rgb="FFC00000"/>
        <rFont val="맑은 고딕"/>
        <family val="3"/>
        <charset val="129"/>
      </rPr>
      <t>)</t>
    </r>
  </si>
  <si>
    <t>본 조의 고지 의무는 본 계약상 계약자의 핵심 의무에 해당한다.</t>
    <phoneticPr fontId="30" type="noConversion"/>
  </si>
  <si>
    <t>② 다음 사유 발생 시 계약자는 사용자로부터 통보받은 즉시 회사에 고지하여야 한다: 인적·</t>
    <phoneticPr fontId="30" type="noConversion"/>
  </si>
  <si>
    <t>물적 손해 사고, 단독사고·차량 파손, 도난·멸실·분실, 보험사 접수 필요 사건, 무면허·음주·약</t>
    <phoneticPr fontId="30" type="noConversion"/>
  </si>
  <si>
    <t>물·범죄 목적 운전 등 면책사유 해당 운행 사실 인지.</t>
    <phoneticPr fontId="30" type="noConversion"/>
  </si>
  <si>
    <t>③ 고지에는 사고 일시·장소·경위, 운전자 신원·면허·음주 여부, 상대방·피해자 정보, 보험사 접</t>
    <phoneticPr fontId="30" type="noConversion"/>
  </si>
  <si>
    <t>수 번호, 경찰 신고 여부, 차량 위치 및 상태가 포함되어야 한다.</t>
    <phoneticPr fontId="30" type="noConversion"/>
  </si>
  <si>
    <t>④ 계약자가 고지 의무를 위반하는 경우(미고지·지연 고지·허위 고지 포함) 다음 책임을 부담</t>
    <phoneticPr fontId="30" type="noConversion"/>
  </si>
  <si>
    <t>한다: (1) 보험사 면책으로 인한 미보장 손해 일체, (2) 회사에 추가 발생한 구상금·과태료·소</t>
    <phoneticPr fontId="30" type="noConversion"/>
  </si>
  <si>
    <t>송비용·변호사비, (3) 회사가 사고를 알지 못한 상태에서 차량 처분·계약 갱신·보험 정산을 진</t>
    <phoneticPr fontId="30" type="noConversion"/>
  </si>
  <si>
    <t>행함으로써 발생한 손해 일체.</t>
    <phoneticPr fontId="30" type="noConversion"/>
  </si>
  <si>
    <t xml:space="preserve">⑤ 위 책임 부담과 별도로 회사는 본 계약을 즉시 해지하고 차량을 회수할 수 있다. 보증금은 </t>
    <phoneticPr fontId="30" type="noConversion"/>
  </si>
  <si>
    <t>반환하지 아니하며, 위약금 및 손해배상금은 별도로 청구한다.</t>
    <phoneticPr fontId="30" type="noConversion"/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</si>
  <si>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보험연령 미달자 운전 책임</t>
    </r>
    <r>
      <rPr>
        <b/>
        <sz val="9"/>
        <color rgb="FFC00000"/>
        <rFont val="맑은 고딕"/>
        <family val="3"/>
        <charset val="129"/>
      </rPr>
      <t>)</t>
    </r>
  </si>
  <si>
    <t>① 본 계약 차량은 보험연령 이상의 운전자만이 운행할 수 있으며, 계약자는 사용자의 자격</t>
    <phoneticPr fontId="30" type="noConversion"/>
  </si>
  <si>
    <t>을 관리·감독할 의무를 부담한다.</t>
    <phoneticPr fontId="30" type="noConversion"/>
  </si>
  <si>
    <t>② 보험연령 미달자가 운행하여 발생한 모든 사고·손해·구상금은 회사의 라이더 신원·연령 확</t>
    <phoneticPr fontId="30" type="noConversion"/>
  </si>
  <si>
    <t>인 여부와 관계없이 계약자가 전적으로 책임진다.</t>
    <phoneticPr fontId="30" type="noConversion"/>
  </si>
  <si>
    <t>③ 회사는 사용자의 신원·자격·연령을 사전에 확인할 의무를 부담하지 아니한다.</t>
    <phoneticPr fontId="30" type="noConversion"/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</si>
  <si>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13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보험 면책사고 및 구상금</t>
    </r>
    <r>
      <rPr>
        <b/>
        <sz val="9"/>
        <color rgb="FFC00000"/>
        <rFont val="맑은 고딕"/>
        <family val="3"/>
        <charset val="129"/>
      </rPr>
      <t>)</t>
    </r>
  </si>
  <si>
    <t xml:space="preserve">그 손해 일체는 계약자가 부담한다: (1) 고의·범죄 목적 운행 또는 도난·무단이용 중 사고, (2) </t>
    <phoneticPr fontId="30" type="noConversion"/>
  </si>
  <si>
    <t>무면허·음주·약물·보험연령 미달자·운전자 자격 미충족자의 운전, (3) 12대 중과실(교통사고처</t>
    <phoneticPr fontId="30" type="noConversion"/>
  </si>
  <si>
    <t>리 특례법상)에 해당하는 사고, (4) 운전자 범위 위반 또는 요금·대가를 받고 이용, (5) 경기·시</t>
    <phoneticPr fontId="30" type="noConversion"/>
  </si>
  <si>
    <t>범·연습용 등 비일상적 사용, (6) 그 밖에 보험약관상 면책사항에 해당하는 일체의 사고.</t>
    <phoneticPr fontId="30" type="noConversion"/>
  </si>
  <si>
    <t>송비 일체를 회사에 변제한다.</t>
    <phoneticPr fontId="30" type="noConversion"/>
  </si>
  <si>
    <t xml:space="preserve">③ 7일 이내 미변제 시 본 계약은 자동 해지되며 회사는 계약된 모든 차량을 즉시 회수한다. </t>
    <phoneticPr fontId="30" type="noConversion"/>
  </si>
  <si>
    <t>보증금은 반환하지 아니하며, 위약금 및 손해배상금은 별도로 청구한다.</t>
    <phoneticPr fontId="30" type="noConversion"/>
  </si>
  <si>
    <t>④ 계약자가 회사를 면책시키지 못하여 회사가 직접 손해배상을 한 경우, 회사가 제3자에게</t>
    <phoneticPr fontId="30" type="noConversion"/>
  </si>
  <si>
    <t>지급한 금액과 관련 비용 일체를 즉시 회사에 상환한다.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</si>
  <si>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맑은 고딕"/>
        <family val="3"/>
        <charset val="129"/>
      </rPr>
      <t>)</t>
    </r>
  </si>
  <si>
    <t>① 사고 발생 시 계약자는 사용자가 지정 수리센터로 입고하여 수리를 진행하게 하며, 관계</t>
    <phoneticPr fontId="30" type="noConversion"/>
  </si>
  <si>
    <t>법령 및 보험계약상의 절차에 따라 사고를 처리한다.</t>
    <phoneticPr fontId="30" type="noConversion"/>
  </si>
  <si>
    <t>② 렌트 기간 중 미수선처리는 불가하다.</t>
    <phoneticPr fontId="30" type="noConversion"/>
  </si>
  <si>
    <t xml:space="preserve">③ 회사는 차량 가치 감가하락의 대가로 지급되는 격락손해금을 계약 만기 시 지급한다. 단, </t>
    <phoneticPr fontId="30" type="noConversion"/>
  </si>
  <si>
    <t>렌트료의 미납이 없는 경우에 한한다.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</si>
  <si>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계약자 및 사용자의 책임</t>
    </r>
    <r>
      <rPr>
        <b/>
        <sz val="9"/>
        <color rgb="FF1F4E89"/>
        <rFont val="맑은 고딕"/>
        <family val="3"/>
        <charset val="129"/>
      </rPr>
      <t>)</t>
    </r>
  </si>
  <si>
    <t>② 계약자는 계약기간 중 임의로 부착물을 추가하거나 이륜차 구조를 변경할 수 없다.</t>
    <phoneticPr fontId="30" type="noConversion"/>
  </si>
  <si>
    <t>③ 이륜차의 소유권은 회사에 있으며, 계약자는 사용수익권과 운행이익권을 가진다. 본 계약</t>
    <phoneticPr fontId="30" type="noConversion"/>
  </si>
  <si>
    <t>이 해지된 경우 즉시 운행을 중단하고 이륜차를 반환한다.</t>
    <phoneticPr fontId="30" type="noConversion"/>
  </si>
  <si>
    <t>④ 계약자는 사용자의 보험연령 충족, 면허 보유, 음주·약물 미복용 여부 등 운행 자격을 확인</t>
    <phoneticPr fontId="30" type="noConversion"/>
  </si>
  <si>
    <t>할 의무가 있으며, 위반으로 발생한 사고 손해 일체는 계약자가 부담한다.</t>
    <phoneticPr fontId="30" type="noConversion"/>
  </si>
  <si>
    <t>⑤ 제3자가 이륜차에 대해 권리를 주장하거나 강제집행 등으로 회사 소유권을 침해할 위험</t>
    <phoneticPr fontId="30" type="noConversion"/>
  </si>
  <si>
    <t>이 있는 경우 계약자는 회사의 소유임을 주장·입증하고 즉시 회사에 통지한다.</t>
    <phoneticPr fontId="30" type="noConversion"/>
  </si>
  <si>
    <t>⑥ 계약자는 인도일부터 반환일까지 이륜차의 도난·멸실·훼손에 대한 책임을 부담하며, 자비</t>
    <phoneticPr fontId="30" type="noConversion"/>
  </si>
  <si>
    <t>로 원상복구하거나 동일 모델·사양으로 교체한다.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</si>
  <si>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맑은 고딕"/>
        <family val="3"/>
        <charset val="129"/>
      </rPr>
      <t>)</t>
    </r>
  </si>
  <si>
    <t>① 계약자는 회사의 사전 승인 없이 본 계약상 권리·의무를 제3자에게 승계할 수 없다.</t>
    <phoneticPr fontId="30" type="noConversion"/>
  </si>
  <si>
    <t>제공하며, 회사는 심사기준에 부합하지 않으면 거절할 수 있다.</t>
    <phoneticPr fontId="30" type="noConversion"/>
  </si>
  <si>
    <t>③ 회사의 승인 없이 계약자가 제3자에게 넘긴 경우, 계약자는 렌트료 지급의무 및 기타 채</t>
    <phoneticPr fontId="30" type="noConversion"/>
  </si>
  <si>
    <t>무를 계속 이행한다.</t>
    <phoneticPr fontId="30" type="noConversion"/>
  </si>
  <si>
    <t>④ 계약이관을 위해서는 렌트료·수리비·위약금·과태료 등 일체의 미납금이 없어야 한다. 승계</t>
    <phoneticPr fontId="30" type="noConversion"/>
  </si>
  <si>
    <t>받을 제3자가 계약이관서에 서명함으로써 절차는 완료된 것으로 본다.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</si>
  <si>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맑은 고딕"/>
        <family val="3"/>
        <charset val="129"/>
      </rPr>
      <t>)</t>
    </r>
  </si>
  <si>
    <t>① 본 차량에는 도난·멸실·분실 위험 방지를 위해 위치정보 수집 장치가 부착되어 있으며, 계</t>
    <phoneticPr fontId="30" type="noConversion"/>
  </si>
  <si>
    <t>약자는 이를 인지하고 동의한다.</t>
    <phoneticPr fontId="30" type="noConversion"/>
  </si>
  <si>
    <t>② 계약자는 사용자가 운행되는 전 기간에 대하여 위치정보 수집·이용·제공의 적법성을 확보</t>
    <phoneticPr fontId="30" type="noConversion"/>
  </si>
  <si>
    <t>할 책임을 부담하며, 이와 관련하여 제3자로부터 회사에 제기되는 일체의 청구·손해·과태료</t>
    <phoneticPr fontId="30" type="noConversion"/>
  </si>
  <si>
    <t>에 대해 계약자가 전적으로 책임진다.</t>
    <phoneticPr fontId="30" type="noConversion"/>
  </si>
  <si>
    <r>
      <rPr>
        <sz val="8"/>
        <color rgb="FF2B2B2B"/>
        <rFont val="Segoe UI Symbol"/>
        <family val="2"/>
      </rPr>
      <t>③</t>
    </r>
    <r>
      <rPr>
        <sz val="8"/>
        <color rgb="FF2B2B2B"/>
        <rFont val="DejaVu Sans"/>
        <family val="2"/>
        <charset val="129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2"/>
        <charset val="129"/>
      </rPr>
      <t>해</t>
    </r>
    <phoneticPr fontId="30" type="noConversion"/>
  </si>
  <si>
    <r>
      <rPr>
        <sz val="8"/>
        <color rgb="FF2B2B2B"/>
        <rFont val="맑은 고딕"/>
        <family val="3"/>
        <charset val="129"/>
      </rPr>
      <t>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Arial"/>
        <family val="2"/>
      </rPr>
      <t>.</t>
    </r>
    <phoneticPr fontId="30" type="noConversion"/>
  </si>
  <si>
    <t>계약자는 다음 행위를 하여서는 아니된다: (1) 이륜차의 무단 양도·전대 또는 본 계약상 권리</t>
    <phoneticPr fontId="30" type="noConversion"/>
  </si>
  <si>
    <t>를 제3자에게 양도, (2) 보험 인정 사용자 이외의 자 또는 보험연령 미달자에게 운행하게 하</t>
    <phoneticPr fontId="30" type="noConversion"/>
  </si>
  <si>
    <t>는 행위, (3) 이륜차 규격·성능·기능의 임의 변경 또는 번호판 훼손, (4) 이륜차를 제3자에게</t>
    <phoneticPr fontId="30" type="noConversion"/>
  </si>
  <si>
    <t>은닉·위치 변경 등 본래의 효용을 해하는 행위.</t>
    <phoneticPr fontId="30" type="noConversion"/>
  </si>
  <si>
    <t>담보 제공 등 회사 소유권 침해 행위, (5) 이륜차 부착 표지 또는 위치정보 수집 장치의 훼손·</t>
    <phoneticPr fontId="30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</si>
  <si>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상대</t>
    </r>
    <phoneticPr fontId="30" type="noConversion"/>
  </si>
  <si>
    <r>
      <rPr>
        <sz val="8"/>
        <color rgb="FF2B2B2B"/>
        <rFont val="맑은 고딕"/>
        <family val="1"/>
        <charset val="129"/>
      </rPr>
      <t>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인적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물적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손해배상을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청구하는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자신의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비용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책임으로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회사를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면책시킨다</t>
    </r>
    <r>
      <rPr>
        <sz val="8"/>
        <color rgb="FF2B2B2B"/>
        <rFont val="DejaVu Sans"/>
        <family val="1"/>
      </rPr>
      <t>.</t>
    </r>
    <phoneticPr fontId="30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</si>
  <si>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손해배상한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</t>
    </r>
    <phoneticPr fontId="30" type="noConversion"/>
  </si>
  <si>
    <r>
      <rPr>
        <sz val="8"/>
        <color rgb="FF2B2B2B"/>
        <rFont val="맑은 고딕"/>
        <family val="1"/>
        <charset val="129"/>
      </rPr>
      <t>비용을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상환한다</t>
    </r>
    <r>
      <rPr>
        <sz val="8"/>
        <color rgb="FF2B2B2B"/>
        <rFont val="DejaVu Sans"/>
        <family val="1"/>
      </rPr>
      <t>.</t>
    </r>
    <phoneticPr fontId="30" type="noConversion"/>
  </si>
  <si>
    <t>담한다.</t>
    <phoneticPr fontId="30" type="noConversion"/>
  </si>
  <si>
    <t>③ 회사가 제3자 청구에 방어를 한 경우 계약자는 방어 관련 지출된 소송비용 등 일체를 부</t>
    <phoneticPr fontId="30" type="noConversion"/>
  </si>
  <si>
    <t>① 계약자는 해지 예정일 최소 10일 전에 회사에 사전 통보한다.</t>
    <phoneticPr fontId="30" type="noConversion"/>
  </si>
  <si>
    <t>② 회사의 중대한 귀책사유가 아닌 경우 계약자는 위약금을 회사에 지급한다.</t>
    <phoneticPr fontId="30" type="noConversion"/>
  </si>
  <si>
    <t>③ 계약자는 해지 예정일까지 회사가 지정하는 장소에 이륜차를 반환하며, 관련 비용은 계약</t>
    <phoneticPr fontId="30" type="noConversion"/>
  </si>
  <si>
    <t>자가 부담한다.</t>
    <phoneticPr fontId="30" type="noConversion"/>
  </si>
  <si>
    <t xml:space="preserve">다음 각 호에 해당하는 경우 계약자는 사전 통지·최고 없이 기한이익을 상실하며, 회사는 본 </t>
    <phoneticPr fontId="30" type="noConversion"/>
  </si>
  <si>
    <t>계약을 해지하고 차량 인도를 청구할 수 있다: (1) 이륜차 무단 양도·전대 또는 보험 인정 사</t>
    <phoneticPr fontId="30" type="noConversion"/>
  </si>
  <si>
    <t xml:space="preserve">용자 이외의 자에게 사용, (2) 보험연령 미달자 운전 사실 발견, (3) 정해진 입금일에 렌트료 </t>
    <phoneticPr fontId="30" type="noConversion"/>
  </si>
  <si>
    <t xml:space="preserve">미납 및 10일 이상 지체, (4) 통지받은 수리비·과태료·구상금 등을 정당한 사유 없이 5일 이내 </t>
    <phoneticPr fontId="30" type="noConversion"/>
  </si>
  <si>
    <t>공 등 회사 소유권 침해 또는 차량 규격·성능·표지의 무단 변경·훼손, (7) 위치정보 장치 훼손·</t>
    <phoneticPr fontId="30" type="noConversion"/>
  </si>
  <si>
    <t>은닉, (8) 보험사 구상금 통보 후 7일 이내 미변제, (9) 사고 발생 시 고지 의무 위반.</t>
    <phoneticPr fontId="30" type="noConversion"/>
  </si>
  <si>
    <t>미납, (5) 무면허·음주운전 등 사용자 귀책 배상금 청구 후 3일 이내 미납, (6) 제3자 담보 제</t>
    <phoneticPr fontId="30" type="noConversion"/>
  </si>
  <si>
    <t>① 위약금 산식: 위약금 = 보증금 + (잔여기간에 대한 총 렌트료 × 20%).</t>
    <phoneticPr fontId="30" type="noConversion"/>
  </si>
  <si>
    <t>② 계약자가 반환을 지연·거부하는 경우 회사는 이륜차를 임의로 회수할 수 있으며, 계약자</t>
    <phoneticPr fontId="30" type="noConversion"/>
  </si>
  <si>
    <t>는 민·형사상 어떠한 이의도 제기할 수 없다. 회수 비용 일체는 계약자가 부담한다.</t>
    <phoneticPr fontId="30" type="noConversion"/>
  </si>
  <si>
    <t>③ 계약자는 계약 해지일부터 이륜차 최종 반환일까지의 손해배상금을 회사에 지급한다.</t>
    <phoneticPr fontId="30" type="noConversion"/>
  </si>
  <si>
    <t>① 계약자는 계약만료일 이후 이륜차를 운행하여서는 아니되며, 만료 후 임의 운행으로 발생</t>
    <phoneticPr fontId="30" type="noConversion"/>
  </si>
  <si>
    <t>하는 사고에 회사는 민·형사상 책임을 지지 않는다.</t>
    <phoneticPr fontId="30" type="noConversion"/>
  </si>
  <si>
    <t>② 인수형 계약: (1) 명의 이전 시 보험가입증명서·신분증 제출, (2) 사용폐지 시 만료일 익일</t>
    <phoneticPr fontId="30" type="noConversion"/>
  </si>
  <si>
    <t>에 번호판 등기 발송 중 하나를 선택한다.</t>
    <phoneticPr fontId="30" type="noConversion"/>
  </si>
  <si>
    <t>③ 인수형 계약에서 명의이전 시 취·등록세는 계약자가 부담하며 신고는 회사가 대행한다.</t>
    <phoneticPr fontId="30" type="noConversion"/>
  </si>
  <si>
    <t>④ 인수형 계약에 미납금이 있는 경우 만료일까지 전액 완납되어야 인수가 가능하다. 만료일</t>
    <phoneticPr fontId="30" type="noConversion"/>
  </si>
  <si>
    <t>이후 D+3일까지 미납 시 차량 회수가 진행되고, D+15일까지 미완납 시 계약자는 기한이익</t>
    <phoneticPr fontId="30" type="noConversion"/>
  </si>
  <si>
    <t>을 상실하며 회사는 차량을 자체 처분할 수 있다. 처분대금은 미납금 상환에 우선 충당된다.</t>
    <phoneticPr fontId="30" type="noConversion"/>
  </si>
  <si>
    <t>⑤ 반납형 계약은 만료일 익일에 이륜차를 반환한다. 회사는 수리견적을 작성하여 수리비를</t>
    <phoneticPr fontId="30" type="noConversion"/>
  </si>
  <si>
    <t>보증금에서 차감 후 잔액을 계약자에게 지급하며, 수리비가 보증금을 초과하는 경우 차액을</t>
    <phoneticPr fontId="30" type="noConversion"/>
  </si>
  <si>
    <t>계약자가 납부한다.</t>
    <phoneticPr fontId="30" type="noConversion"/>
  </si>
  <si>
    <t>⑥ 명의이전·폐지·반납에 필요한 서류 전달은 만료일 익일까지 완료되어야 하며, 지체 시 계</t>
    <phoneticPr fontId="30" type="noConversion"/>
  </si>
  <si>
    <t>약자는 제7조에 따른 손해배상금 및 부당사용이익을 회사에 납부한다.</t>
    <phoneticPr fontId="30" type="noConversion"/>
  </si>
  <si>
    <t>① 계약자가 납입한 금액이 채무 전액을 충당하기에 부족한 경우, 회사는 납기일 기준으로</t>
    <phoneticPr fontId="30" type="noConversion"/>
  </si>
  <si>
    <t>먼저 도래한 채무액부터 우선 충당한다.</t>
    <phoneticPr fontId="30" type="noConversion"/>
  </si>
  <si>
    <t>② 연체이자가 있는 경우 연체이자, 지연손해금, 위약금, 원금의 순으로 충당한다.</t>
    <phoneticPr fontId="30" type="noConversion"/>
  </si>
  <si>
    <t>① 세금계산서는 본 계약서에 명시된 사업자등록번호를 기준으로 회사 명의로 발행한다.</t>
  </si>
  <si>
    <t>② 발행 대상이 변경되는 경우 계약자는 익월 5일까지 회사에 통지한다.</t>
    <phoneticPr fontId="30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</si>
  <si>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전화번호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</t>
    </r>
    <phoneticPr fontId="30" type="noConversion"/>
  </si>
  <si>
    <t>⑦ 이륜차의 등록·유지·사용·등록말소·폐차 등과 관련하여 렌트료에 포함되지 않은 비용 및</t>
    <phoneticPr fontId="30" type="noConversion"/>
  </si>
  <si>
    <t>제세공과금(과태료·범칙금·벌과금 등)은 전적으로 계약자가 부담한다.</t>
    <phoneticPr fontId="30" type="noConversion"/>
  </si>
  <si>
    <r>
      <rPr>
        <b/>
        <sz val="9"/>
        <color rgb="FF1F4E89"/>
        <rFont val="맑은 고딕"/>
        <family val="3"/>
        <charset val="129"/>
      </rPr>
      <t>제18조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(금지행위)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</si>
  <si>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제19조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(제3자에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대한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면책)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</si>
  <si>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제20조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(계약자에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의한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중도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해지)</t>
    </r>
    <phoneticPr fontId="30" type="noConversion"/>
  </si>
  <si>
    <r>
      <rPr>
        <b/>
        <sz val="9"/>
        <color rgb="FFC00000"/>
        <rFont val="맑은 고딕"/>
        <family val="3"/>
        <charset val="129"/>
      </rPr>
      <t>제21조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(계약의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해지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사유)</t>
    </r>
    <phoneticPr fontId="30" type="noConversion"/>
  </si>
  <si>
    <r>
      <rPr>
        <b/>
        <sz val="9"/>
        <color rgb="FFC00000"/>
        <rFont val="맑은 고딕"/>
        <family val="3"/>
        <charset val="129"/>
      </rPr>
      <t>제22조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(해지위약금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등의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부과방법)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</si>
  <si>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제23조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(이륜차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반환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회수)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</si>
  <si>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제24조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(계약만료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처리)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</si>
  <si>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제25조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(변제충당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순서)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</si>
  <si>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제26조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(세금계산서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발급)</t>
    </r>
    <phoneticPr fontId="30" type="noConversion"/>
  </si>
  <si>
    <r>
      <rPr>
        <b/>
        <sz val="9"/>
        <color rgb="FFC00000"/>
        <rFont val="맑은 고딕"/>
        <family val="3"/>
        <charset val="129"/>
      </rPr>
      <t>제27조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(계열사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미납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교차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적용)</t>
    </r>
    <phoneticPr fontId="30" type="noConversion"/>
  </si>
  <si>
    <t>계약자가 회사 또는 회사의 계열사(한국모터사이클리스 유한회사 포함)와 체결한 이륜차 계</t>
    <phoneticPr fontId="30" type="noConversion"/>
  </si>
  <si>
    <t>약은 미수금 발생 시 상호 처분에 영향을 미치며, 미수금이 7일 이상 지속되는 경우 차량별</t>
    <phoneticPr fontId="30" type="noConversion"/>
  </si>
  <si>
    <t>수원지방법원을 전속 관할 법원으로 한다.</t>
    <phoneticPr fontId="30" type="noConversion"/>
  </si>
  <si>
    <t>계약 만료·해지로 이륜차가 회사에 반환된 경우, 회사는 다음 기준에 따라 감가액을 산정한</t>
    <phoneticPr fontId="30" type="noConversion"/>
  </si>
  <si>
    <t>다: (1) 커버류 교체·수리 필요 시 부위당 4%, (2) 차대 교체·수리 필요 시 부위당 6%, (3) 도장·</t>
    <phoneticPr fontId="30" type="noConversion"/>
  </si>
  <si>
    <t>판금 작업 필요 시 30~50만원 범위. 실제 수리비가 본 기준을 초과하는 경우 실비를 기준으</t>
    <phoneticPr fontId="30" type="noConversion"/>
  </si>
  <si>
    <r>
      <rPr>
        <sz val="8"/>
        <color rgb="FF2B2B2B"/>
        <rFont val="맑은 고딕"/>
        <family val="3"/>
        <charset val="129"/>
      </rPr>
      <t>로 청구할 수 있다.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</si>
  <si>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제28조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(준거법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관할)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</si>
  <si>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제29조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(차량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평가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감가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기준)</t>
    </r>
    <phoneticPr fontId="30" type="noConversion"/>
  </si>
  <si>
    <t>입금처리 여부와 관계없이 회사는 본계약을 해지하고 계약된 전차량을 즉시 회수할 수 있다.</t>
    <phoneticPr fontId="30" type="noConversion"/>
  </si>
  <si>
    <r>
      <rPr>
        <sz val="10"/>
        <color rgb="FF000000"/>
        <rFont val="맑은 고딕"/>
        <family val="3"/>
        <charset val="129"/>
      </rPr>
      <t>강원특별자치도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춘천시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춘천로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188, 210호, 211호-에이66호</t>
    </r>
    <phoneticPr fontId="30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</si>
  <si>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회사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정보</t>
    </r>
    <phoneticPr fontId="30" type="noConversion"/>
  </si>
  <si>
    <t>계약자</t>
    <phoneticPr fontId="30" type="noConversion"/>
  </si>
  <si>
    <t>연대보증인</t>
    <phoneticPr fontId="30" type="noConversion"/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</si>
  <si>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3"/>
        <charset val="129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</si>
  <si>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한국모터사이클리스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유한회사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계열사와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체결한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다른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이륜차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미수금이</t>
    </r>
    <r>
      <rPr>
        <sz val="8"/>
        <color rgb="FF404040"/>
        <rFont val="Arial"/>
        <family val="2"/>
      </rPr>
      <t xml:space="preserve"> 7</t>
    </r>
    <r>
      <rPr>
        <sz val="8"/>
        <color rgb="FF404040"/>
        <rFont val="맑은 고딕"/>
        <family val="3"/>
        <charset val="129"/>
      </rPr>
      <t>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지속되는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경우, 회사는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해지하고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있습니다.</t>
    </r>
    <phoneticPr fontId="30" type="noConversion"/>
  </si>
  <si>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않으며, 위약금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손해배상금은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청구됩니다.</t>
    </r>
    <phoneticPr fontId="30" type="noConversion"/>
  </si>
  <si>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포어스바이크(유) 명의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직접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입금되며, 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있습니다.</t>
    </r>
    <phoneticPr fontId="30" type="noConversion"/>
  </si>
  <si>
    <r>
      <rPr>
        <i/>
        <sz val="8"/>
        <color rgb="FF595959"/>
        <rFont val="맑은 고딕"/>
        <family val="3"/>
        <charset val="129"/>
      </rPr>
      <t>※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제출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서류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: 사업자등록증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사본, 대표자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신분증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phoneticPr fontId="30" type="noConversion"/>
  </si>
  <si>
    <t>④ "보증금"이란, 렌트료 등 본 계약상 채무이행을 담보하기 위해 계약자가 회사에 납부하</t>
  </si>
  <si>
    <r>
      <rPr>
        <sz val="8"/>
        <color rgb="FFC00000"/>
        <rFont val="Segoe UI Symbol"/>
        <family val="1"/>
      </rPr>
      <t>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소유권은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있으나</t>
    </r>
    <r>
      <rPr>
        <sz val="8"/>
        <color rgb="FFC00000"/>
        <rFont val="Arial"/>
        <family val="2"/>
      </rPr>
      <t xml:space="preserve">, </t>
    </r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자동차손해배상보장법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제</t>
    </r>
    <r>
      <rPr>
        <sz val="8"/>
        <color rgb="FFC00000"/>
        <rFont val="Arial"/>
        <family val="2"/>
      </rPr>
      <t>3</t>
    </r>
    <r>
      <rPr>
        <sz val="8"/>
        <color rgb="FFC00000"/>
        <rFont val="맑은 고딕"/>
        <family val="3"/>
        <charset val="129"/>
      </rPr>
      <t>조에서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정한</t>
    </r>
    <r>
      <rPr>
        <sz val="8"/>
        <color rgb="FFC00000"/>
        <rFont val="Arial"/>
        <family val="2"/>
      </rPr>
      <t xml:space="preserve"> </t>
    </r>
    <phoneticPr fontId="30" type="noConversion"/>
  </si>
  <si>
    <r>
      <t>"</t>
    </r>
    <r>
      <rPr>
        <sz val="8"/>
        <color rgb="FFC00000"/>
        <rFont val="맑은 고딕"/>
        <family val="3"/>
        <charset val="129"/>
      </rPr>
      <t>자기를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위하여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자동차를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</t>
    </r>
    <r>
      <rPr>
        <sz val="8"/>
        <color rgb="FFC00000"/>
        <rFont val="Arial"/>
        <family val="2"/>
      </rPr>
      <t>"(</t>
    </r>
    <r>
      <rPr>
        <sz val="8"/>
        <color rgb="FFC00000"/>
        <rFont val="맑은 고딕"/>
        <family val="3"/>
        <charset val="129"/>
      </rPr>
      <t>이하</t>
    </r>
    <r>
      <rPr>
        <sz val="8"/>
        <color rgb="FFC00000"/>
        <rFont val="Arial"/>
        <family val="2"/>
      </rPr>
      <t xml:space="preserve"> "</t>
    </r>
    <r>
      <rPr>
        <sz val="8"/>
        <color rgb="FFC00000"/>
        <rFont val="맑은 고딕"/>
        <family val="3"/>
        <charset val="129"/>
      </rPr>
      <t>운행자</t>
    </r>
    <r>
      <rPr>
        <sz val="8"/>
        <color rgb="FFC00000"/>
        <rFont val="Arial"/>
        <family val="2"/>
      </rPr>
      <t>")</t>
    </r>
    <r>
      <rPr>
        <sz val="8"/>
        <color rgb="FFC00000"/>
        <rFont val="맑은 고딕"/>
        <family val="3"/>
        <charset val="129"/>
      </rPr>
      <t>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해당하지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아니한다</t>
    </r>
    <r>
      <rPr>
        <sz val="8"/>
        <color rgb="FFC00000"/>
        <rFont val="Arial"/>
        <family val="2"/>
      </rPr>
      <t xml:space="preserve">. </t>
    </r>
    <r>
      <rPr>
        <sz val="8"/>
        <color rgb="FFC00000"/>
        <rFont val="맑은 고딕"/>
        <family val="3"/>
        <charset val="129"/>
      </rPr>
      <t>회사는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phoneticPr fontId="30" type="noConversion"/>
  </si>
  <si>
    <r>
      <rPr>
        <sz val="8"/>
        <color rgb="FFC00000"/>
        <rFont val="맑은 고딕"/>
        <family val="3"/>
        <charset val="129"/>
      </rPr>
      <t>차량에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대한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운행지배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운행이익을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갖지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아니한다</t>
    </r>
    <r>
      <rPr>
        <sz val="8"/>
        <color rgb="FFC00000"/>
        <rFont val="Arial"/>
        <family val="2"/>
      </rPr>
      <t>.</t>
    </r>
    <phoneticPr fontId="30" type="noConversion"/>
  </si>
  <si>
    <r>
      <rPr>
        <sz val="8"/>
        <color rgb="FFC00000"/>
        <rFont val="Segoe UI Symbol"/>
        <family val="1"/>
      </rPr>
      <t>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계약자이며</t>
    </r>
    <r>
      <rPr>
        <sz val="8"/>
        <color rgb="FFC00000"/>
        <rFont val="Arial"/>
        <family val="2"/>
      </rPr>
      <t xml:space="preserve">, </t>
    </r>
    <r>
      <rPr>
        <sz val="8"/>
        <color rgb="FFC00000"/>
        <rFont val="맑은 고딕"/>
        <family val="3"/>
        <charset val="129"/>
      </rPr>
      <t>운행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중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발생하는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모든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인적</t>
    </r>
    <r>
      <rPr>
        <sz val="8"/>
        <color rgb="FFC00000"/>
        <rFont val="Arial"/>
        <family val="2"/>
      </rPr>
      <t>·</t>
    </r>
    <r>
      <rPr>
        <sz val="8"/>
        <color rgb="FFC00000"/>
        <rFont val="맑은 고딕"/>
        <family val="3"/>
        <charset val="129"/>
      </rPr>
      <t>물적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손해에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대한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</t>
    </r>
    <phoneticPr fontId="30" type="noConversion"/>
  </si>
  <si>
    <r>
      <rPr>
        <sz val="8"/>
        <color rgb="FFC00000"/>
        <rFont val="맑은 고딕"/>
        <family val="3"/>
        <charset val="129"/>
      </rPr>
      <t>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책임은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전적으로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부담한다</t>
    </r>
    <r>
      <rPr>
        <sz val="8"/>
        <color rgb="FFC00000"/>
        <rFont val="Arial"/>
        <family val="2"/>
      </rPr>
      <t xml:space="preserve">. </t>
    </r>
    <r>
      <rPr>
        <sz val="8"/>
        <color rgb="FFC00000"/>
        <rFont val="맑은 고딕"/>
        <family val="3"/>
        <charset val="129"/>
      </rPr>
      <t>계약자가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사용자에게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차량을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운행하게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경우에도</t>
    </r>
    <r>
      <rPr>
        <sz val="8"/>
        <color rgb="FFC00000"/>
        <rFont val="Arial"/>
        <family val="2"/>
      </rPr>
      <t xml:space="preserve"> </t>
    </r>
    <phoneticPr fontId="30" type="noConversion"/>
  </si>
  <si>
    <r>
      <rPr>
        <sz val="8"/>
        <color rgb="FFC00000"/>
        <rFont val="맑은 고딕"/>
        <family val="3"/>
        <charset val="129"/>
      </rPr>
      <t>운행자성은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여전히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계약자에게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있다</t>
    </r>
    <r>
      <rPr>
        <sz val="8"/>
        <color rgb="FFC00000"/>
        <rFont val="Arial"/>
        <family val="2"/>
      </rPr>
      <t>.</t>
    </r>
    <phoneticPr fontId="30" type="noConversion"/>
  </si>
  <si>
    <r>
      <rPr>
        <sz val="8"/>
        <color rgb="FFC00000"/>
        <rFont val="Segoe UI Symbol"/>
        <family val="1"/>
      </rPr>
      <t>③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제</t>
    </r>
    <r>
      <rPr>
        <sz val="8"/>
        <color rgb="FFC00000"/>
        <rFont val="Arial"/>
        <family val="2"/>
      </rPr>
      <t>3</t>
    </r>
    <r>
      <rPr>
        <sz val="8"/>
        <color rgb="FFC00000"/>
        <rFont val="맑은 고딕"/>
        <family val="3"/>
        <charset val="129"/>
      </rPr>
      <t>자가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상대로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운행자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책임을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청구하는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계약자는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자신의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비용</t>
    </r>
    <r>
      <rPr>
        <sz val="8"/>
        <color rgb="FFC00000"/>
        <rFont val="Arial"/>
        <family val="2"/>
      </rPr>
      <t>·</t>
    </r>
    <r>
      <rPr>
        <sz val="8"/>
        <color rgb="FFC00000"/>
        <rFont val="맑은 고딕"/>
        <family val="3"/>
        <charset val="129"/>
      </rPr>
      <t>책임으로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</t>
    </r>
    <phoneticPr fontId="30" type="noConversion"/>
  </si>
  <si>
    <r>
      <rPr>
        <sz val="8"/>
        <color rgb="FFC00000"/>
        <rFont val="맑은 고딕"/>
        <family val="3"/>
        <charset val="129"/>
      </rPr>
      <t>사를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면책시켜야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하며</t>
    </r>
    <r>
      <rPr>
        <sz val="8"/>
        <color rgb="FFC00000"/>
        <rFont val="Arial"/>
        <family val="2"/>
      </rPr>
      <t xml:space="preserve">, </t>
    </r>
    <r>
      <rPr>
        <sz val="8"/>
        <color rgb="FFC00000"/>
        <rFont val="맑은 고딕"/>
        <family val="3"/>
        <charset val="129"/>
      </rPr>
      <t>회사가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부득이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배상한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경우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그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금액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및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관련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비용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일체를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즉시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회사에</t>
    </r>
    <r>
      <rPr>
        <sz val="8"/>
        <color rgb="FFC00000"/>
        <rFont val="Arial"/>
        <family val="2"/>
      </rPr>
      <t xml:space="preserve"> </t>
    </r>
    <phoneticPr fontId="30" type="noConversion"/>
  </si>
  <si>
    <r>
      <rPr>
        <sz val="8"/>
        <color rgb="FFC00000"/>
        <rFont val="맑은 고딕"/>
        <family val="3"/>
        <charset val="129"/>
      </rPr>
      <t>상환하여야</t>
    </r>
    <r>
      <rPr>
        <sz val="8"/>
        <color rgb="FFC00000"/>
        <rFont val="Arial"/>
        <family val="2"/>
      </rPr>
      <t xml:space="preserve"> </t>
    </r>
    <r>
      <rPr>
        <sz val="8"/>
        <color rgb="FFC00000"/>
        <rFont val="맑은 고딕"/>
        <family val="3"/>
        <charset val="129"/>
      </rPr>
      <t>한다</t>
    </r>
    <r>
      <rPr>
        <sz val="8"/>
        <color rgb="FFC00000"/>
        <rFont val="Arial"/>
        <family val="2"/>
      </rPr>
      <t>.</t>
    </r>
    <phoneticPr fontId="30" type="noConversion"/>
  </si>
  <si>
    <t>① 회사는 본 계약 차량의 운행자가 아니므로 사고 발생 사실을 직접 인지할 수 없다. 따라</t>
    <phoneticPr fontId="30" type="noConversion"/>
  </si>
  <si>
    <r>
      <rPr>
        <b/>
        <sz val="18"/>
        <color rgb="FFFFFFFF"/>
        <rFont val="맑은 고딕"/>
        <family val="3"/>
        <charset val="129"/>
      </rPr>
      <t>이륜차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종합렌트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계약서</t>
    </r>
    <phoneticPr fontId="30" type="noConversion"/>
  </si>
  <si>
    <r>
      <rPr>
        <b/>
        <sz val="9"/>
        <color rgb="FF1F3864"/>
        <rFont val="맑은 고딕"/>
        <family val="3"/>
        <charset val="129"/>
      </rPr>
      <t>렌트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기간</t>
    </r>
    <phoneticPr fontId="30" type="noConversion"/>
  </si>
  <si>
    <r>
      <rPr>
        <sz val="8"/>
        <color rgb="FF404040"/>
        <rFont val="맑은 고딕"/>
        <family val="3"/>
        <charset val="129"/>
      </rPr>
      <t>매월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렌트료, 보증금, 위약금, 과태료, 범칙금, 보험사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구상금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자동승인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자동이체로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출금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신청</t>
    </r>
    <phoneticPr fontId="30" type="noConversion"/>
  </si>
  <si>
    <r>
      <rPr>
        <sz val="8"/>
        <color rgb="FF404040"/>
        <rFont val="맑은 고딕"/>
        <family val="3"/>
        <charset val="129"/>
      </rPr>
      <t>협력사(공급·운송·출고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정보), 배달대행사(고객정보), 차량등록소(등록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사무), 효성에프엠에스(자동이체)</t>
    </r>
    <phoneticPr fontId="30" type="noConversion"/>
  </si>
  <si>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목적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달성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파기. 단, 전자상거래법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법령에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계약·결제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5년, 불량이용자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재가입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1년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보존</t>
    </r>
    <phoneticPr fontId="30" type="noConversion"/>
  </si>
  <si>
    <r>
      <rPr>
        <sz val="8"/>
        <color rgb="FF404040"/>
        <rFont val="맑은 고딕"/>
        <family val="3"/>
        <charset val="129"/>
      </rPr>
      <t>신용카드·자동이체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등록·해지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시까지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결제대행사에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(금융실명법에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동의)</t>
    </r>
    <phoneticPr fontId="30" type="noConversion"/>
  </si>
  <si>
    <r>
      <rPr>
        <sz val="8"/>
        <color rgb="FF404040"/>
        <rFont val="맑은 고딕"/>
        <family val="3"/>
        <charset val="129"/>
      </rPr>
      <t>거래관계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설정·유지, 상품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제공, 법령상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의무이행, 분쟁처리,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분실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방지, 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대응, 보험사고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처리, 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전반</t>
    </r>
    <phoneticPr fontId="30" type="noConversion"/>
  </si>
  <si>
    <r>
      <rPr>
        <sz val="8"/>
        <color rgb="FF404040"/>
        <rFont val="맑은 고딕"/>
        <family val="3"/>
        <charset val="129"/>
      </rPr>
      <t>사업장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상호·사업자번호·주소·연락처·이메일, 대표자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성명·주민등록번호·휴대전화번호·주소, 거래계좌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위치정보(FMS 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포함)</t>
    </r>
    <phoneticPr fontId="30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</si>
  <si>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종합렌트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확인하였으며, 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권리·의무와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운행자성·보험연령·사고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고지·면책사고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동의합니다.</t>
    </r>
    <phoneticPr fontId="30" type="noConversion"/>
  </si>
  <si>
    <t>회사는 청구일로부터 5일 이내에 지급한다.</t>
    <phoneticPr fontId="30" type="noConversion"/>
  </si>
  <si>
    <t xml:space="preserve">⑥ "연대보증인"은 본 계약 제1면에 기재된 자를 말하며, 계약자와 연대하여 본 계약상 모든 </t>
    <phoneticPr fontId="30" type="noConversion"/>
  </si>
  <si>
    <t>채무를 부담한다.</t>
    <phoneticPr fontId="30" type="noConversion"/>
  </si>
  <si>
    <r>
      <rPr>
        <sz val="8"/>
        <color rgb="FF2B2B2B"/>
        <rFont val="맑은 고딕"/>
        <family val="1"/>
        <charset val="129"/>
      </rPr>
      <t>생한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</rPr>
      <t>.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</si>
</sst>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8"/>
      <color rgb="FF595959"/>
      <name val="DejaVu Sans"/>
      <family val="2"/>
    </font>
    <font>
      <i/>
      <sz val="8"/>
      <color rgb="FF595959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맑은 고딕"/>
      <family val="3"/>
      <charset val="129"/>
    </font>
    <font>
      <sz val="9"/>
      <color rgb="FF000000"/>
      <name val="DejaVu Sans"/>
      <family val="2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9"/>
      <color rgb="FF1F4E89"/>
      <name val="DejaVu Sans"/>
      <family val="2"/>
    </font>
    <font>
      <b/>
      <sz val="9"/>
      <color rgb="FF1F4E89"/>
      <name val="맑은 고딕"/>
      <family val="3"/>
      <charset val="129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DejaVu Sans"/>
      <family val="1"/>
    </font>
    <font>
      <sz val="8"/>
      <color rgb="FF2B2B2B"/>
      <name val="Segoe UI Symbol"/>
      <family val="1"/>
    </font>
    <font>
      <sz val="8"/>
      <color rgb="FF2B2B2B"/>
      <name val="DejaVu Sans"/>
      <family val="3"/>
      <charset val="129"/>
    </font>
    <font>
      <sz val="8"/>
      <color rgb="FF2B2B2B"/>
      <name val="Arial"/>
      <family val="2"/>
    </font>
    <font>
      <b/>
      <sz val="9"/>
      <color rgb="FF1F3864"/>
      <name val="DejaVu Sans"/>
      <family val="3"/>
      <charset val="129"/>
    </font>
    <font>
      <b/>
      <sz val="9"/>
      <color rgb="FF1F3864"/>
      <name val="Arial"/>
      <family val="2"/>
    </font>
    <font>
      <sz val="8"/>
      <color rgb="FF2B2B2B"/>
      <name val="DejaVu Sans"/>
      <family val="1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sz val="8"/>
      <color rgb="FF2B2B2B"/>
      <name val="Segoe UI Symbol"/>
      <family val="3"/>
    </font>
    <font>
      <sz val="8"/>
      <color rgb="FF2B2B2B"/>
      <name val="DejaVu Sans"/>
      <family val="2"/>
      <charset val="129"/>
    </font>
    <font>
      <sz val="8"/>
      <color rgb="FF2B2B2B"/>
      <name val="Segoe UI Symbol"/>
      <family val="2"/>
    </font>
    <font>
      <sz val="8"/>
      <color rgb="FF2B2B2B"/>
      <name val="맑은 고딕"/>
      <family val="1"/>
      <charset val="129"/>
    </font>
    <font>
      <sz val="8"/>
      <color rgb="FF2B2B2B"/>
      <name val="DejaVu Sans"/>
      <family val="3"/>
    </font>
    <font>
      <sz val="8"/>
      <color rgb="FFC00000"/>
      <name val="맑은 고딕"/>
      <family val="3"/>
      <charset val="129"/>
    </font>
    <font>
      <sz val="8"/>
      <color rgb="FFC00000"/>
      <name val="DejaVu Sans"/>
      <family val="1"/>
    </font>
    <font>
      <sz val="8"/>
      <color rgb="FFC00000"/>
      <name val="DejaVu Sans"/>
      <family val="3"/>
      <charset val="129"/>
    </font>
    <font>
      <b/>
      <sz val="11"/>
      <color rgb="FFFFFFFF"/>
      <name val="Segoe UI Symbol"/>
      <family val="2"/>
    </font>
    <font>
      <b/>
      <sz val="9"/>
      <color rgb="FF1F4E89"/>
      <name val="Arial"/>
      <family val="2"/>
    </font>
    <font>
      <b/>
      <sz val="9"/>
      <color rgb="FFC00000"/>
      <name val="Arial"/>
      <family val="2"/>
    </font>
    <font>
      <b/>
      <sz val="9"/>
      <color rgb="FFC00000"/>
      <name val="DejaVu Sans"/>
      <family val="3"/>
      <charset val="129"/>
    </font>
    <font>
      <b/>
      <sz val="9"/>
      <color rgb="FF1F4E89"/>
      <name val="DejaVu Sans"/>
      <family val="3"/>
      <charset val="129"/>
    </font>
    <font>
      <sz val="10"/>
      <color rgb="FF000000"/>
      <name val="Arial"/>
      <family val="2"/>
    </font>
    <font>
      <sz val="10"/>
      <color rgb="FF000000"/>
      <name val="DejaVu Sans"/>
      <family val="3"/>
      <charset val="129"/>
    </font>
    <font>
      <b/>
      <sz val="11"/>
      <color rgb="FFFFFFFF"/>
      <name val="Arial"/>
      <family val="2"/>
    </font>
    <font>
      <sz val="8"/>
      <color rgb="FF404040"/>
      <name val="Arial"/>
      <family val="2"/>
    </font>
    <font>
      <sz val="8"/>
      <color rgb="FF404040"/>
      <name val="DejaVu Sans"/>
      <family val="3"/>
      <charset val="129"/>
    </font>
    <font>
      <i/>
      <sz val="8"/>
      <color rgb="FF595959"/>
      <name val="Arial"/>
      <family val="2"/>
    </font>
    <font>
      <i/>
      <sz val="8"/>
      <color rgb="FF595959"/>
      <name val="DejaVu Sans"/>
      <family val="3"/>
      <charset val="129"/>
    </font>
    <font>
      <sz val="8"/>
      <color rgb="FFC00000"/>
      <name val="Arial"/>
      <family val="2"/>
    </font>
    <font>
      <sz val="8"/>
      <color rgb="FFC00000"/>
      <name val="Segoe UI Symbol"/>
      <family val="1"/>
    </font>
    <font>
      <sz val="8"/>
      <color rgb="FFC00000"/>
      <name val="DejaVu Sans"/>
      <family val="1"/>
      <charset val="129"/>
    </font>
    <font>
      <b/>
      <sz val="18"/>
      <color rgb="FFFFFFFF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DejaVu Sans"/>
      <family val="3"/>
      <charset val="129"/>
    </font>
    <font>
      <sz val="9"/>
      <color rgb="FF000000"/>
      <name val="Arial"/>
      <family val="2"/>
    </font>
    <font>
      <sz val="9"/>
      <color rgb="FF000000"/>
      <name val="DejaVu Sans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left" vertical="center" wrapText="1" indent="1"/>
    </xf>
    <xf numFmtId="0" fontId="28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12" fillId="7" borderId="0" xfId="0" applyFont="1" applyFill="1" applyAlignment="1">
      <alignment horizontal="left" vertical="center" wrapText="1" indent="1"/>
    </xf>
    <xf numFmtId="0" fontId="9" fillId="12" borderId="0" xfId="0" applyFont="1" applyFill="1" applyAlignment="1">
      <alignment horizontal="left" vertical="center" wrapText="1" indent="1"/>
    </xf>
    <xf numFmtId="0" fontId="31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wrapText="1" indent="1"/>
    </xf>
    <xf numFmtId="0" fontId="40" fillId="0" borderId="0" xfId="0" applyFont="1" applyAlignment="1">
      <alignment vertical="center"/>
    </xf>
    <xf numFmtId="0" fontId="41" fillId="0" borderId="0" xfId="0" applyFont="1"/>
    <xf numFmtId="0" fontId="43" fillId="0" borderId="0" xfId="0" applyFont="1" applyAlignment="1">
      <alignment horizontal="left" vertical="top" wrapText="1" indent="1"/>
    </xf>
    <xf numFmtId="0" fontId="37" fillId="0" borderId="0" xfId="0" applyFont="1" applyAlignment="1">
      <alignment horizontal="left" vertical="top" wrapText="1" indent="1"/>
    </xf>
    <xf numFmtId="0" fontId="48" fillId="0" borderId="0" xfId="0" applyFont="1" applyAlignment="1">
      <alignment horizontal="left" vertical="top" wrapText="1" indent="1"/>
    </xf>
    <xf numFmtId="0" fontId="49" fillId="0" borderId="0" xfId="0" applyFont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35" fillId="12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45" fillId="0" borderId="0" xfId="0" applyFont="1" applyAlignment="1">
      <alignment horizontal="left" vertical="top" wrapText="1" indent="1"/>
    </xf>
    <xf numFmtId="0" fontId="53" fillId="7" borderId="0" xfId="0" applyFont="1" applyFill="1" applyAlignment="1">
      <alignment horizontal="left" vertical="center" wrapText="1" indent="1"/>
    </xf>
    <xf numFmtId="0" fontId="54" fillId="6" borderId="0" xfId="0" applyFont="1" applyFill="1" applyAlignment="1">
      <alignment horizontal="left" vertical="center" wrapText="1" indent="1"/>
    </xf>
    <xf numFmtId="0" fontId="19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11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 indent="1"/>
    </xf>
    <xf numFmtId="0" fontId="9" fillId="5" borderId="0" xfId="0" applyFont="1" applyFill="1" applyAlignment="1">
      <alignment horizontal="righ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61" fillId="8" borderId="1" xfId="0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56" fillId="5" borderId="1" xfId="0" applyFont="1" applyFill="1" applyBorder="1" applyAlignment="1">
      <alignment horizontal="left" vertical="center" wrapText="1" indent="1"/>
    </xf>
    <xf numFmtId="0" fontId="11" fillId="9" borderId="0" xfId="0" applyFont="1" applyFill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59" fillId="8" borderId="1" xfId="0" applyFont="1" applyFill="1" applyBorder="1" applyAlignment="1">
      <alignment horizontal="left" vertical="center" wrapText="1" indent="1"/>
    </xf>
    <xf numFmtId="0" fontId="21" fillId="8" borderId="1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left" vertical="center" wrapText="1" indent="1"/>
    </xf>
    <xf numFmtId="0" fontId="9" fillId="10" borderId="3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left" vertical="top" wrapText="1" indent="1"/>
    </xf>
    <xf numFmtId="0" fontId="67" fillId="3" borderId="0" xfId="0" applyFont="1" applyFill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59" fillId="10" borderId="1" xfId="0" applyFont="1" applyFill="1" applyBorder="1" applyAlignment="1">
      <alignment horizontal="left" vertical="center" wrapText="1" indent="1"/>
    </xf>
    <xf numFmtId="0" fontId="69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7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</cols>
  <sheetData>
    <row r="1" spans="1:2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6.8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31</v>
      </c>
      <c r="I2" s="2">
        <v>26400</v>
      </c>
      <c r="J2" s="2">
        <v>365</v>
      </c>
      <c r="K2" s="2">
        <v>300000</v>
      </c>
      <c r="L2" s="3" t="s">
        <v>32</v>
      </c>
      <c r="M2" s="2" t="s">
        <v>33</v>
      </c>
      <c r="N2" s="3" t="s">
        <v>34</v>
      </c>
      <c r="O2" s="3" t="s">
        <v>35</v>
      </c>
      <c r="P2" s="2" t="s">
        <v>36</v>
      </c>
      <c r="Q2" s="2" t="s">
        <v>37</v>
      </c>
      <c r="R2" s="2" t="s">
        <v>38</v>
      </c>
      <c r="S2" s="2" t="s">
        <v>36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</row>
  </sheetData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9"/>
  <sheetViews>
    <sheetView topLeftCell="A35" zoomScaleNormal="100" workbookViewId="0">
      <selection activeCell="B50" sqref="B50:J50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34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4"/>
      <c r="B1" s="4"/>
      <c r="C1" s="4"/>
      <c r="D1" s="4"/>
      <c r="E1" s="33"/>
      <c r="F1" s="4"/>
      <c r="G1" s="4"/>
      <c r="H1" s="4"/>
      <c r="I1" s="4"/>
      <c r="J1" s="4"/>
      <c r="K1" s="4"/>
      <c r="L1" s="5" t="s">
        <v>45</v>
      </c>
    </row>
    <row r="2" spans="1:12" ht="48" customHeight="1">
      <c r="A2" s="4"/>
      <c r="B2" s="60" t="s">
        <v>340</v>
      </c>
      <c r="C2" s="36"/>
      <c r="D2" s="36"/>
      <c r="E2" s="36"/>
      <c r="F2" s="36"/>
      <c r="G2" s="36"/>
      <c r="H2" s="36"/>
      <c r="I2" s="36"/>
      <c r="J2" s="36"/>
      <c r="K2" s="4"/>
      <c r="L2" s="6">
        <v>1</v>
      </c>
    </row>
    <row r="3" spans="1:12" ht="24" customHeight="1">
      <c r="A3" s="4"/>
      <c r="B3" s="37" t="s">
        <v>46</v>
      </c>
      <c r="C3" s="37"/>
      <c r="D3" s="37"/>
      <c r="E3" s="37"/>
      <c r="F3" s="38" t="s">
        <v>0</v>
      </c>
      <c r="G3" s="38"/>
      <c r="H3" s="38"/>
      <c r="I3" s="39" t="str">
        <f>IFERROR(TEXT($L$2,"0000"),"")</f>
        <v>0001</v>
      </c>
      <c r="J3" s="39"/>
      <c r="K3" s="4"/>
      <c r="L3" s="4"/>
    </row>
    <row r="4" spans="1:12" ht="7.5" customHeight="1">
      <c r="A4" s="4"/>
      <c r="B4" s="4"/>
      <c r="C4" s="4"/>
      <c r="D4" s="4"/>
      <c r="E4" s="33"/>
      <c r="F4" s="4"/>
      <c r="G4" s="4"/>
      <c r="H4" s="4"/>
      <c r="I4" s="4"/>
      <c r="J4" s="4"/>
      <c r="K4" s="4"/>
      <c r="L4" s="4"/>
    </row>
    <row r="5" spans="1:12" ht="25.5" customHeight="1">
      <c r="A5" s="4"/>
      <c r="B5" s="40" t="s">
        <v>47</v>
      </c>
      <c r="C5" s="40"/>
      <c r="D5" s="40"/>
      <c r="E5" s="40"/>
      <c r="F5" s="40"/>
      <c r="G5" s="40"/>
      <c r="H5" s="40"/>
      <c r="I5" s="40"/>
      <c r="J5" s="40"/>
      <c r="K5" s="4"/>
      <c r="L5" s="4"/>
    </row>
    <row r="6" spans="1:12" ht="21.75" customHeight="1">
      <c r="A6" s="4"/>
      <c r="B6" s="7" t="s">
        <v>2</v>
      </c>
      <c r="C6" s="41" t="str">
        <f>IFERROR(IF(VLOOKUP($L$2,계약리스트!$A$2:$AD$10000,3,0)="","",VLOOKUP($L$2,계약리스트!$A$2:$AD$10000,3,0)),"")</f>
        <v>UHR150</v>
      </c>
      <c r="D6" s="41"/>
      <c r="E6" s="7" t="s">
        <v>4</v>
      </c>
      <c r="F6" s="41" t="str">
        <f>IFERROR(IF(VLOOKUP($L$2,계약리스트!$A$2:$AD$10000,5,0)="","",VLOOKUP($L$2,계약리스트!$A$2:$AD$10000,5,0)),"")</f>
        <v>1나88370</v>
      </c>
      <c r="G6" s="41"/>
      <c r="H6" s="7" t="s">
        <v>5</v>
      </c>
      <c r="I6" s="41" t="str">
        <f>IFERROR(IF(VLOOKUP($L$2,계약리스트!$A$2:$AD$10000,6,0)="","",VLOOKUP($L$2,계약리스트!$A$2:$AD$10000,6,0)),"")</f>
        <v>화이트</v>
      </c>
      <c r="J6" s="41"/>
      <c r="K6" s="4"/>
      <c r="L6" s="4"/>
    </row>
    <row r="7" spans="1:12" ht="21.75" customHeight="1">
      <c r="A7" s="4"/>
      <c r="B7" s="7" t="s">
        <v>3</v>
      </c>
      <c r="C7" s="41" t="str">
        <f>IFERROR(IF(VLOOKUP($L$2,계약리스트!$A$2:$AD$10000,4,0)="","",VLOOKUP($L$2,계약리스트!$A$2:$AD$10000,4,0)),"")</f>
        <v>LWMTDKH95THJ00467</v>
      </c>
      <c r="D7" s="41"/>
      <c r="E7" s="7" t="s">
        <v>6</v>
      </c>
      <c r="F7" s="41" t="str">
        <f>IFERROR(IF(VLOOKUP($L$2,계약리스트!$A$2:$AD$10000,7,0)="","",VLOOKUP($L$2,계약리스트!$A$2:$AD$10000,7,0)),"")</f>
        <v>비포함</v>
      </c>
      <c r="G7" s="41"/>
      <c r="H7" s="7" t="s">
        <v>1</v>
      </c>
      <c r="I7" s="41" t="str">
        <f>IFERROR(IF(VLOOKUP($L$2,계약리스트!$A$2:$AD$10000,2,0)="","",VLOOKUP($L$2,계약리스트!$A$2:$AD$10000,2,0)),"")</f>
        <v>2026-04-24</v>
      </c>
      <c r="J7" s="41"/>
      <c r="K7" s="4"/>
      <c r="L7" s="4"/>
    </row>
    <row r="8" spans="1:12" ht="25.5" customHeight="1">
      <c r="A8" s="4"/>
      <c r="B8" s="8" t="s">
        <v>7</v>
      </c>
      <c r="C8" s="42" t="str">
        <f>IFERROR(IF(VLOOKUP($L$2,계약리스트!$A$2:$AD$10000,8,0)="","",VLOOKUP($L$2,계약리스트!$A$2:$AD$10000,8,0)),"")</f>
        <v>만30세</v>
      </c>
      <c r="D8" s="42"/>
      <c r="E8" s="43" t="s">
        <v>48</v>
      </c>
      <c r="F8" s="43"/>
      <c r="G8" s="43"/>
      <c r="H8" s="43"/>
      <c r="I8" s="43"/>
      <c r="J8" s="43"/>
      <c r="K8" s="4"/>
      <c r="L8" s="4"/>
    </row>
    <row r="9" spans="1:12" ht="7.5" customHeight="1">
      <c r="A9" s="4"/>
      <c r="B9" s="4"/>
      <c r="C9" s="4"/>
      <c r="D9" s="4"/>
      <c r="E9" s="33"/>
      <c r="F9" s="4"/>
      <c r="G9" s="4"/>
      <c r="H9" s="4"/>
      <c r="I9" s="4"/>
      <c r="J9" s="4"/>
      <c r="K9" s="4"/>
      <c r="L9" s="4"/>
    </row>
    <row r="10" spans="1:12" ht="25.5" customHeight="1">
      <c r="A10" s="4"/>
      <c r="B10" s="40" t="s">
        <v>126</v>
      </c>
      <c r="C10" s="40"/>
      <c r="D10" s="40"/>
      <c r="E10" s="40"/>
      <c r="F10" s="40"/>
      <c r="G10" s="40"/>
      <c r="H10" s="40"/>
      <c r="I10" s="40"/>
      <c r="J10" s="40"/>
      <c r="K10" s="4"/>
      <c r="L10" s="4"/>
    </row>
    <row r="11" spans="1:12" ht="21.75" customHeight="1">
      <c r="A11" s="4"/>
      <c r="B11" s="7" t="s">
        <v>49</v>
      </c>
      <c r="C11" s="41" t="str">
        <f>IFERROR(IF(VLOOKUP($L$2,계약리스트!$A$2:$AD$10000,12,0)="","",VLOOKUP($L$2,계약리스트!$A$2:$AD$10000,12,0)),"")</f>
        <v>중앙 오토바이 가수점</v>
      </c>
      <c r="D11" s="41"/>
      <c r="E11" s="7" t="s">
        <v>12</v>
      </c>
      <c r="F11" s="41" t="str">
        <f>IFERROR(IF(VLOOKUP($L$2,계약리스트!$A$2:$AD$10000,13,0)="","",VLOOKUP($L$2,계약리스트!$A$2:$AD$10000,13,0)),"")</f>
        <v>737-55-00719</v>
      </c>
      <c r="G11" s="41"/>
      <c r="H11" s="7" t="s">
        <v>13</v>
      </c>
      <c r="I11" s="41" t="str">
        <f>IFERROR(IF(VLOOKUP($L$2,계약리스트!$A$2:$AD$10000,14,0)="","",VLOOKUP($L$2,계약리스트!$A$2:$AD$10000,14,0)),"")</f>
        <v>안종식</v>
      </c>
      <c r="J11" s="41"/>
      <c r="K11" s="4"/>
      <c r="L11" s="4"/>
    </row>
    <row r="12" spans="1:12" ht="21.75" customHeight="1">
      <c r="A12" s="4"/>
      <c r="B12" s="7" t="s">
        <v>50</v>
      </c>
      <c r="C12" s="41" t="str">
        <f>IFERROR(IF(VLOOKUP($L$2,계약리스트!$A$2:$AD$10000,16,0)="","",VLOOKUP($L$2,계약리스트!$A$2:$AD$10000,16,0)),"")</f>
        <v>010-5813-7336</v>
      </c>
      <c r="D12" s="41"/>
      <c r="E12" s="7" t="s">
        <v>14</v>
      </c>
      <c r="F12" s="41" t="str">
        <f>IFERROR(IF(VLOOKUP($L$2,계약리스트!$A$2:$AD$10000,15,0)="","",VLOOKUP($L$2,계약리스트!$A$2:$AD$10000,15,0)),"")</f>
        <v>경기도 오산시 가장로 763, 1층 5,6호(가수동)</v>
      </c>
      <c r="G12" s="41"/>
      <c r="H12" s="41"/>
      <c r="I12" s="41"/>
      <c r="J12" s="41"/>
      <c r="K12" s="4"/>
      <c r="L12" s="4"/>
    </row>
    <row r="13" spans="1:12" ht="19.5" customHeight="1">
      <c r="A13" s="4"/>
      <c r="B13" s="44" t="s">
        <v>328</v>
      </c>
      <c r="C13" s="45"/>
      <c r="D13" s="45"/>
      <c r="E13" s="45"/>
      <c r="F13" s="45"/>
      <c r="G13" s="45"/>
      <c r="H13" s="45"/>
      <c r="I13" s="45"/>
      <c r="J13" s="45"/>
      <c r="K13" s="4"/>
      <c r="L13" s="4"/>
    </row>
    <row r="14" spans="1:12" ht="7.5" customHeight="1">
      <c r="A14" s="4"/>
      <c r="B14" s="4"/>
      <c r="C14" s="4"/>
      <c r="D14" s="4"/>
      <c r="E14" s="33"/>
      <c r="F14" s="4"/>
      <c r="G14" s="4"/>
      <c r="H14" s="4"/>
      <c r="I14" s="4"/>
      <c r="J14" s="4"/>
      <c r="K14" s="4"/>
      <c r="L14" s="4"/>
    </row>
    <row r="15" spans="1:12" ht="25.5" customHeight="1">
      <c r="A15" s="4"/>
      <c r="B15" s="40" t="s">
        <v>127</v>
      </c>
      <c r="C15" s="40"/>
      <c r="D15" s="40"/>
      <c r="E15" s="40"/>
      <c r="F15" s="40"/>
      <c r="G15" s="40"/>
      <c r="H15" s="40"/>
      <c r="I15" s="40"/>
      <c r="J15" s="40"/>
      <c r="K15" s="4"/>
      <c r="L15" s="4"/>
    </row>
    <row r="16" spans="1:12" ht="21.75" customHeight="1">
      <c r="A16" s="4"/>
      <c r="B16" s="7" t="s">
        <v>51</v>
      </c>
      <c r="C16" s="41" t="str">
        <f>IFERROR(IF(VLOOKUP($L$2,계약리스트!$A$2:$AD$10000,14,0)="","",VLOOKUP($L$2,계약리스트!$A$2:$AD$10000,14,0)),"")</f>
        <v>안종식</v>
      </c>
      <c r="D16" s="41"/>
      <c r="E16" s="7" t="s">
        <v>52</v>
      </c>
      <c r="F16" s="41" t="str">
        <f>IFERROR(IF(VLOOKUP($L$2,계약리스트!$A$2:$AD$10000,18,0)="","",VLOOKUP($L$2,계약리스트!$A$2:$AD$10000,18,0)),"")</f>
        <v>820530-1046518</v>
      </c>
      <c r="G16" s="41"/>
      <c r="H16" s="7" t="s">
        <v>50</v>
      </c>
      <c r="I16" s="41" t="str">
        <f>IFERROR(IF(VLOOKUP($L$2,계약리스트!$A$2:$AD$10000,19,0)="","",VLOOKUP($L$2,계약리스트!$A$2:$AD$10000,19,0)),"")</f>
        <v>010-5813-7336</v>
      </c>
      <c r="J16" s="41"/>
      <c r="K16" s="4"/>
      <c r="L16" s="4"/>
    </row>
    <row r="17" spans="1:12" ht="21.75" customHeight="1">
      <c r="A17" s="4"/>
      <c r="B17" s="7" t="s">
        <v>53</v>
      </c>
      <c r="C17" s="46" t="str">
        <f>IFERROR(IF(VLOOKUP($L$2,계약리스트!$A$2:$AD$10000,20,0)="","",VLOOKUP($L$2,계약리스트!$A$2:$AD$10000,20,0)),"")</f>
        <v>경기도 오산시 궐동로 77, 1층(궐동)</v>
      </c>
      <c r="D17" s="46"/>
      <c r="E17" s="46"/>
      <c r="F17" s="46"/>
      <c r="G17" s="46"/>
      <c r="H17" s="46"/>
      <c r="I17" s="46"/>
      <c r="J17" s="46"/>
      <c r="K17" s="4"/>
      <c r="L17" s="4"/>
    </row>
    <row r="18" spans="1:12" ht="19.5" customHeight="1">
      <c r="A18" s="4"/>
      <c r="B18" s="45" t="s">
        <v>54</v>
      </c>
      <c r="C18" s="45"/>
      <c r="D18" s="45"/>
      <c r="E18" s="45"/>
      <c r="F18" s="45"/>
      <c r="G18" s="45"/>
      <c r="H18" s="45"/>
      <c r="I18" s="45"/>
      <c r="J18" s="45"/>
      <c r="K18" s="4"/>
      <c r="L18" s="4"/>
    </row>
    <row r="19" spans="1:12" ht="7.5" customHeight="1">
      <c r="A19" s="4"/>
      <c r="B19" s="4"/>
      <c r="C19" s="4"/>
      <c r="D19" s="4"/>
      <c r="E19" s="33"/>
      <c r="F19" s="4"/>
      <c r="G19" s="4"/>
      <c r="H19" s="4"/>
      <c r="I19" s="4"/>
      <c r="J19" s="4"/>
      <c r="K19" s="4"/>
      <c r="L19" s="4"/>
    </row>
    <row r="20" spans="1:12" ht="25.5" customHeight="1">
      <c r="A20" s="4"/>
      <c r="B20" s="40" t="s">
        <v>55</v>
      </c>
      <c r="C20" s="40"/>
      <c r="D20" s="40"/>
      <c r="E20" s="40"/>
      <c r="F20" s="40"/>
      <c r="G20" s="40"/>
      <c r="H20" s="40"/>
      <c r="I20" s="40"/>
      <c r="J20" s="40"/>
      <c r="K20" s="4"/>
      <c r="L20" s="4"/>
    </row>
    <row r="21" spans="1:12" ht="21.75" customHeight="1">
      <c r="A21" s="4"/>
      <c r="B21" s="7" t="s">
        <v>20</v>
      </c>
      <c r="C21" s="41" t="str">
        <f>IFERROR(IF(VLOOKUP($L$2,계약리스트!$A$2:$AD$10000,21,0)="","",VLOOKUP($L$2,계약리스트!$A$2:$AD$10000,21,0)),"")</f>
        <v>렌트</v>
      </c>
      <c r="D21" s="41"/>
      <c r="E21" s="7" t="s">
        <v>21</v>
      </c>
      <c r="F21" s="41" t="str">
        <f>IFERROR(IF(VLOOKUP($L$2,계약리스트!$A$2:$AD$10000,22,0)="","",VLOOKUP($L$2,계약리스트!$A$2:$AD$10000,22,0)),"")</f>
        <v>인수형</v>
      </c>
      <c r="G21" s="41"/>
      <c r="H21" s="61" t="s">
        <v>341</v>
      </c>
      <c r="I21" s="41" t="str">
        <f>IFERROR(VLOOKUP($L$2,계약리스트!$A$2:$AD$10000,10,0)&amp;"일","")</f>
        <v>365일</v>
      </c>
      <c r="J21" s="41"/>
      <c r="K21" s="4"/>
      <c r="L21" s="4"/>
    </row>
    <row r="22" spans="1:12" ht="21.75" customHeight="1">
      <c r="A22" s="4"/>
      <c r="B22" s="7" t="s">
        <v>56</v>
      </c>
      <c r="C22" s="41" t="str">
        <f>IFERROR(TEXT(VLOOKUP($L$2,계약리스트!$A$2:$AD$10000,9,0),"#,##0")&amp;" 원","")</f>
        <v>26,400 원</v>
      </c>
      <c r="D22" s="41"/>
      <c r="E22" s="7" t="s">
        <v>10</v>
      </c>
      <c r="F22" s="41" t="str">
        <f>IFERROR(TEXT(VLOOKUP($L$2,계약리스트!$A$2:$AD$10000,11,0),"#,##0")&amp;" 원","")</f>
        <v>300,000 원</v>
      </c>
      <c r="G22" s="41"/>
      <c r="H22" s="7" t="s">
        <v>24</v>
      </c>
      <c r="I22" s="41" t="str">
        <f>IFERROR(IF(VLOOKUP($L$2,계약리스트!$A$2:$AD$10000,25,0)="","",VLOOKUP($L$2,계약리스트!$A$2:$AD$10000,25,0)),"")</f>
        <v>월2회(15일,말일)</v>
      </c>
      <c r="J22" s="41"/>
      <c r="K22" s="4"/>
      <c r="L22" s="4"/>
    </row>
    <row r="23" spans="1:12" ht="21.75" customHeight="1">
      <c r="A23" s="4"/>
      <c r="B23" s="7" t="s">
        <v>22</v>
      </c>
      <c r="C23" s="41" t="str">
        <f>IFERROR(IF(VLOOKUP($L$2,계약리스트!$A$2:$AD$10000,23,0)="","",VLOOKUP($L$2,계약리스트!$A$2:$AD$10000,23,0)),"")</f>
        <v>계좌이체</v>
      </c>
      <c r="D23" s="41"/>
      <c r="E23" s="7" t="s">
        <v>57</v>
      </c>
      <c r="F23" s="46" t="s">
        <v>58</v>
      </c>
      <c r="G23" s="46"/>
      <c r="H23" s="46"/>
      <c r="I23" s="46"/>
      <c r="J23" s="46"/>
      <c r="K23" s="4"/>
      <c r="L23" s="4"/>
    </row>
    <row r="24" spans="1:12" ht="21.75" customHeight="1">
      <c r="A24" s="4"/>
      <c r="B24" s="7" t="s">
        <v>23</v>
      </c>
      <c r="C24" s="46" t="str">
        <f>IFERROR(IF(VLOOKUP($L$2,계약리스트!$A$2:$AD$10000,24,0)="","",VLOOKUP($L$2,계약리스트!$A$2:$AD$10000,24,0)),"")</f>
        <v>기업은행 929-028075-04-011 포어스바이크(유)</v>
      </c>
      <c r="D24" s="46"/>
      <c r="E24" s="46"/>
      <c r="F24" s="46"/>
      <c r="G24" s="46"/>
      <c r="H24" s="46"/>
      <c r="I24" s="46"/>
      <c r="J24" s="46"/>
      <c r="K24" s="4"/>
      <c r="L24" s="4"/>
    </row>
    <row r="25" spans="1:12" ht="7.5" customHeight="1">
      <c r="A25" s="4"/>
      <c r="B25" s="4"/>
      <c r="C25" s="4"/>
      <c r="D25" s="4"/>
      <c r="E25" s="33"/>
      <c r="F25" s="4"/>
      <c r="G25" s="4"/>
      <c r="H25" s="4"/>
      <c r="I25" s="4"/>
      <c r="J25" s="4"/>
      <c r="K25" s="4"/>
      <c r="L25" s="4"/>
    </row>
    <row r="26" spans="1:12" ht="25.5" customHeight="1">
      <c r="A26" s="4"/>
      <c r="B26" s="40" t="s">
        <v>321</v>
      </c>
      <c r="C26" s="40"/>
      <c r="D26" s="40"/>
      <c r="E26" s="40"/>
      <c r="F26" s="40"/>
      <c r="G26" s="40"/>
      <c r="H26" s="40"/>
      <c r="I26" s="40"/>
      <c r="J26" s="40"/>
      <c r="K26" s="4"/>
      <c r="L26" s="4"/>
    </row>
    <row r="27" spans="1:12" ht="21.75" customHeight="1">
      <c r="A27" s="4"/>
      <c r="B27" s="7" t="s">
        <v>59</v>
      </c>
      <c r="C27" s="46" t="s">
        <v>46</v>
      </c>
      <c r="D27" s="46"/>
      <c r="E27" s="7" t="s">
        <v>12</v>
      </c>
      <c r="F27" s="41" t="s">
        <v>60</v>
      </c>
      <c r="G27" s="41"/>
      <c r="H27" s="7" t="s">
        <v>61</v>
      </c>
      <c r="I27" s="46" t="s">
        <v>62</v>
      </c>
      <c r="J27" s="46"/>
      <c r="K27" s="4"/>
      <c r="L27" s="4"/>
    </row>
    <row r="28" spans="1:12" ht="21.75" customHeight="1">
      <c r="A28" s="4"/>
      <c r="B28" s="7" t="s">
        <v>53</v>
      </c>
      <c r="C28" s="47" t="s">
        <v>320</v>
      </c>
      <c r="D28" s="46"/>
      <c r="E28" s="46"/>
      <c r="F28" s="46"/>
      <c r="G28" s="7" t="s">
        <v>63</v>
      </c>
      <c r="H28" s="41" t="s">
        <v>64</v>
      </c>
      <c r="I28" s="41"/>
      <c r="J28" s="41"/>
      <c r="K28" s="4"/>
      <c r="L28" s="4"/>
    </row>
    <row r="29" spans="1:12" ht="7.5" customHeight="1">
      <c r="A29" s="4"/>
      <c r="B29" s="4"/>
      <c r="C29" s="4"/>
      <c r="D29" s="4"/>
      <c r="E29" s="33"/>
      <c r="F29" s="4"/>
      <c r="G29" s="4"/>
      <c r="H29" s="4"/>
      <c r="I29" s="4"/>
      <c r="J29" s="4"/>
      <c r="K29" s="4"/>
      <c r="L29" s="4"/>
    </row>
    <row r="30" spans="1:12" ht="25.5" customHeight="1">
      <c r="A30" s="4"/>
      <c r="B30" s="48" t="s">
        <v>65</v>
      </c>
      <c r="C30" s="48"/>
      <c r="D30" s="48"/>
      <c r="E30" s="48"/>
      <c r="F30" s="48"/>
      <c r="G30" s="48"/>
      <c r="H30" s="48"/>
      <c r="I30" s="48"/>
      <c r="J30" s="48"/>
      <c r="K30" s="4"/>
      <c r="L30" s="4"/>
    </row>
    <row r="31" spans="1:12" ht="31.5" customHeight="1">
      <c r="A31" s="4"/>
      <c r="B31" s="49" t="s">
        <v>66</v>
      </c>
      <c r="C31" s="49"/>
      <c r="D31" s="43" t="s">
        <v>67</v>
      </c>
      <c r="E31" s="43"/>
      <c r="F31" s="43"/>
      <c r="G31" s="43"/>
      <c r="H31" s="43"/>
      <c r="I31" s="43"/>
      <c r="J31" s="43"/>
      <c r="K31" s="4"/>
      <c r="L31" s="4"/>
    </row>
    <row r="32" spans="1:12" ht="31.5" customHeight="1">
      <c r="A32" s="4"/>
      <c r="B32" s="49" t="s">
        <v>68</v>
      </c>
      <c r="C32" s="49"/>
      <c r="D32" s="43" t="s">
        <v>69</v>
      </c>
      <c r="E32" s="43"/>
      <c r="F32" s="43"/>
      <c r="G32" s="43"/>
      <c r="H32" s="43"/>
      <c r="I32" s="43"/>
      <c r="J32" s="43"/>
      <c r="K32" s="4"/>
      <c r="L32" s="4"/>
    </row>
    <row r="33" spans="1:12" ht="31.5" customHeight="1">
      <c r="A33" s="4"/>
      <c r="B33" s="49" t="s">
        <v>70</v>
      </c>
      <c r="C33" s="49"/>
      <c r="D33" s="43" t="s">
        <v>71</v>
      </c>
      <c r="E33" s="43"/>
      <c r="F33" s="43"/>
      <c r="G33" s="43"/>
      <c r="H33" s="43"/>
      <c r="I33" s="43"/>
      <c r="J33" s="43"/>
      <c r="K33" s="4"/>
      <c r="L33" s="4"/>
    </row>
    <row r="34" spans="1:12" ht="31.5" customHeight="1">
      <c r="A34" s="4"/>
      <c r="B34" s="50" t="s">
        <v>72</v>
      </c>
      <c r="C34" s="50"/>
      <c r="D34" s="43" t="s">
        <v>73</v>
      </c>
      <c r="E34" s="43"/>
      <c r="F34" s="43"/>
      <c r="G34" s="43"/>
      <c r="H34" s="43"/>
      <c r="I34" s="43"/>
      <c r="J34" s="43"/>
      <c r="K34" s="4"/>
      <c r="L34" s="4"/>
    </row>
    <row r="35" spans="1:12" ht="31.5" customHeight="1">
      <c r="A35" s="4"/>
      <c r="B35" s="49" t="s">
        <v>74</v>
      </c>
      <c r="C35" s="49"/>
      <c r="D35" s="43" t="s">
        <v>75</v>
      </c>
      <c r="E35" s="43"/>
      <c r="F35" s="43"/>
      <c r="G35" s="43"/>
      <c r="H35" s="43"/>
      <c r="I35" s="43"/>
      <c r="J35" s="43"/>
      <c r="K35" s="4"/>
      <c r="L35" s="4"/>
    </row>
    <row r="36" spans="1:12" ht="31.5" customHeight="1">
      <c r="A36" s="4"/>
      <c r="B36" s="51" t="s">
        <v>76</v>
      </c>
      <c r="C36" s="51"/>
      <c r="D36" s="52" t="s">
        <v>325</v>
      </c>
      <c r="E36" s="53"/>
      <c r="F36" s="53"/>
      <c r="G36" s="53"/>
      <c r="H36" s="53"/>
      <c r="I36" s="53"/>
      <c r="J36" s="53"/>
      <c r="K36" s="4"/>
      <c r="L36" s="4"/>
    </row>
    <row r="37" spans="1:12" ht="31.5" customHeight="1">
      <c r="A37" s="4"/>
      <c r="B37" s="51" t="s">
        <v>77</v>
      </c>
      <c r="C37" s="51"/>
      <c r="D37" s="52" t="s">
        <v>326</v>
      </c>
      <c r="E37" s="53"/>
      <c r="F37" s="53"/>
      <c r="G37" s="53"/>
      <c r="H37" s="53"/>
      <c r="I37" s="53"/>
      <c r="J37" s="53"/>
      <c r="K37" s="4"/>
      <c r="L37" s="4"/>
    </row>
    <row r="38" spans="1:12" ht="31.5" customHeight="1">
      <c r="A38" s="4"/>
      <c r="B38" s="51" t="s">
        <v>78</v>
      </c>
      <c r="C38" s="51"/>
      <c r="D38" s="52" t="s">
        <v>327</v>
      </c>
      <c r="E38" s="53"/>
      <c r="F38" s="53"/>
      <c r="G38" s="53"/>
      <c r="H38" s="53"/>
      <c r="I38" s="53"/>
      <c r="J38" s="53"/>
      <c r="K38" s="4"/>
      <c r="L38" s="4"/>
    </row>
    <row r="39" spans="1:12" ht="7.5" customHeight="1">
      <c r="A39" s="4"/>
      <c r="B39" s="4"/>
      <c r="C39" s="4"/>
      <c r="D39" s="4"/>
      <c r="E39" s="33"/>
      <c r="F39" s="4"/>
      <c r="G39" s="4"/>
      <c r="H39" s="4"/>
      <c r="I39" s="4"/>
      <c r="J39" s="4"/>
      <c r="K39" s="4"/>
      <c r="L39" s="4"/>
    </row>
    <row r="40" spans="1:12" ht="25.5" customHeight="1">
      <c r="A40" s="4"/>
      <c r="B40" s="40" t="s">
        <v>79</v>
      </c>
      <c r="C40" s="40"/>
      <c r="D40" s="40"/>
      <c r="E40" s="40"/>
      <c r="F40" s="40"/>
      <c r="G40" s="40"/>
      <c r="H40" s="40"/>
      <c r="I40" s="40"/>
      <c r="J40" s="40"/>
      <c r="K40" s="4"/>
      <c r="L40" s="4"/>
    </row>
    <row r="41" spans="1:12" ht="25.5" customHeight="1">
      <c r="A41" s="4"/>
      <c r="B41" s="54" t="s">
        <v>80</v>
      </c>
      <c r="C41" s="54"/>
      <c r="D41" s="62" t="s">
        <v>346</v>
      </c>
      <c r="E41" s="55"/>
      <c r="F41" s="55"/>
      <c r="G41" s="55"/>
      <c r="H41" s="55"/>
      <c r="I41" s="55"/>
      <c r="J41" s="55"/>
      <c r="K41" s="4"/>
      <c r="L41" s="4"/>
    </row>
    <row r="42" spans="1:12" ht="25.5" customHeight="1">
      <c r="A42" s="4"/>
      <c r="B42" s="54" t="s">
        <v>81</v>
      </c>
      <c r="C42" s="54"/>
      <c r="D42" s="62" t="s">
        <v>347</v>
      </c>
      <c r="E42" s="55"/>
      <c r="F42" s="55"/>
      <c r="G42" s="55"/>
      <c r="H42" s="55"/>
      <c r="I42" s="55"/>
      <c r="J42" s="55"/>
      <c r="K42" s="4"/>
      <c r="L42" s="4"/>
    </row>
    <row r="43" spans="1:12" ht="25.5" customHeight="1">
      <c r="A43" s="4"/>
      <c r="B43" s="54" t="s">
        <v>82</v>
      </c>
      <c r="C43" s="54"/>
      <c r="D43" s="62" t="s">
        <v>344</v>
      </c>
      <c r="E43" s="55"/>
      <c r="F43" s="55"/>
      <c r="G43" s="55"/>
      <c r="H43" s="55"/>
      <c r="I43" s="55"/>
      <c r="J43" s="55"/>
      <c r="K43" s="4"/>
      <c r="L43" s="4"/>
    </row>
    <row r="44" spans="1:12" ht="25.5" customHeight="1">
      <c r="A44" s="4"/>
      <c r="B44" s="54" t="s">
        <v>83</v>
      </c>
      <c r="C44" s="54"/>
      <c r="D44" s="62" t="s">
        <v>345</v>
      </c>
      <c r="E44" s="55"/>
      <c r="F44" s="55"/>
      <c r="G44" s="55"/>
      <c r="H44" s="55"/>
      <c r="I44" s="55"/>
      <c r="J44" s="55"/>
      <c r="K44" s="4"/>
      <c r="L44" s="4"/>
    </row>
    <row r="45" spans="1:12" ht="25.5" customHeight="1">
      <c r="A45" s="4"/>
      <c r="B45" s="54" t="s">
        <v>84</v>
      </c>
      <c r="C45" s="54"/>
      <c r="D45" s="62" t="s">
        <v>342</v>
      </c>
      <c r="E45" s="55"/>
      <c r="F45" s="55"/>
      <c r="G45" s="55"/>
      <c r="H45" s="55"/>
      <c r="I45" s="55"/>
      <c r="J45" s="55"/>
      <c r="K45" s="4"/>
      <c r="L45" s="4"/>
    </row>
    <row r="46" spans="1:12" ht="25.5" customHeight="1">
      <c r="A46" s="4"/>
      <c r="B46" s="54" t="s">
        <v>85</v>
      </c>
      <c r="C46" s="54"/>
      <c r="D46" s="62" t="s">
        <v>343</v>
      </c>
      <c r="E46" s="55"/>
      <c r="F46" s="55"/>
      <c r="G46" s="55"/>
      <c r="H46" s="55"/>
      <c r="I46" s="55"/>
      <c r="J46" s="55"/>
      <c r="K46" s="4"/>
      <c r="L46" s="4"/>
    </row>
    <row r="47" spans="1:12" ht="25.5" customHeight="1">
      <c r="A47" s="4"/>
      <c r="B47" s="56" t="s">
        <v>324</v>
      </c>
      <c r="C47" s="56"/>
      <c r="D47" s="56"/>
      <c r="E47" s="56"/>
      <c r="F47" s="56"/>
      <c r="G47" s="56"/>
      <c r="H47" s="56"/>
      <c r="I47" s="56"/>
      <c r="J47" s="56"/>
      <c r="K47" s="4"/>
      <c r="L47" s="4"/>
    </row>
    <row r="48" spans="1:12" ht="12" customHeight="1">
      <c r="A48" s="4"/>
      <c r="B48" s="4"/>
      <c r="C48" s="4"/>
      <c r="D48" s="4"/>
      <c r="E48" s="33"/>
      <c r="F48" s="4"/>
      <c r="G48" s="4"/>
      <c r="H48" s="4"/>
      <c r="I48" s="4"/>
      <c r="J48" s="4"/>
      <c r="K48" s="4"/>
      <c r="L48" s="4"/>
    </row>
    <row r="49" spans="1:12" ht="25.5" customHeight="1">
      <c r="A49" s="4"/>
      <c r="B49" s="40" t="s">
        <v>86</v>
      </c>
      <c r="C49" s="40"/>
      <c r="D49" s="40"/>
      <c r="E49" s="40"/>
      <c r="F49" s="40"/>
      <c r="G49" s="40"/>
      <c r="H49" s="40"/>
      <c r="I49" s="40"/>
      <c r="J49" s="40"/>
      <c r="K49" s="4"/>
      <c r="L49" s="4"/>
    </row>
    <row r="50" spans="1:12" ht="36" customHeight="1">
      <c r="A50" s="4"/>
      <c r="B50" s="63" t="s">
        <v>348</v>
      </c>
      <c r="C50" s="57"/>
      <c r="D50" s="57"/>
      <c r="E50" s="57"/>
      <c r="F50" s="57"/>
      <c r="G50" s="57"/>
      <c r="H50" s="57"/>
      <c r="I50" s="57"/>
      <c r="J50" s="57"/>
      <c r="K50" s="4"/>
      <c r="L50" s="4"/>
    </row>
    <row r="51" spans="1:12" ht="48" customHeight="1">
      <c r="A51" s="4"/>
      <c r="B51" s="32" t="s">
        <v>322</v>
      </c>
      <c r="C51" s="41" t="str">
        <f>IFERROR(IF(VLOOKUP($L$2,계약리스트!$A$2:$AD$10000,12,0)="","",VLOOKUP($L$2,계약리스트!$A$2:$AD$10000,12,0)),"")</f>
        <v>중앙 오토바이 가수점</v>
      </c>
      <c r="D51" s="41"/>
      <c r="E51" s="41"/>
      <c r="F51" s="9" t="s">
        <v>87</v>
      </c>
      <c r="G51" s="32" t="s">
        <v>323</v>
      </c>
      <c r="H51" s="41" t="str">
        <f>IFERROR(IF(VLOOKUP($L$2,계약리스트!$A$2:$AD$10000,14,0)="","",VLOOKUP($L$2,계약리스트!$A$2:$AD$10000,14,0)),"")</f>
        <v>안종식</v>
      </c>
      <c r="I51" s="41"/>
      <c r="J51" s="9" t="s">
        <v>87</v>
      </c>
      <c r="K51" s="4"/>
      <c r="L51" s="4"/>
    </row>
    <row r="52" spans="1:12" ht="24" customHeight="1">
      <c r="A52" s="4"/>
      <c r="B52" s="7" t="s">
        <v>88</v>
      </c>
      <c r="C52" s="41" t="str">
        <f>IFERROR(TEXT(VLOOKUP($L$2,계약리스트!$A$2:$AD$10000,2,0),"yyyy년 m월 d일"),"")</f>
        <v>2026년 4월 24일</v>
      </c>
      <c r="D52" s="41"/>
      <c r="E52" s="41"/>
      <c r="F52" s="58" t="s">
        <v>89</v>
      </c>
      <c r="G52" s="58"/>
      <c r="H52" s="46" t="s">
        <v>46</v>
      </c>
      <c r="I52" s="46"/>
      <c r="J52" s="9" t="s">
        <v>87</v>
      </c>
      <c r="K52" s="4"/>
      <c r="L52" s="4"/>
    </row>
    <row r="53" spans="1:12" ht="15.6">
      <c r="A53" s="4"/>
      <c r="B53" s="4"/>
      <c r="C53" s="4"/>
      <c r="D53" s="4"/>
      <c r="E53" s="33"/>
      <c r="F53" s="4"/>
      <c r="G53" s="4"/>
      <c r="H53" s="4"/>
      <c r="I53" s="4"/>
      <c r="J53" s="4"/>
      <c r="K53" s="4"/>
      <c r="L53" s="4"/>
    </row>
    <row r="54" spans="1:12" ht="15.6">
      <c r="A54" s="4"/>
      <c r="B54" s="4"/>
      <c r="C54" s="4"/>
      <c r="D54" s="4"/>
      <c r="E54" s="33"/>
      <c r="F54" s="4"/>
      <c r="G54" s="4"/>
      <c r="H54" s="4"/>
      <c r="I54" s="4"/>
      <c r="J54" s="4"/>
      <c r="K54" s="4"/>
      <c r="L54" s="4"/>
    </row>
    <row r="55" spans="1:12" ht="15.6">
      <c r="A55" s="4"/>
      <c r="B55" s="4"/>
      <c r="C55" s="4"/>
      <c r="D55" s="4"/>
      <c r="E55" s="33"/>
      <c r="F55" s="4"/>
      <c r="G55" s="4"/>
      <c r="H55" s="4"/>
      <c r="I55" s="4"/>
      <c r="J55" s="4"/>
      <c r="K55" s="4"/>
      <c r="L55" s="4"/>
    </row>
    <row r="56" spans="1:12" ht="15.6">
      <c r="A56" s="4"/>
      <c r="B56" s="4"/>
      <c r="C56" s="4"/>
      <c r="D56" s="4"/>
      <c r="E56" s="33"/>
      <c r="F56" s="4"/>
      <c r="G56" s="4"/>
      <c r="H56" s="4"/>
      <c r="I56" s="4"/>
      <c r="J56" s="4"/>
      <c r="K56" s="4"/>
      <c r="L56" s="4"/>
    </row>
    <row r="57" spans="1:12" ht="15.6">
      <c r="A57" s="4"/>
      <c r="B57" s="4"/>
      <c r="C57" s="4"/>
      <c r="D57" s="4"/>
      <c r="E57" s="33"/>
      <c r="F57" s="4"/>
      <c r="G57" s="4"/>
      <c r="H57" s="4"/>
      <c r="I57" s="4"/>
      <c r="J57" s="4"/>
      <c r="K57" s="4"/>
      <c r="L57" s="4"/>
    </row>
    <row r="58" spans="1:12" ht="15.6">
      <c r="A58" s="4"/>
      <c r="B58" s="4"/>
      <c r="C58" s="4"/>
      <c r="D58" s="4"/>
      <c r="E58" s="33"/>
      <c r="F58" s="4"/>
      <c r="G58" s="4"/>
      <c r="H58" s="4"/>
      <c r="I58" s="4"/>
      <c r="J58" s="4"/>
      <c r="K58" s="4"/>
      <c r="L58" s="4"/>
    </row>
    <row r="59" spans="1:12" ht="15.6">
      <c r="A59" s="4"/>
      <c r="B59" s="4"/>
      <c r="C59" s="4"/>
      <c r="D59" s="4"/>
      <c r="E59" s="33"/>
      <c r="F59" s="4"/>
      <c r="G59" s="4"/>
      <c r="H59" s="4"/>
      <c r="I59" s="4"/>
      <c r="J59" s="4"/>
      <c r="K59" s="4"/>
      <c r="L59" s="4"/>
    </row>
    <row r="60" spans="1:12" ht="15.6">
      <c r="A60" s="4"/>
      <c r="B60" s="4"/>
      <c r="C60" s="4"/>
      <c r="D60" s="4"/>
      <c r="E60" s="33"/>
      <c r="F60" s="4"/>
      <c r="G60" s="4"/>
      <c r="H60" s="4"/>
      <c r="I60" s="4"/>
      <c r="J60" s="4"/>
      <c r="K60" s="4"/>
      <c r="L60" s="4"/>
    </row>
    <row r="61" spans="1:12" ht="15.6">
      <c r="A61" s="4"/>
      <c r="B61" s="4"/>
      <c r="C61" s="4"/>
      <c r="D61" s="4"/>
      <c r="E61" s="33"/>
      <c r="F61" s="4"/>
      <c r="G61" s="4"/>
      <c r="H61" s="4"/>
      <c r="I61" s="4"/>
      <c r="J61" s="4"/>
      <c r="K61" s="4"/>
      <c r="L61" s="4"/>
    </row>
    <row r="62" spans="1:12" ht="15.6">
      <c r="A62" s="4"/>
      <c r="B62" s="4"/>
      <c r="C62" s="4"/>
      <c r="D62" s="4"/>
      <c r="E62" s="33"/>
      <c r="F62" s="4"/>
      <c r="G62" s="4"/>
      <c r="H62" s="4"/>
      <c r="I62" s="4"/>
      <c r="J62" s="4"/>
      <c r="K62" s="4"/>
      <c r="L62" s="4"/>
    </row>
    <row r="63" spans="1:12" ht="15.6">
      <c r="A63" s="4"/>
      <c r="B63" s="4"/>
      <c r="C63" s="4"/>
      <c r="D63" s="4"/>
      <c r="E63" s="33"/>
      <c r="F63" s="4"/>
      <c r="G63" s="4"/>
      <c r="H63" s="4"/>
      <c r="I63" s="4"/>
      <c r="J63" s="4"/>
      <c r="K63" s="4"/>
      <c r="L63" s="4"/>
    </row>
    <row r="64" spans="1:12" ht="15.6">
      <c r="A64" s="4"/>
      <c r="B64" s="4"/>
      <c r="C64" s="4"/>
      <c r="D64" s="4"/>
      <c r="E64" s="33"/>
      <c r="F64" s="4"/>
      <c r="G64" s="4"/>
      <c r="H64" s="4"/>
      <c r="I64" s="4"/>
      <c r="J64" s="4"/>
      <c r="K64" s="4"/>
      <c r="L64" s="4"/>
    </row>
    <row r="65" spans="1:12" ht="15.6">
      <c r="A65" s="4"/>
      <c r="B65" s="4"/>
      <c r="C65" s="4"/>
      <c r="D65" s="4"/>
      <c r="E65" s="33"/>
      <c r="F65" s="4"/>
      <c r="G65" s="4"/>
      <c r="H65" s="4"/>
      <c r="I65" s="4"/>
      <c r="J65" s="4"/>
      <c r="K65" s="4"/>
      <c r="L65" s="4"/>
    </row>
    <row r="66" spans="1:12" ht="15.6">
      <c r="A66" s="4"/>
      <c r="B66" s="4"/>
      <c r="C66" s="4"/>
      <c r="D66" s="4"/>
      <c r="E66" s="33"/>
      <c r="F66" s="4"/>
      <c r="G66" s="4"/>
      <c r="H66" s="4"/>
      <c r="I66" s="4"/>
      <c r="J66" s="4"/>
      <c r="K66" s="4"/>
      <c r="L66" s="4"/>
    </row>
    <row r="67" spans="1:12" ht="15.6">
      <c r="A67" s="4"/>
      <c r="B67" s="4"/>
      <c r="C67" s="4"/>
      <c r="D67" s="4"/>
      <c r="E67" s="33"/>
      <c r="F67" s="4"/>
      <c r="G67" s="4"/>
      <c r="H67" s="4"/>
      <c r="I67" s="4"/>
      <c r="J67" s="4"/>
      <c r="K67" s="4"/>
      <c r="L67" s="4"/>
    </row>
    <row r="68" spans="1:12" ht="15.6">
      <c r="A68" s="4"/>
      <c r="B68" s="4"/>
      <c r="C68" s="4"/>
      <c r="D68" s="4"/>
      <c r="E68" s="33"/>
      <c r="F68" s="4"/>
      <c r="G68" s="4"/>
      <c r="H68" s="4"/>
      <c r="I68" s="4"/>
      <c r="J68" s="4"/>
      <c r="K68" s="4"/>
      <c r="L68" s="4"/>
    </row>
    <row r="69" spans="1:12" ht="15.6">
      <c r="A69" s="4"/>
      <c r="B69" s="4"/>
      <c r="C69" s="4"/>
      <c r="D69" s="4"/>
      <c r="E69" s="33"/>
      <c r="F69" s="4"/>
      <c r="G69" s="4"/>
      <c r="H69" s="4"/>
      <c r="I69" s="4"/>
      <c r="J69" s="4"/>
      <c r="K69" s="4"/>
      <c r="L69" s="4"/>
    </row>
    <row r="70" spans="1:12" ht="15.6">
      <c r="A70" s="4"/>
      <c r="B70" s="4"/>
      <c r="C70" s="4"/>
      <c r="D70" s="4"/>
      <c r="E70" s="33"/>
      <c r="F70" s="4"/>
      <c r="G70" s="4"/>
      <c r="H70" s="4"/>
      <c r="I70" s="4"/>
      <c r="J70" s="4"/>
      <c r="K70" s="4"/>
      <c r="L70" s="4"/>
    </row>
    <row r="71" spans="1:12" ht="15.6">
      <c r="A71" s="4"/>
      <c r="B71" s="4"/>
      <c r="C71" s="4"/>
      <c r="D71" s="4"/>
      <c r="E71" s="33"/>
      <c r="F71" s="4"/>
      <c r="G71" s="4"/>
      <c r="H71" s="4"/>
      <c r="I71" s="4"/>
      <c r="J71" s="4"/>
      <c r="K71" s="4"/>
      <c r="L71" s="4"/>
    </row>
    <row r="72" spans="1:12" ht="15.6">
      <c r="A72" s="4"/>
      <c r="B72" s="4"/>
      <c r="C72" s="4"/>
      <c r="D72" s="4"/>
      <c r="E72" s="33"/>
      <c r="F72" s="4"/>
      <c r="G72" s="4"/>
      <c r="H72" s="4"/>
      <c r="I72" s="4"/>
      <c r="J72" s="4"/>
      <c r="K72" s="4"/>
      <c r="L72" s="4"/>
    </row>
    <row r="73" spans="1:12" ht="15.6">
      <c r="A73" s="4"/>
      <c r="B73" s="4"/>
      <c r="C73" s="4"/>
      <c r="D73" s="4"/>
      <c r="E73" s="33"/>
      <c r="F73" s="4"/>
      <c r="G73" s="4"/>
      <c r="H73" s="4"/>
      <c r="I73" s="4"/>
      <c r="J73" s="4"/>
      <c r="K73" s="4"/>
      <c r="L73" s="4"/>
    </row>
    <row r="74" spans="1:12" ht="15.6">
      <c r="A74" s="4"/>
      <c r="B74" s="4"/>
      <c r="C74" s="4"/>
      <c r="D74" s="4"/>
      <c r="E74" s="33"/>
      <c r="F74" s="4"/>
      <c r="G74" s="4"/>
      <c r="H74" s="4"/>
      <c r="I74" s="4"/>
      <c r="J74" s="4"/>
      <c r="K74" s="4"/>
      <c r="L74" s="4"/>
    </row>
    <row r="75" spans="1:12" ht="15.6">
      <c r="A75" s="4"/>
      <c r="B75" s="4"/>
      <c r="C75" s="4"/>
      <c r="D75" s="4"/>
      <c r="E75" s="33"/>
      <c r="F75" s="4"/>
      <c r="G75" s="4"/>
      <c r="H75" s="4"/>
      <c r="I75" s="4"/>
      <c r="J75" s="4"/>
      <c r="K75" s="4"/>
      <c r="L75" s="4"/>
    </row>
    <row r="76" spans="1:12" ht="15.6">
      <c r="A76" s="4"/>
      <c r="B76" s="4"/>
      <c r="C76" s="4"/>
      <c r="D76" s="4"/>
      <c r="E76" s="33"/>
      <c r="F76" s="4"/>
      <c r="G76" s="4"/>
      <c r="H76" s="4"/>
      <c r="I76" s="4"/>
      <c r="J76" s="4"/>
      <c r="K76" s="4"/>
      <c r="L76" s="4"/>
    </row>
    <row r="77" spans="1:12" ht="15.6">
      <c r="A77" s="4"/>
      <c r="B77" s="4"/>
      <c r="C77" s="4"/>
      <c r="D77" s="4"/>
      <c r="E77" s="33"/>
      <c r="F77" s="4"/>
      <c r="G77" s="4"/>
      <c r="H77" s="4"/>
      <c r="I77" s="4"/>
      <c r="J77" s="4"/>
      <c r="K77" s="4"/>
      <c r="L77" s="4"/>
    </row>
    <row r="78" spans="1:12" ht="15.6">
      <c r="A78" s="4"/>
      <c r="B78" s="4"/>
      <c r="C78" s="4"/>
      <c r="D78" s="4"/>
      <c r="E78" s="33"/>
      <c r="F78" s="4"/>
      <c r="G78" s="4"/>
      <c r="H78" s="4"/>
      <c r="I78" s="4"/>
      <c r="J78" s="4"/>
      <c r="K78" s="4"/>
      <c r="L78" s="4"/>
    </row>
    <row r="79" spans="1:12" ht="15.6">
      <c r="A79" s="4"/>
      <c r="B79" s="4"/>
      <c r="C79" s="4"/>
      <c r="D79" s="4"/>
      <c r="E79" s="33"/>
      <c r="F79" s="4"/>
      <c r="G79" s="4"/>
      <c r="H79" s="4"/>
      <c r="I79" s="4"/>
      <c r="J79" s="4"/>
      <c r="K79" s="4"/>
      <c r="L79" s="4"/>
    </row>
    <row r="80" spans="1:12" ht="15.6">
      <c r="A80" s="4"/>
      <c r="B80" s="4"/>
      <c r="C80" s="4"/>
      <c r="D80" s="4"/>
      <c r="E80" s="33"/>
      <c r="F80" s="4"/>
      <c r="G80" s="4"/>
      <c r="H80" s="4"/>
      <c r="I80" s="4"/>
      <c r="J80" s="4"/>
      <c r="K80" s="4"/>
      <c r="L80" s="4"/>
    </row>
    <row r="81" spans="1:12" ht="15.6">
      <c r="A81" s="4"/>
      <c r="B81" s="4"/>
      <c r="C81" s="4"/>
      <c r="D81" s="4"/>
      <c r="E81" s="33"/>
      <c r="F81" s="4"/>
      <c r="G81" s="4"/>
      <c r="H81" s="4"/>
      <c r="I81" s="4"/>
      <c r="J81" s="4"/>
      <c r="K81" s="4"/>
      <c r="L81" s="4"/>
    </row>
    <row r="82" spans="1:12" ht="15.6">
      <c r="A82" s="4"/>
      <c r="B82" s="4"/>
      <c r="C82" s="4"/>
      <c r="D82" s="4"/>
      <c r="E82" s="33"/>
      <c r="F82" s="4"/>
      <c r="G82" s="4"/>
      <c r="H82" s="4"/>
      <c r="I82" s="4"/>
      <c r="J82" s="4"/>
      <c r="K82" s="4"/>
      <c r="L82" s="4"/>
    </row>
    <row r="83" spans="1:12" ht="15.6">
      <c r="A83" s="4"/>
      <c r="B83" s="4"/>
      <c r="C83" s="4"/>
      <c r="D83" s="4"/>
      <c r="E83" s="33"/>
      <c r="F83" s="4"/>
      <c r="G83" s="4"/>
      <c r="H83" s="4"/>
      <c r="I83" s="4"/>
      <c r="J83" s="4"/>
      <c r="K83" s="4"/>
      <c r="L83" s="4"/>
    </row>
    <row r="84" spans="1:12" ht="15.6">
      <c r="A84" s="4"/>
      <c r="B84" s="4"/>
      <c r="C84" s="4"/>
      <c r="D84" s="4"/>
      <c r="E84" s="33"/>
      <c r="F84" s="4"/>
      <c r="G84" s="4"/>
      <c r="H84" s="4"/>
      <c r="I84" s="4"/>
      <c r="J84" s="4"/>
      <c r="K84" s="4"/>
      <c r="L84" s="4"/>
    </row>
    <row r="85" spans="1:12" ht="15.6">
      <c r="A85" s="4"/>
      <c r="B85" s="4"/>
      <c r="C85" s="4"/>
      <c r="D85" s="4"/>
      <c r="E85" s="33"/>
      <c r="F85" s="4"/>
      <c r="G85" s="4"/>
      <c r="H85" s="4"/>
      <c r="I85" s="4"/>
      <c r="J85" s="4"/>
      <c r="K85" s="4"/>
      <c r="L85" s="4"/>
    </row>
    <row r="86" spans="1:12" ht="15.6">
      <c r="A86" s="4"/>
      <c r="B86" s="4"/>
      <c r="C86" s="4"/>
      <c r="D86" s="4"/>
      <c r="E86" s="33"/>
      <c r="F86" s="4"/>
      <c r="G86" s="4"/>
      <c r="H86" s="4"/>
      <c r="I86" s="4"/>
      <c r="J86" s="4"/>
      <c r="K86" s="4"/>
      <c r="L86" s="4"/>
    </row>
    <row r="87" spans="1:12" ht="15.6">
      <c r="A87" s="4"/>
      <c r="B87" s="4"/>
      <c r="C87" s="4"/>
      <c r="D87" s="4"/>
      <c r="E87" s="33"/>
      <c r="F87" s="4"/>
      <c r="G87" s="4"/>
      <c r="H87" s="4"/>
      <c r="I87" s="4"/>
      <c r="J87" s="4"/>
      <c r="K87" s="4"/>
      <c r="L87" s="4"/>
    </row>
    <row r="88" spans="1:12" ht="15.6">
      <c r="A88" s="4"/>
      <c r="B88" s="4"/>
      <c r="C88" s="4"/>
      <c r="D88" s="4"/>
      <c r="E88" s="33"/>
      <c r="F88" s="4"/>
      <c r="G88" s="4"/>
      <c r="H88" s="4"/>
      <c r="I88" s="4"/>
      <c r="J88" s="4"/>
      <c r="K88" s="4"/>
      <c r="L88" s="4"/>
    </row>
    <row r="89" spans="1:12" ht="15.6">
      <c r="A89" s="4"/>
      <c r="B89" s="4"/>
      <c r="C89" s="4"/>
      <c r="D89" s="4"/>
      <c r="E89" s="33"/>
      <c r="F89" s="4"/>
      <c r="G89" s="4"/>
      <c r="H89" s="4"/>
      <c r="I89" s="4"/>
      <c r="J89" s="4"/>
      <c r="K89" s="4"/>
      <c r="L89" s="4"/>
    </row>
    <row r="90" spans="1:12" ht="15.6">
      <c r="A90" s="4"/>
      <c r="B90" s="4"/>
      <c r="C90" s="4"/>
      <c r="D90" s="4"/>
      <c r="E90" s="33"/>
      <c r="F90" s="4"/>
      <c r="G90" s="4"/>
      <c r="H90" s="4"/>
      <c r="I90" s="4"/>
      <c r="J90" s="4"/>
      <c r="K90" s="4"/>
      <c r="L90" s="4"/>
    </row>
    <row r="91" spans="1:12" ht="15.6">
      <c r="A91" s="4"/>
      <c r="B91" s="4"/>
      <c r="C91" s="4"/>
      <c r="D91" s="4"/>
      <c r="E91" s="33"/>
      <c r="F91" s="4"/>
      <c r="G91" s="4"/>
      <c r="H91" s="4"/>
      <c r="I91" s="4"/>
      <c r="J91" s="4"/>
      <c r="K91" s="4"/>
      <c r="L91" s="4"/>
    </row>
    <row r="92" spans="1:12" ht="15.6">
      <c r="A92" s="4"/>
      <c r="B92" s="4"/>
      <c r="C92" s="4"/>
      <c r="D92" s="4"/>
      <c r="E92" s="33"/>
      <c r="F92" s="4"/>
      <c r="G92" s="4"/>
      <c r="H92" s="4"/>
      <c r="I92" s="4"/>
      <c r="J92" s="4"/>
      <c r="K92" s="4"/>
      <c r="L92" s="4"/>
    </row>
    <row r="93" spans="1:12" ht="15.6">
      <c r="A93" s="4"/>
      <c r="B93" s="4"/>
      <c r="C93" s="4"/>
      <c r="D93" s="4"/>
      <c r="E93" s="33"/>
      <c r="F93" s="4"/>
      <c r="G93" s="4"/>
      <c r="H93" s="4"/>
      <c r="I93" s="4"/>
      <c r="J93" s="4"/>
      <c r="K93" s="4"/>
      <c r="L93" s="4"/>
    </row>
    <row r="94" spans="1:12" ht="15.6">
      <c r="A94" s="4"/>
      <c r="B94" s="4"/>
      <c r="C94" s="4"/>
      <c r="D94" s="4"/>
      <c r="E94" s="33"/>
      <c r="F94" s="4"/>
      <c r="G94" s="4"/>
      <c r="H94" s="4"/>
      <c r="I94" s="4"/>
      <c r="J94" s="4"/>
      <c r="K94" s="4"/>
      <c r="L94" s="4"/>
    </row>
    <row r="95" spans="1:12" ht="15.6">
      <c r="A95" s="4"/>
      <c r="B95" s="4"/>
      <c r="C95" s="4"/>
      <c r="D95" s="4"/>
      <c r="E95" s="33"/>
      <c r="F95" s="4"/>
      <c r="G95" s="4"/>
      <c r="H95" s="4"/>
      <c r="I95" s="4"/>
      <c r="J95" s="4"/>
      <c r="K95" s="4"/>
      <c r="L95" s="4"/>
    </row>
    <row r="96" spans="1:12" ht="15.6">
      <c r="A96" s="4"/>
      <c r="B96" s="4"/>
      <c r="C96" s="4"/>
      <c r="D96" s="4"/>
      <c r="E96" s="33"/>
      <c r="F96" s="4"/>
      <c r="G96" s="4"/>
      <c r="H96" s="4"/>
      <c r="I96" s="4"/>
      <c r="J96" s="4"/>
      <c r="K96" s="4"/>
      <c r="L96" s="4"/>
    </row>
    <row r="97" spans="1:12" ht="15.6">
      <c r="A97" s="4"/>
      <c r="B97" s="4"/>
      <c r="C97" s="4"/>
      <c r="D97" s="4"/>
      <c r="E97" s="33"/>
      <c r="F97" s="4"/>
      <c r="G97" s="4"/>
      <c r="H97" s="4"/>
      <c r="I97" s="4"/>
      <c r="J97" s="4"/>
      <c r="K97" s="4"/>
      <c r="L97" s="4"/>
    </row>
    <row r="98" spans="1:12" ht="15.6">
      <c r="A98" s="4"/>
      <c r="B98" s="4"/>
      <c r="C98" s="4"/>
      <c r="D98" s="4"/>
      <c r="E98" s="33"/>
      <c r="F98" s="4"/>
      <c r="G98" s="4"/>
      <c r="H98" s="4"/>
      <c r="I98" s="4"/>
      <c r="J98" s="4"/>
      <c r="K98" s="4"/>
      <c r="L98" s="4"/>
    </row>
    <row r="99" spans="1:12" ht="15.6">
      <c r="A99" s="4"/>
      <c r="B99" s="4"/>
      <c r="C99" s="4"/>
      <c r="D99" s="4"/>
      <c r="E99" s="33"/>
      <c r="F99" s="4"/>
      <c r="G99" s="4"/>
      <c r="H99" s="4"/>
      <c r="I99" s="4"/>
      <c r="J99" s="4"/>
      <c r="K99" s="4"/>
      <c r="L99" s="4"/>
    </row>
    <row r="100" spans="1:12" ht="15.6">
      <c r="A100" s="4"/>
      <c r="B100" s="4"/>
      <c r="C100" s="4"/>
      <c r="D100" s="4"/>
      <c r="E100" s="33"/>
      <c r="F100" s="4"/>
      <c r="G100" s="4"/>
      <c r="H100" s="4"/>
      <c r="I100" s="4"/>
      <c r="J100" s="4"/>
      <c r="K100" s="4"/>
      <c r="L100" s="4"/>
    </row>
    <row r="101" spans="1:12" ht="15.6">
      <c r="A101" s="4"/>
      <c r="B101" s="4"/>
      <c r="C101" s="4"/>
      <c r="D101" s="4"/>
      <c r="E101" s="33"/>
      <c r="F101" s="4"/>
      <c r="G101" s="4"/>
      <c r="H101" s="4"/>
      <c r="I101" s="4"/>
      <c r="J101" s="4"/>
      <c r="K101" s="4"/>
      <c r="L101" s="4"/>
    </row>
    <row r="102" spans="1:12" ht="15.6">
      <c r="A102" s="4"/>
      <c r="B102" s="4"/>
      <c r="C102" s="4"/>
      <c r="D102" s="4"/>
      <c r="E102" s="33"/>
      <c r="F102" s="4"/>
      <c r="G102" s="4"/>
      <c r="H102" s="4"/>
      <c r="I102" s="4"/>
      <c r="J102" s="4"/>
      <c r="K102" s="4"/>
      <c r="L102" s="4"/>
    </row>
    <row r="103" spans="1:12" ht="15.6">
      <c r="A103" s="4"/>
      <c r="B103" s="4"/>
      <c r="C103" s="4"/>
      <c r="D103" s="4"/>
      <c r="E103" s="33"/>
      <c r="F103" s="4"/>
      <c r="G103" s="4"/>
      <c r="H103" s="4"/>
      <c r="I103" s="4"/>
      <c r="J103" s="4"/>
      <c r="K103" s="4"/>
      <c r="L103" s="4"/>
    </row>
    <row r="104" spans="1:12" ht="15.6">
      <c r="A104" s="4"/>
      <c r="B104" s="4"/>
      <c r="C104" s="4"/>
      <c r="D104" s="4"/>
      <c r="E104" s="33"/>
      <c r="F104" s="4"/>
      <c r="G104" s="4"/>
      <c r="H104" s="4"/>
      <c r="I104" s="4"/>
      <c r="J104" s="4"/>
      <c r="K104" s="4"/>
      <c r="L104" s="4"/>
    </row>
    <row r="105" spans="1:12" ht="15.6">
      <c r="A105" s="4"/>
      <c r="B105" s="4"/>
      <c r="C105" s="4"/>
      <c r="D105" s="4"/>
      <c r="E105" s="33"/>
      <c r="F105" s="4"/>
      <c r="G105" s="4"/>
      <c r="H105" s="4"/>
      <c r="I105" s="4"/>
      <c r="J105" s="4"/>
      <c r="K105" s="4"/>
      <c r="L105" s="4"/>
    </row>
    <row r="106" spans="1:12" ht="15.6">
      <c r="A106" s="4"/>
      <c r="B106" s="4"/>
      <c r="C106" s="4"/>
      <c r="D106" s="4"/>
      <c r="E106" s="33"/>
      <c r="F106" s="4"/>
      <c r="G106" s="4"/>
      <c r="H106" s="4"/>
      <c r="I106" s="4"/>
      <c r="J106" s="4"/>
      <c r="K106" s="4"/>
      <c r="L106" s="4"/>
    </row>
    <row r="107" spans="1:12" ht="15.6">
      <c r="A107" s="4"/>
      <c r="B107" s="4"/>
      <c r="C107" s="4"/>
      <c r="D107" s="4"/>
      <c r="E107" s="33"/>
      <c r="F107" s="4"/>
      <c r="G107" s="4"/>
      <c r="H107" s="4"/>
      <c r="I107" s="4"/>
      <c r="J107" s="4"/>
      <c r="K107" s="4"/>
      <c r="L107" s="4"/>
    </row>
    <row r="108" spans="1:12" ht="15.6">
      <c r="A108" s="4"/>
      <c r="B108" s="4"/>
      <c r="C108" s="4"/>
      <c r="D108" s="4"/>
      <c r="E108" s="33"/>
      <c r="F108" s="4"/>
      <c r="G108" s="4"/>
      <c r="H108" s="4"/>
      <c r="I108" s="4"/>
      <c r="J108" s="4"/>
      <c r="K108" s="4"/>
      <c r="L108" s="4"/>
    </row>
    <row r="109" spans="1:12" ht="15.6">
      <c r="A109" s="4"/>
      <c r="B109" s="4"/>
      <c r="C109" s="4"/>
      <c r="D109" s="4"/>
      <c r="E109" s="33"/>
      <c r="F109" s="4"/>
      <c r="G109" s="4"/>
      <c r="H109" s="4"/>
      <c r="I109" s="4"/>
      <c r="J109" s="4"/>
      <c r="K109" s="4"/>
      <c r="L109" s="4"/>
    </row>
  </sheetData>
  <mergeCells count="80">
    <mergeCell ref="B49:J49"/>
    <mergeCell ref="B50:J50"/>
    <mergeCell ref="C51:E51"/>
    <mergeCell ref="H51:I51"/>
    <mergeCell ref="C52:E52"/>
    <mergeCell ref="F52:G52"/>
    <mergeCell ref="H52:I52"/>
    <mergeCell ref="B45:C45"/>
    <mergeCell ref="D45:J45"/>
    <mergeCell ref="B46:C46"/>
    <mergeCell ref="D46:J46"/>
    <mergeCell ref="B47:J47"/>
    <mergeCell ref="B42:C42"/>
    <mergeCell ref="D42:J42"/>
    <mergeCell ref="B43:C43"/>
    <mergeCell ref="D43:J43"/>
    <mergeCell ref="B44:C44"/>
    <mergeCell ref="D44:J44"/>
    <mergeCell ref="B38:C38"/>
    <mergeCell ref="D38:J38"/>
    <mergeCell ref="B40:J40"/>
    <mergeCell ref="B41:C41"/>
    <mergeCell ref="D41:J41"/>
    <mergeCell ref="B35:C35"/>
    <mergeCell ref="D35:J35"/>
    <mergeCell ref="B36:C36"/>
    <mergeCell ref="D36:J36"/>
    <mergeCell ref="B37:C37"/>
    <mergeCell ref="D37:J37"/>
    <mergeCell ref="B32:C32"/>
    <mergeCell ref="D32:J32"/>
    <mergeCell ref="B33:C33"/>
    <mergeCell ref="D33:J33"/>
    <mergeCell ref="B34:C34"/>
    <mergeCell ref="D34:J34"/>
    <mergeCell ref="C28:F28"/>
    <mergeCell ref="H28:J28"/>
    <mergeCell ref="B30:J30"/>
    <mergeCell ref="B31:C31"/>
    <mergeCell ref="D31:J31"/>
    <mergeCell ref="C24:J24"/>
    <mergeCell ref="B26:J26"/>
    <mergeCell ref="C27:D27"/>
    <mergeCell ref="F27:G27"/>
    <mergeCell ref="I27:J27"/>
    <mergeCell ref="C22:D22"/>
    <mergeCell ref="F22:G22"/>
    <mergeCell ref="I22:J22"/>
    <mergeCell ref="C23:D23"/>
    <mergeCell ref="F23:J23"/>
    <mergeCell ref="C17:J17"/>
    <mergeCell ref="B18:J18"/>
    <mergeCell ref="B20:J20"/>
    <mergeCell ref="C21:D21"/>
    <mergeCell ref="F21:G21"/>
    <mergeCell ref="I21:J21"/>
    <mergeCell ref="C12:D12"/>
    <mergeCell ref="F12:J12"/>
    <mergeCell ref="B13:J13"/>
    <mergeCell ref="B15:J15"/>
    <mergeCell ref="C16:D16"/>
    <mergeCell ref="F16:G16"/>
    <mergeCell ref="I16:J16"/>
    <mergeCell ref="C8:D8"/>
    <mergeCell ref="E8:J8"/>
    <mergeCell ref="B10:J10"/>
    <mergeCell ref="C11:D11"/>
    <mergeCell ref="F11:G11"/>
    <mergeCell ref="I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30" type="noConversion"/>
  <printOptions horizontalCentered="1"/>
  <pageMargins left="0.3" right="0.3" top="0.4" bottom="0.4" header="0.511811023622047" footer="0.511811023622047"/>
  <pageSetup paperSize="9" scale="6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0AB8-C0B3-495D-A91A-CF7AA11A3586}">
  <sheetPr>
    <pageSetUpPr fitToPage="1"/>
  </sheetPr>
  <dimension ref="A1:D212"/>
  <sheetViews>
    <sheetView showGridLines="0" tabSelected="1" zoomScale="115" zoomScaleNormal="115" zoomScaleSheetLayoutView="85" zoomScalePageLayoutView="145" workbookViewId="0">
      <selection activeCell="D22" sqref="D22"/>
    </sheetView>
  </sheetViews>
  <sheetFormatPr defaultColWidth="8.6640625" defaultRowHeight="14.4"/>
  <cols>
    <col min="1" max="1" width="2" customWidth="1"/>
    <col min="2" max="2" width="61.109375" customWidth="1"/>
    <col min="3" max="3" width="1.5546875" customWidth="1"/>
    <col min="4" max="4" width="62.109375" customWidth="1"/>
    <col min="5" max="5" width="2" customWidth="1"/>
  </cols>
  <sheetData>
    <row r="1" spans="2:4" ht="31.5" customHeight="1">
      <c r="B1" s="35" t="s">
        <v>128</v>
      </c>
      <c r="C1" s="35"/>
      <c r="D1" s="35"/>
    </row>
    <row r="3" spans="2:4" ht="14.25" customHeight="1">
      <c r="B3" s="14" t="s">
        <v>90</v>
      </c>
      <c r="D3" s="10" t="s">
        <v>163</v>
      </c>
    </row>
    <row r="4" spans="2:4" ht="14.25" customHeight="1">
      <c r="B4" s="12" t="s">
        <v>94</v>
      </c>
      <c r="D4" s="12" t="s">
        <v>164</v>
      </c>
    </row>
    <row r="5" spans="2:4" ht="14.25" customHeight="1">
      <c r="B5" s="16" t="s">
        <v>95</v>
      </c>
      <c r="D5" s="12" t="s">
        <v>165</v>
      </c>
    </row>
    <row r="6" spans="2:4" ht="14.25" customHeight="1">
      <c r="B6" s="11"/>
      <c r="D6" s="12" t="s">
        <v>166</v>
      </c>
    </row>
    <row r="7" spans="2:4" ht="14.25" customHeight="1">
      <c r="B7" s="14" t="s">
        <v>91</v>
      </c>
      <c r="D7" s="12" t="s">
        <v>167</v>
      </c>
    </row>
    <row r="8" spans="2:4" ht="14.25" customHeight="1">
      <c r="B8" s="12" t="s">
        <v>96</v>
      </c>
      <c r="D8" s="12" t="s">
        <v>168</v>
      </c>
    </row>
    <row r="9" spans="2:4" ht="14.25" customHeight="1">
      <c r="B9" s="12" t="s">
        <v>97</v>
      </c>
      <c r="D9" s="12" t="s">
        <v>169</v>
      </c>
    </row>
    <row r="10" spans="2:4" ht="14.25" customHeight="1">
      <c r="B10" s="12" t="s">
        <v>98</v>
      </c>
      <c r="D10" s="12"/>
    </row>
    <row r="11" spans="2:4" ht="14.25" customHeight="1">
      <c r="B11" s="12" t="s">
        <v>99</v>
      </c>
      <c r="D11" s="10" t="s">
        <v>170</v>
      </c>
    </row>
    <row r="12" spans="2:4" ht="14.25" customHeight="1">
      <c r="B12" s="12" t="s">
        <v>92</v>
      </c>
      <c r="D12" s="12" t="s">
        <v>171</v>
      </c>
    </row>
    <row r="13" spans="2:4" ht="14.25" customHeight="1">
      <c r="B13" s="12" t="s">
        <v>329</v>
      </c>
      <c r="D13" s="12" t="s">
        <v>172</v>
      </c>
    </row>
    <row r="14" spans="2:4" ht="14.25" customHeight="1">
      <c r="B14" s="12" t="s">
        <v>100</v>
      </c>
      <c r="D14" s="12" t="s">
        <v>173</v>
      </c>
    </row>
    <row r="15" spans="2:4" ht="14.25" customHeight="1">
      <c r="B15" s="12" t="s">
        <v>101</v>
      </c>
      <c r="D15" s="12" t="s">
        <v>174</v>
      </c>
    </row>
    <row r="16" spans="2:4" ht="14.25" customHeight="1">
      <c r="B16" s="12" t="s">
        <v>102</v>
      </c>
      <c r="D16" s="12" t="s">
        <v>175</v>
      </c>
    </row>
    <row r="17" spans="2:4" ht="14.25" customHeight="1">
      <c r="B17" s="12" t="s">
        <v>350</v>
      </c>
      <c r="D17" s="12" t="s">
        <v>176</v>
      </c>
    </row>
    <row r="18" spans="2:4" ht="14.25" customHeight="1">
      <c r="B18" s="12" t="s">
        <v>351</v>
      </c>
      <c r="D18" s="12" t="s">
        <v>177</v>
      </c>
    </row>
    <row r="19" spans="2:4" ht="14.25" customHeight="1">
      <c r="B19" s="16" t="s">
        <v>103</v>
      </c>
      <c r="D19" s="12" t="s">
        <v>178</v>
      </c>
    </row>
    <row r="20" spans="2:4" ht="14.25" customHeight="1">
      <c r="B20" s="12" t="s">
        <v>104</v>
      </c>
      <c r="D20" s="12" t="s">
        <v>179</v>
      </c>
    </row>
    <row r="21" spans="2:4" ht="14.25" customHeight="1">
      <c r="B21" s="22" t="s">
        <v>105</v>
      </c>
      <c r="D21" s="16"/>
    </row>
    <row r="22" spans="2:4" ht="14.25" customHeight="1">
      <c r="B22" s="12" t="s">
        <v>106</v>
      </c>
      <c r="D22" s="10" t="s">
        <v>180</v>
      </c>
    </row>
    <row r="23" spans="2:4" ht="14.25" customHeight="1">
      <c r="B23" s="16" t="s">
        <v>107</v>
      </c>
      <c r="D23" s="12" t="s">
        <v>181</v>
      </c>
    </row>
    <row r="24" spans="2:4" ht="14.25" customHeight="1">
      <c r="B24" s="12" t="s">
        <v>108</v>
      </c>
      <c r="D24" s="12" t="s">
        <v>182</v>
      </c>
    </row>
    <row r="25" spans="2:4" ht="14.25" customHeight="1">
      <c r="B25" s="12" t="s">
        <v>109</v>
      </c>
      <c r="D25" s="12" t="s">
        <v>183</v>
      </c>
    </row>
    <row r="26" spans="2:4" ht="14.25" customHeight="1">
      <c r="B26" s="12" t="s">
        <v>110</v>
      </c>
      <c r="D26" s="12" t="s">
        <v>184</v>
      </c>
    </row>
    <row r="27" spans="2:4" ht="14.25" customHeight="1">
      <c r="B27" s="12" t="s">
        <v>111</v>
      </c>
      <c r="D27" s="12" t="s">
        <v>185</v>
      </c>
    </row>
    <row r="28" spans="2:4" ht="14.25" customHeight="1">
      <c r="B28" s="12" t="s">
        <v>112</v>
      </c>
      <c r="D28" s="12" t="s">
        <v>186</v>
      </c>
    </row>
    <row r="29" spans="2:4" ht="14.25" customHeight="1">
      <c r="B29" s="12" t="s">
        <v>113</v>
      </c>
      <c r="D29" s="12" t="s">
        <v>187</v>
      </c>
    </row>
    <row r="30" spans="2:4" ht="14.25" customHeight="1">
      <c r="D30" s="12" t="s">
        <v>188</v>
      </c>
    </row>
    <row r="31" spans="2:4" ht="14.25" customHeight="1">
      <c r="B31" s="10" t="s">
        <v>129</v>
      </c>
      <c r="D31" s="12" t="s">
        <v>189</v>
      </c>
    </row>
    <row r="32" spans="2:4" ht="14.25" customHeight="1">
      <c r="B32" s="15" t="s">
        <v>130</v>
      </c>
      <c r="D32" s="16" t="s">
        <v>190</v>
      </c>
    </row>
    <row r="33" spans="2:4" ht="14.25" customHeight="1">
      <c r="B33" s="12" t="s">
        <v>131</v>
      </c>
      <c r="D33" s="16" t="s">
        <v>191</v>
      </c>
    </row>
    <row r="34" spans="2:4" ht="14.25" customHeight="1">
      <c r="B34" s="15" t="s">
        <v>132</v>
      </c>
      <c r="D34" s="16"/>
    </row>
    <row r="35" spans="2:4" ht="14.25" customHeight="1">
      <c r="B35" s="23" t="s">
        <v>133</v>
      </c>
      <c r="D35" s="13" t="s">
        <v>192</v>
      </c>
    </row>
    <row r="36" spans="2:4" ht="14.25" customHeight="1">
      <c r="B36" s="23"/>
      <c r="D36" s="59" t="s">
        <v>330</v>
      </c>
    </row>
    <row r="37" spans="2:4" ht="14.25" customHeight="1">
      <c r="B37" s="10" t="s">
        <v>134</v>
      </c>
      <c r="D37" s="25" t="s">
        <v>331</v>
      </c>
    </row>
    <row r="38" spans="2:4" ht="14.25" customHeight="1">
      <c r="B38" s="29" t="s">
        <v>135</v>
      </c>
      <c r="D38" s="25" t="s">
        <v>332</v>
      </c>
    </row>
    <row r="39" spans="2:4" ht="14.25" customHeight="1">
      <c r="B39" s="29" t="s">
        <v>136</v>
      </c>
      <c r="D39" s="59" t="s">
        <v>333</v>
      </c>
    </row>
    <row r="40" spans="2:4" ht="14.25" customHeight="1">
      <c r="B40" s="29" t="s">
        <v>137</v>
      </c>
      <c r="D40" s="25" t="s">
        <v>334</v>
      </c>
    </row>
    <row r="41" spans="2:4" ht="14.25" customHeight="1">
      <c r="B41" s="29" t="s">
        <v>138</v>
      </c>
      <c r="D41" s="25" t="s">
        <v>335</v>
      </c>
    </row>
    <row r="42" spans="2:4" ht="14.25" customHeight="1">
      <c r="B42" s="29" t="s">
        <v>114</v>
      </c>
      <c r="D42" s="59" t="s">
        <v>336</v>
      </c>
    </row>
    <row r="43" spans="2:4" ht="14.25" customHeight="1">
      <c r="B43" s="15" t="s">
        <v>139</v>
      </c>
      <c r="D43" s="25" t="s">
        <v>337</v>
      </c>
    </row>
    <row r="44" spans="2:4" ht="14.25" customHeight="1">
      <c r="B44" s="23" t="s">
        <v>140</v>
      </c>
      <c r="D44" s="25" t="s">
        <v>338</v>
      </c>
    </row>
    <row r="45" spans="2:4" ht="14.25" customHeight="1">
      <c r="B45" s="12"/>
      <c r="D45" s="24"/>
    </row>
    <row r="46" spans="2:4" ht="14.25" customHeight="1">
      <c r="B46" s="10" t="s">
        <v>141</v>
      </c>
      <c r="D46" s="13" t="s">
        <v>193</v>
      </c>
    </row>
    <row r="47" spans="2:4" ht="14.25" customHeight="1">
      <c r="B47" s="29" t="s">
        <v>142</v>
      </c>
      <c r="D47" s="26" t="s">
        <v>339</v>
      </c>
    </row>
    <row r="48" spans="2:4" ht="14.25" customHeight="1">
      <c r="B48" s="29" t="s">
        <v>143</v>
      </c>
      <c r="D48" s="26" t="s">
        <v>194</v>
      </c>
    </row>
    <row r="49" spans="2:4" ht="14.25" customHeight="1">
      <c r="B49" s="29" t="s">
        <v>144</v>
      </c>
      <c r="D49" s="26" t="s">
        <v>195</v>
      </c>
    </row>
    <row r="50" spans="2:4" ht="14.25" customHeight="1">
      <c r="B50" s="29" t="s">
        <v>145</v>
      </c>
      <c r="D50" s="26" t="s">
        <v>196</v>
      </c>
    </row>
    <row r="51" spans="2:4" ht="14.25" customHeight="1">
      <c r="B51" s="29" t="s">
        <v>146</v>
      </c>
      <c r="D51" s="26" t="s">
        <v>197</v>
      </c>
    </row>
    <row r="52" spans="2:4" ht="14.25" customHeight="1">
      <c r="B52" s="12" t="s">
        <v>147</v>
      </c>
      <c r="D52" s="26" t="s">
        <v>198</v>
      </c>
    </row>
    <row r="53" spans="2:4" ht="14.25" customHeight="1">
      <c r="B53" s="12" t="s">
        <v>148</v>
      </c>
      <c r="D53" s="26" t="s">
        <v>199</v>
      </c>
    </row>
    <row r="54" spans="2:4" ht="14.25" customHeight="1">
      <c r="B54" s="12" t="s">
        <v>149</v>
      </c>
      <c r="D54" s="26" t="s">
        <v>200</v>
      </c>
    </row>
    <row r="55" spans="2:4" ht="14.25" customHeight="1">
      <c r="B55" s="12" t="s">
        <v>150</v>
      </c>
      <c r="D55" s="26" t="s">
        <v>201</v>
      </c>
    </row>
    <row r="56" spans="2:4" ht="14.25" customHeight="1">
      <c r="B56" s="12" t="s">
        <v>151</v>
      </c>
      <c r="D56" s="26" t="s">
        <v>202</v>
      </c>
    </row>
    <row r="57" spans="2:4" ht="14.25" customHeight="1">
      <c r="B57" s="12" t="s">
        <v>152</v>
      </c>
      <c r="D57" s="26" t="s">
        <v>203</v>
      </c>
    </row>
    <row r="58" spans="2:4" ht="14.25" customHeight="1">
      <c r="B58" s="15"/>
      <c r="D58" s="26" t="s">
        <v>204</v>
      </c>
    </row>
    <row r="59" spans="2:4" ht="14.25" customHeight="1">
      <c r="B59" s="10" t="s">
        <v>153</v>
      </c>
      <c r="D59" s="26" t="s">
        <v>205</v>
      </c>
    </row>
    <row r="60" spans="2:4" ht="14.25" customHeight="1">
      <c r="B60" s="12" t="s">
        <v>154</v>
      </c>
      <c r="D60" s="26"/>
    </row>
    <row r="61" spans="2:4" ht="14.25" customHeight="1">
      <c r="B61" s="12" t="s">
        <v>155</v>
      </c>
      <c r="D61" s="13" t="s">
        <v>206</v>
      </c>
    </row>
    <row r="62" spans="2:4" ht="14.25" customHeight="1">
      <c r="B62" s="12" t="s">
        <v>156</v>
      </c>
      <c r="D62" s="26" t="s">
        <v>207</v>
      </c>
    </row>
    <row r="63" spans="2:4" ht="14.25" customHeight="1">
      <c r="B63" s="12" t="s">
        <v>157</v>
      </c>
      <c r="D63" s="26" t="s">
        <v>208</v>
      </c>
    </row>
    <row r="64" spans="2:4" ht="14.25" customHeight="1">
      <c r="B64" s="12" t="s">
        <v>158</v>
      </c>
      <c r="D64" s="26" t="s">
        <v>209</v>
      </c>
    </row>
    <row r="65" spans="2:4" ht="14.25" customHeight="1">
      <c r="B65" s="12" t="s">
        <v>159</v>
      </c>
      <c r="D65" s="26" t="s">
        <v>210</v>
      </c>
    </row>
    <row r="66" spans="2:4" ht="14.25" customHeight="1">
      <c r="B66" s="12" t="s">
        <v>160</v>
      </c>
      <c r="D66" s="26" t="s">
        <v>211</v>
      </c>
    </row>
    <row r="67" spans="2:4" ht="14.25" customHeight="1">
      <c r="B67" s="12" t="s">
        <v>161</v>
      </c>
      <c r="D67" s="26"/>
    </row>
    <row r="68" spans="2:4" ht="14.25" customHeight="1">
      <c r="B68" s="12" t="s">
        <v>162</v>
      </c>
      <c r="D68" s="26"/>
    </row>
    <row r="69" spans="2:4" ht="14.25" customHeight="1">
      <c r="D69" s="11"/>
    </row>
    <row r="70" spans="2:4" ht="14.25" customHeight="1">
      <c r="B70" s="13" t="s">
        <v>212</v>
      </c>
      <c r="D70" s="31" t="s">
        <v>302</v>
      </c>
    </row>
    <row r="71" spans="2:4" ht="14.25" customHeight="1">
      <c r="B71" s="26" t="s">
        <v>115</v>
      </c>
      <c r="D71" s="12" t="s">
        <v>264</v>
      </c>
    </row>
    <row r="72" spans="2:4" ht="14.25" customHeight="1">
      <c r="B72" s="26" t="s">
        <v>213</v>
      </c>
      <c r="D72" s="29" t="s">
        <v>265</v>
      </c>
    </row>
    <row r="73" spans="2:4" ht="14.25" customHeight="1">
      <c r="B73" s="26" t="s">
        <v>214</v>
      </c>
      <c r="D73" s="29" t="s">
        <v>266</v>
      </c>
    </row>
    <row r="74" spans="2:4" ht="14.25" customHeight="1">
      <c r="B74" s="26" t="s">
        <v>215</v>
      </c>
      <c r="D74" s="29" t="s">
        <v>267</v>
      </c>
    </row>
    <row r="75" spans="2:4" ht="14.25" customHeight="1">
      <c r="B75" s="26" t="s">
        <v>216</v>
      </c>
      <c r="D75" s="11"/>
    </row>
    <row r="76" spans="2:4" ht="14.25" customHeight="1">
      <c r="B76" s="26" t="s">
        <v>116</v>
      </c>
      <c r="D76" s="30" t="s">
        <v>303</v>
      </c>
    </row>
    <row r="77" spans="2:4" ht="14.25" customHeight="1">
      <c r="B77" s="26" t="s">
        <v>117</v>
      </c>
      <c r="D77" s="26" t="s">
        <v>268</v>
      </c>
    </row>
    <row r="78" spans="2:4" ht="14.25" customHeight="1">
      <c r="B78" s="26" t="s">
        <v>217</v>
      </c>
      <c r="D78" s="26" t="s">
        <v>269</v>
      </c>
    </row>
    <row r="79" spans="2:4" ht="14.25" customHeight="1">
      <c r="B79" s="26" t="s">
        <v>218</v>
      </c>
      <c r="D79" s="26" t="s">
        <v>270</v>
      </c>
    </row>
    <row r="80" spans="2:4" ht="14.25" customHeight="1">
      <c r="B80" s="26" t="s">
        <v>219</v>
      </c>
      <c r="D80" s="26" t="s">
        <v>271</v>
      </c>
    </row>
    <row r="81" spans="2:4" ht="14.25" customHeight="1">
      <c r="B81" s="26" t="s">
        <v>220</v>
      </c>
      <c r="D81" s="26" t="s">
        <v>274</v>
      </c>
    </row>
    <row r="82" spans="2:4" ht="14.25" customHeight="1">
      <c r="B82" s="26" t="s">
        <v>221</v>
      </c>
      <c r="D82" s="26" t="s">
        <v>272</v>
      </c>
    </row>
    <row r="83" spans="2:4" ht="14.25" customHeight="1">
      <c r="B83" s="26"/>
      <c r="D83" s="26" t="s">
        <v>273</v>
      </c>
    </row>
    <row r="84" spans="2:4" ht="14.25" customHeight="1">
      <c r="B84" s="10" t="s">
        <v>222</v>
      </c>
      <c r="D84" s="16"/>
    </row>
    <row r="85" spans="2:4" ht="14.25" customHeight="1">
      <c r="B85" s="12" t="s">
        <v>223</v>
      </c>
      <c r="D85" s="30" t="s">
        <v>304</v>
      </c>
    </row>
    <row r="86" spans="2:4" ht="14.25" customHeight="1">
      <c r="B86" s="12" t="s">
        <v>224</v>
      </c>
      <c r="D86" s="26" t="s">
        <v>275</v>
      </c>
    </row>
    <row r="87" spans="2:4" ht="14.25" customHeight="1">
      <c r="B87" s="12" t="s">
        <v>225</v>
      </c>
      <c r="D87" s="26" t="s">
        <v>121</v>
      </c>
    </row>
    <row r="88" spans="2:4" ht="14.25" customHeight="1">
      <c r="B88" s="12" t="s">
        <v>226</v>
      </c>
      <c r="D88" s="26" t="s">
        <v>122</v>
      </c>
    </row>
    <row r="89" spans="2:4" ht="14.25" customHeight="1">
      <c r="B89" s="12" t="s">
        <v>227</v>
      </c>
      <c r="D89" s="26" t="s">
        <v>123</v>
      </c>
    </row>
    <row r="90" spans="2:4" ht="14.25" customHeight="1">
      <c r="B90" s="26"/>
      <c r="D90" s="26" t="s">
        <v>349</v>
      </c>
    </row>
    <row r="91" spans="2:4" ht="14.25" customHeight="1">
      <c r="B91" s="10" t="s">
        <v>228</v>
      </c>
      <c r="D91" s="26"/>
    </row>
    <row r="92" spans="2:4" ht="14.25" customHeight="1">
      <c r="B92" s="29" t="s">
        <v>118</v>
      </c>
      <c r="D92" s="31" t="s">
        <v>305</v>
      </c>
    </row>
    <row r="93" spans="2:4" ht="14.25" customHeight="1">
      <c r="B93" s="29" t="s">
        <v>119</v>
      </c>
      <c r="D93" s="29" t="s">
        <v>124</v>
      </c>
    </row>
    <row r="94" spans="2:4" ht="14.25" customHeight="1">
      <c r="B94" s="29" t="s">
        <v>229</v>
      </c>
      <c r="D94" s="29" t="s">
        <v>276</v>
      </c>
    </row>
    <row r="95" spans="2:4" ht="14.25" customHeight="1">
      <c r="B95" s="29" t="s">
        <v>230</v>
      </c>
      <c r="D95" s="29" t="s">
        <v>277</v>
      </c>
    </row>
    <row r="96" spans="2:4" ht="14.25" customHeight="1">
      <c r="B96" s="29" t="s">
        <v>231</v>
      </c>
      <c r="D96" s="29" t="s">
        <v>278</v>
      </c>
    </row>
    <row r="97" spans="2:4" ht="14.25" customHeight="1">
      <c r="B97" s="29" t="s">
        <v>232</v>
      </c>
      <c r="D97" s="29"/>
    </row>
    <row r="98" spans="2:4" ht="14.25" customHeight="1">
      <c r="B98" s="29" t="s">
        <v>233</v>
      </c>
      <c r="D98" s="31" t="s">
        <v>306</v>
      </c>
    </row>
    <row r="99" spans="2:4" ht="14.25" customHeight="1">
      <c r="B99" s="29" t="s">
        <v>234</v>
      </c>
      <c r="D99" s="29" t="s">
        <v>279</v>
      </c>
    </row>
    <row r="100" spans="2:4" ht="14.25" customHeight="1">
      <c r="B100" s="29" t="s">
        <v>235</v>
      </c>
      <c r="D100" s="29" t="s">
        <v>280</v>
      </c>
    </row>
    <row r="101" spans="2:4" ht="14.25" customHeight="1">
      <c r="B101" s="12" t="s">
        <v>236</v>
      </c>
      <c r="D101" s="29" t="s">
        <v>281</v>
      </c>
    </row>
    <row r="102" spans="2:4" ht="13.8" customHeight="1">
      <c r="B102" s="12" t="s">
        <v>237</v>
      </c>
      <c r="D102" s="29" t="s">
        <v>282</v>
      </c>
    </row>
    <row r="103" spans="2:4" ht="13.8" customHeight="1">
      <c r="B103" s="12" t="s">
        <v>298</v>
      </c>
      <c r="D103" s="29" t="s">
        <v>283</v>
      </c>
    </row>
    <row r="104" spans="2:4" ht="13.8" customHeight="1">
      <c r="B104" s="12" t="s">
        <v>299</v>
      </c>
      <c r="D104" s="29" t="s">
        <v>284</v>
      </c>
    </row>
    <row r="105" spans="2:4" ht="14.25" customHeight="1">
      <c r="B105" s="12"/>
      <c r="D105" s="29" t="s">
        <v>285</v>
      </c>
    </row>
    <row r="106" spans="2:4" ht="14.25" customHeight="1">
      <c r="B106" s="10" t="s">
        <v>238</v>
      </c>
      <c r="D106" s="29" t="s">
        <v>286</v>
      </c>
    </row>
    <row r="107" spans="2:4" ht="14.25" customHeight="1">
      <c r="B107" s="12" t="s">
        <v>239</v>
      </c>
      <c r="D107" s="29" t="s">
        <v>287</v>
      </c>
    </row>
    <row r="108" spans="2:4" ht="14.25" customHeight="1">
      <c r="B108" s="12" t="s">
        <v>120</v>
      </c>
      <c r="D108" s="29" t="s">
        <v>288</v>
      </c>
    </row>
    <row r="109" spans="2:4" ht="14.25" customHeight="1">
      <c r="B109" s="12" t="s">
        <v>240</v>
      </c>
      <c r="D109" s="29" t="s">
        <v>289</v>
      </c>
    </row>
    <row r="110" spans="2:4" ht="14.25" customHeight="1">
      <c r="B110" s="12" t="s">
        <v>241</v>
      </c>
      <c r="D110" s="29" t="s">
        <v>290</v>
      </c>
    </row>
    <row r="111" spans="2:4" ht="14.25" customHeight="1">
      <c r="B111" s="12" t="s">
        <v>242</v>
      </c>
      <c r="D111" s="29" t="s">
        <v>291</v>
      </c>
    </row>
    <row r="112" spans="2:4" ht="14.25" customHeight="1">
      <c r="B112" s="12" t="s">
        <v>243</v>
      </c>
      <c r="D112" s="11"/>
    </row>
    <row r="113" spans="2:4" ht="14.25" customHeight="1">
      <c r="B113" s="12" t="s">
        <v>244</v>
      </c>
      <c r="D113" s="31" t="s">
        <v>307</v>
      </c>
    </row>
    <row r="114" spans="2:4" ht="14.25" customHeight="1">
      <c r="B114" s="16"/>
      <c r="D114" s="29" t="s">
        <v>292</v>
      </c>
    </row>
    <row r="115" spans="2:4" ht="14.25" customHeight="1">
      <c r="B115" s="10" t="s">
        <v>245</v>
      </c>
      <c r="D115" s="29" t="s">
        <v>293</v>
      </c>
    </row>
    <row r="116" spans="2:4" ht="14.25" customHeight="1">
      <c r="B116" s="12" t="s">
        <v>246</v>
      </c>
      <c r="D116" s="12" t="s">
        <v>294</v>
      </c>
    </row>
    <row r="117" spans="2:4" ht="14.25" customHeight="1">
      <c r="B117" s="12" t="s">
        <v>247</v>
      </c>
      <c r="D117" s="23"/>
    </row>
    <row r="118" spans="2:4" ht="14.25" customHeight="1">
      <c r="B118" s="12" t="s">
        <v>248</v>
      </c>
      <c r="D118" s="31" t="s">
        <v>308</v>
      </c>
    </row>
    <row r="119" spans="2:4" ht="14.25" customHeight="1">
      <c r="B119" s="12" t="s">
        <v>249</v>
      </c>
      <c r="D119" s="12" t="s">
        <v>295</v>
      </c>
    </row>
    <row r="120" spans="2:4" ht="14.25" customHeight="1">
      <c r="B120" s="12" t="s">
        <v>250</v>
      </c>
      <c r="D120" s="12" t="s">
        <v>296</v>
      </c>
    </row>
    <row r="121" spans="2:4" ht="14.25" customHeight="1">
      <c r="B121" s="22" t="s">
        <v>251</v>
      </c>
      <c r="D121" s="15" t="s">
        <v>297</v>
      </c>
    </row>
    <row r="122" spans="2:4" ht="14.25" customHeight="1">
      <c r="B122" s="16" t="s">
        <v>252</v>
      </c>
      <c r="D122" s="23" t="s">
        <v>352</v>
      </c>
    </row>
    <row r="123" spans="2:4" ht="14.25" customHeight="1">
      <c r="B123" s="16"/>
      <c r="D123" s="16"/>
    </row>
    <row r="124" spans="2:4" ht="14.25" customHeight="1">
      <c r="B124" s="31" t="s">
        <v>300</v>
      </c>
      <c r="D124" s="30" t="s">
        <v>309</v>
      </c>
    </row>
    <row r="125" spans="2:4" ht="14.25" customHeight="1">
      <c r="B125" s="12" t="s">
        <v>253</v>
      </c>
      <c r="D125" s="29" t="s">
        <v>310</v>
      </c>
    </row>
    <row r="126" spans="2:4" ht="14.25" customHeight="1">
      <c r="B126" s="12" t="s">
        <v>254</v>
      </c>
      <c r="D126" s="29" t="s">
        <v>311</v>
      </c>
    </row>
    <row r="127" spans="2:4" ht="14.25" customHeight="1">
      <c r="B127" s="12" t="s">
        <v>255</v>
      </c>
      <c r="D127" s="29" t="s">
        <v>319</v>
      </c>
    </row>
    <row r="128" spans="2:4" ht="14.25" customHeight="1">
      <c r="B128" s="12" t="s">
        <v>257</v>
      </c>
      <c r="D128" s="29"/>
    </row>
    <row r="129" spans="2:4" ht="14.25" customHeight="1">
      <c r="B129" s="12" t="s">
        <v>256</v>
      </c>
      <c r="D129" s="31" t="s">
        <v>317</v>
      </c>
    </row>
    <row r="130" spans="2:4" ht="14.25" customHeight="1">
      <c r="B130" s="12"/>
      <c r="D130" s="29" t="s">
        <v>125</v>
      </c>
    </row>
    <row r="131" spans="2:4" ht="14.25" customHeight="1">
      <c r="B131" s="31" t="s">
        <v>301</v>
      </c>
      <c r="D131" s="29" t="s">
        <v>312</v>
      </c>
    </row>
    <row r="132" spans="2:4" ht="14.25" customHeight="1">
      <c r="B132" s="15" t="s">
        <v>258</v>
      </c>
      <c r="D132" s="29"/>
    </row>
    <row r="133" spans="2:4" ht="14.25" customHeight="1">
      <c r="B133" s="23" t="s">
        <v>259</v>
      </c>
      <c r="D133" s="31" t="s">
        <v>318</v>
      </c>
    </row>
    <row r="134" spans="2:4" ht="14.25" customHeight="1">
      <c r="B134" s="15" t="s">
        <v>260</v>
      </c>
      <c r="D134" s="29" t="s">
        <v>313</v>
      </c>
    </row>
    <row r="135" spans="2:4" ht="14.25" customHeight="1">
      <c r="B135" s="23" t="s">
        <v>261</v>
      </c>
      <c r="D135" s="29" t="s">
        <v>314</v>
      </c>
    </row>
    <row r="136" spans="2:4" ht="14.25" customHeight="1">
      <c r="B136" s="29" t="s">
        <v>263</v>
      </c>
      <c r="D136" s="29" t="s">
        <v>315</v>
      </c>
    </row>
    <row r="137" spans="2:4" ht="14.25" customHeight="1">
      <c r="B137" s="29" t="s">
        <v>262</v>
      </c>
      <c r="C137" s="17"/>
      <c r="D137" s="29" t="s">
        <v>316</v>
      </c>
    </row>
    <row r="138" spans="2:4" ht="14.25" customHeight="1">
      <c r="B138" s="23"/>
      <c r="C138" s="18"/>
      <c r="D138" s="29"/>
    </row>
    <row r="139" spans="2:4" ht="14.25" customHeight="1">
      <c r="B139" s="27" t="s">
        <v>93</v>
      </c>
      <c r="C139" s="28"/>
      <c r="D139" s="28"/>
    </row>
    <row r="140" spans="2:4" ht="14.25" customHeight="1">
      <c r="B140" s="20" t="str">
        <f>"계약자             "&amp;계약서!C11&amp;"                       서명 또는 인"</f>
        <v>계약자             중앙 오토바이 가수점                       서명 또는 인</v>
      </c>
      <c r="C140" s="11"/>
      <c r="D140" s="20" t="str">
        <f>"연대보증인                 "&amp;계약서!C16&amp;"                 서명 또는 인"</f>
        <v>연대보증인                 안종식                 서명 또는 인</v>
      </c>
    </row>
    <row r="141" spans="2:4" ht="14.25" customHeight="1">
      <c r="B141" s="18"/>
      <c r="D141" s="19"/>
    </row>
    <row r="142" spans="2:4" ht="13.8" customHeight="1">
      <c r="B142" s="11"/>
      <c r="C142" s="11"/>
      <c r="D142" s="11"/>
    </row>
    <row r="143" spans="2:4" ht="13.8" customHeight="1">
      <c r="B143" s="11"/>
      <c r="C143" s="11"/>
      <c r="D143" s="11"/>
    </row>
    <row r="144" spans="2:4" ht="13.8" customHeight="1">
      <c r="B144" s="11"/>
      <c r="C144" s="11"/>
      <c r="D144" s="11"/>
    </row>
    <row r="145" spans="1:4" ht="13.8" customHeight="1">
      <c r="B145" s="11"/>
      <c r="C145" s="11"/>
      <c r="D145" s="11"/>
    </row>
    <row r="146" spans="1:4" ht="13.8" customHeight="1">
      <c r="B146" s="11"/>
      <c r="C146" s="11"/>
      <c r="D146" s="11"/>
    </row>
    <row r="147" spans="1:4" ht="13.8" customHeight="1">
      <c r="B147" s="11"/>
      <c r="C147" s="11"/>
      <c r="D147" s="11"/>
    </row>
    <row r="148" spans="1:4" ht="13.8" customHeight="1">
      <c r="B148" s="11"/>
      <c r="C148" s="11"/>
      <c r="D148" s="11"/>
    </row>
    <row r="149" spans="1:4" ht="13.8" customHeight="1">
      <c r="B149" s="11"/>
      <c r="C149" s="11"/>
      <c r="D149" s="11"/>
    </row>
    <row r="150" spans="1:4" ht="13.8" customHeight="1">
      <c r="B150" s="11"/>
      <c r="C150" s="11"/>
      <c r="D150" s="11"/>
    </row>
    <row r="151" spans="1:4" ht="13.8" customHeight="1">
      <c r="B151" s="11"/>
      <c r="C151" s="11"/>
      <c r="D151" s="11"/>
    </row>
    <row r="152" spans="1:4" ht="13.8" customHeight="1">
      <c r="B152" s="11"/>
      <c r="C152" s="11"/>
      <c r="D152" s="11"/>
    </row>
    <row r="153" spans="1:4" s="21" customFormat="1" ht="13.8" customHeight="1">
      <c r="A153"/>
      <c r="B153" s="11"/>
      <c r="C153" s="11"/>
      <c r="D153" s="11"/>
    </row>
    <row r="154" spans="1:4" ht="13.8" customHeight="1">
      <c r="B154" s="11"/>
      <c r="C154" s="11"/>
      <c r="D154" s="11"/>
    </row>
    <row r="155" spans="1:4" ht="13.8" customHeight="1">
      <c r="B155" s="11"/>
      <c r="C155" s="11"/>
      <c r="D155" s="11"/>
    </row>
    <row r="156" spans="1:4" ht="13.8" customHeight="1">
      <c r="B156" s="11"/>
      <c r="C156" s="11"/>
      <c r="D156" s="11"/>
    </row>
    <row r="157" spans="1:4" ht="13.8" customHeight="1">
      <c r="B157" s="11"/>
      <c r="C157" s="11"/>
      <c r="D157" s="11"/>
    </row>
    <row r="158" spans="1:4" ht="13.8" customHeight="1">
      <c r="B158" s="11"/>
      <c r="C158" s="11"/>
      <c r="D158" s="11"/>
    </row>
    <row r="159" spans="1:4" ht="13.8" customHeight="1">
      <c r="B159" s="11"/>
      <c r="C159" s="11"/>
      <c r="D159" s="11"/>
    </row>
    <row r="160" spans="1:4" ht="13.8" customHeight="1">
      <c r="B160" s="11"/>
      <c r="C160" s="11"/>
      <c r="D160" s="11"/>
    </row>
    <row r="161" spans="2:4" ht="13.8" customHeight="1">
      <c r="B161" s="11"/>
      <c r="C161" s="11"/>
      <c r="D161" s="11"/>
    </row>
    <row r="162" spans="2:4" ht="13.8" customHeight="1">
      <c r="B162" s="11"/>
      <c r="C162" s="11"/>
      <c r="D162" s="11"/>
    </row>
    <row r="163" spans="2:4" ht="13.8" customHeight="1">
      <c r="B163" s="11"/>
      <c r="C163" s="11"/>
      <c r="D163" s="11"/>
    </row>
    <row r="164" spans="2:4" ht="13.8" customHeight="1">
      <c r="B164" s="11"/>
      <c r="C164" s="11"/>
      <c r="D164" s="11"/>
    </row>
    <row r="165" spans="2:4" ht="13.8" customHeight="1">
      <c r="B165" s="11"/>
      <c r="C165" s="11"/>
      <c r="D165" s="11"/>
    </row>
    <row r="166" spans="2:4" ht="13.8" customHeight="1">
      <c r="B166" s="11"/>
      <c r="C166" s="11"/>
      <c r="D166" s="11"/>
    </row>
    <row r="167" spans="2:4" ht="13.8" customHeight="1">
      <c r="B167" s="11"/>
      <c r="C167" s="11"/>
      <c r="D167" s="11"/>
    </row>
    <row r="168" spans="2:4" ht="13.8" customHeight="1">
      <c r="B168" s="11"/>
      <c r="C168" s="11"/>
      <c r="D168" s="11"/>
    </row>
    <row r="169" spans="2:4" ht="13.8" customHeight="1">
      <c r="B169" s="11"/>
      <c r="C169" s="11"/>
      <c r="D169" s="11"/>
    </row>
    <row r="170" spans="2:4" ht="13.8" customHeight="1">
      <c r="B170" s="11"/>
      <c r="C170" s="11"/>
      <c r="D170" s="11"/>
    </row>
    <row r="171" spans="2:4" ht="13.8" customHeight="1">
      <c r="B171" s="11"/>
      <c r="C171" s="11"/>
      <c r="D171" s="11"/>
    </row>
    <row r="172" spans="2:4" ht="13.8" customHeight="1">
      <c r="B172" s="11"/>
      <c r="C172" s="11"/>
      <c r="D172" s="11"/>
    </row>
    <row r="173" spans="2:4" ht="13.8" customHeight="1">
      <c r="B173" s="11"/>
      <c r="C173" s="11"/>
      <c r="D173" s="11"/>
    </row>
    <row r="174" spans="2:4" ht="13.8" customHeight="1">
      <c r="B174" s="11"/>
      <c r="C174" s="11"/>
      <c r="D174" s="11"/>
    </row>
    <row r="175" spans="2:4" ht="13.8" customHeight="1">
      <c r="B175" s="11"/>
      <c r="C175" s="11"/>
      <c r="D175" s="11"/>
    </row>
    <row r="176" spans="2:4" ht="13.8" customHeight="1">
      <c r="B176" s="11"/>
      <c r="C176" s="11"/>
      <c r="D176" s="11"/>
    </row>
    <row r="177" spans="2:4" ht="13.8" customHeight="1">
      <c r="B177" s="11"/>
      <c r="C177" s="11"/>
      <c r="D177" s="11"/>
    </row>
    <row r="178" spans="2:4" ht="13.8" customHeight="1">
      <c r="B178" s="11"/>
      <c r="C178" s="11"/>
      <c r="D178" s="11"/>
    </row>
    <row r="179" spans="2:4" ht="13.8" customHeight="1">
      <c r="B179" s="11"/>
      <c r="C179" s="11"/>
      <c r="D179" s="11"/>
    </row>
    <row r="180" spans="2:4" ht="13.8" customHeight="1">
      <c r="B180" s="11"/>
      <c r="C180" s="11"/>
      <c r="D180" s="11"/>
    </row>
    <row r="181" spans="2:4" ht="13.8" customHeight="1">
      <c r="B181" s="11"/>
      <c r="C181" s="11"/>
      <c r="D181" s="11"/>
    </row>
    <row r="182" spans="2:4" ht="13.8" customHeight="1">
      <c r="B182" s="11"/>
      <c r="C182" s="11"/>
      <c r="D182" s="11"/>
    </row>
    <row r="183" spans="2:4" ht="13.8" customHeight="1">
      <c r="B183" s="11"/>
      <c r="C183" s="11"/>
      <c r="D183" s="11"/>
    </row>
    <row r="184" spans="2:4" ht="13.8" customHeight="1">
      <c r="B184" s="11"/>
      <c r="C184" s="11"/>
      <c r="D184" s="11"/>
    </row>
    <row r="185" spans="2:4" ht="13.8" customHeight="1"/>
    <row r="186" spans="2:4" ht="13.8" customHeight="1"/>
    <row r="187" spans="2:4" ht="13.8" customHeight="1"/>
    <row r="188" spans="2:4" ht="13.8" customHeight="1"/>
    <row r="189" spans="2:4" ht="13.8" customHeight="1">
      <c r="B189" s="11"/>
      <c r="C189" s="11"/>
      <c r="D189" s="11"/>
    </row>
    <row r="190" spans="2:4" ht="13.8" customHeight="1">
      <c r="B190" s="11"/>
      <c r="C190" s="11"/>
      <c r="D190" s="11"/>
    </row>
    <row r="191" spans="2:4" ht="13.8" customHeight="1">
      <c r="B191" s="11"/>
      <c r="D191" s="15"/>
    </row>
    <row r="192" spans="2:4">
      <c r="B192" s="22"/>
      <c r="D192" s="12"/>
    </row>
    <row r="193" spans="2:4">
      <c r="B193" s="15"/>
      <c r="D193" s="12"/>
    </row>
    <row r="194" spans="2:4" ht="21.75" customHeight="1">
      <c r="B194" s="16"/>
      <c r="D194" s="23"/>
    </row>
    <row r="195" spans="2:4" ht="15.75" customHeight="1">
      <c r="B195" s="15"/>
      <c r="D195" s="15"/>
    </row>
    <row r="196" spans="2:4" ht="15.75" customHeight="1">
      <c r="B196" s="12"/>
      <c r="D196" s="12"/>
    </row>
    <row r="197" spans="2:4" ht="15.75" customHeight="1">
      <c r="B197" s="15"/>
      <c r="D197" s="15"/>
    </row>
    <row r="198" spans="2:4" ht="15.75" customHeight="1">
      <c r="B198" s="23"/>
      <c r="D198" s="15"/>
    </row>
    <row r="199" spans="2:4">
      <c r="B199" s="15"/>
      <c r="D199" s="16"/>
    </row>
    <row r="200" spans="2:4" ht="21.75" customHeight="1">
      <c r="B200" s="12"/>
      <c r="D200" s="16"/>
    </row>
    <row r="201" spans="2:4" ht="48" customHeight="1">
      <c r="B201" s="12"/>
      <c r="D201" s="16"/>
    </row>
    <row r="202" spans="2:4" ht="48" customHeight="1">
      <c r="B202" s="16"/>
      <c r="D202" s="16"/>
    </row>
    <row r="203" spans="2:4" ht="48" customHeight="1">
      <c r="B203" s="16"/>
      <c r="D203" s="12"/>
    </row>
    <row r="204" spans="2:4" ht="31.5" customHeight="1">
      <c r="B204" s="16"/>
      <c r="D204" s="12"/>
    </row>
    <row r="205" spans="2:4" ht="31.5" customHeight="1">
      <c r="B205" s="16"/>
      <c r="D205" s="12"/>
    </row>
    <row r="206" spans="2:4" ht="31.5" customHeight="1">
      <c r="B206" s="12"/>
      <c r="D206" s="16"/>
    </row>
    <row r="207" spans="2:4" ht="31.5" customHeight="1">
      <c r="B207" s="15"/>
      <c r="C207" s="17"/>
    </row>
    <row r="208" spans="2:4" ht="15.75" customHeight="1">
      <c r="B208" s="15"/>
      <c r="C208" s="18"/>
    </row>
    <row r="209" spans="2:4">
      <c r="B209" s="16"/>
      <c r="D209" s="16"/>
    </row>
    <row r="210" spans="2:4">
      <c r="B210" s="18"/>
      <c r="D210" s="16"/>
    </row>
    <row r="211" spans="2:4" ht="21.75" customHeight="1">
      <c r="B211" s="18"/>
      <c r="D211" s="19"/>
    </row>
    <row r="212" spans="2:4" ht="31.5" customHeight="1"/>
  </sheetData>
  <mergeCells count="1">
    <mergeCell ref="B1:D1"/>
  </mergeCells>
  <phoneticPr fontId="30" type="noConversion"/>
  <pageMargins left="0.3" right="0.3" top="0.4" bottom="0.4" header="0.511811023622047" footer="0.511811023622047"/>
  <pageSetup paperSize="9" scale="77" fitToHeight="0" orientation="portrait" horizontalDpi="300" verticalDpi="300" r:id="rId1"/>
  <rowBreaks count="1" manualBreakCount="1">
    <brk id="69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2026-04-27T09:36:15Z</cp:lastPrinted>
  <dcterms:created xsi:type="dcterms:W3CDTF">2026-04-27T06:03:32Z</dcterms:created>
  <dcterms:modified xsi:type="dcterms:W3CDTF">2026-04-28T01:35:37Z</dcterms:modified>
  <dc:language>en-US</dc:language>
</cp:coreProperties>
</file>