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795CDCC3-5C00-45A3-B201-81F9A1FA209F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4" r:id="rId3"/>
  </sheets>
  <externalReferences>
    <externalReference r:id="rId4"/>
  </externalReferences>
  <definedNames>
    <definedName name="_xlnm.Print_Area" localSheetId="1">계약서!$A$1:$K$48</definedName>
    <definedName name="_xlnm.Print_Area" localSheetId="2">이용약관!$A$1:$D$141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7" i="2" l="1"/>
  <c r="C47" i="2"/>
  <c r="C23" i="2"/>
  <c r="F21" i="2"/>
  <c r="C21" i="2"/>
  <c r="I20" i="2"/>
  <c r="C20" i="2"/>
  <c r="C16" i="2"/>
  <c r="I15" i="2"/>
  <c r="F15" i="2"/>
  <c r="C15" i="2"/>
  <c r="F11" i="2"/>
  <c r="C11" i="2"/>
  <c r="I10" i="2"/>
  <c r="F10" i="2"/>
  <c r="C10" i="2"/>
  <c r="I7" i="2"/>
  <c r="F7" i="2"/>
  <c r="C7" i="2"/>
  <c r="I6" i="2"/>
  <c r="F6" i="2"/>
  <c r="C6" i="2"/>
  <c r="I3" i="2"/>
  <c r="I21" i="2"/>
  <c r="F20" i="2"/>
  <c r="D139" i="4" l="1"/>
  <c r="B139" i="4"/>
</calcChain>
</file>

<file path=xl/sharedStrings.xml><?xml version="1.0" encoding="utf-8"?>
<sst xmlns="http://schemas.openxmlformats.org/spreadsheetml/2006/main" count="375" uniqueCount="340">
  <si>
    <t>계약번호</t>
  </si>
  <si>
    <t>계약일자</t>
  </si>
  <si>
    <t>차종</t>
  </si>
  <si>
    <t>차대번호</t>
  </si>
  <si>
    <t>차량번호</t>
  </si>
  <si>
    <t>색상</t>
  </si>
  <si>
    <t>일사용료</t>
  </si>
  <si>
    <t>사용일수</t>
  </si>
  <si>
    <t>보증금</t>
  </si>
  <si>
    <t>사업장 업체명</t>
  </si>
  <si>
    <t>사업장 이메일</t>
  </si>
  <si>
    <t>계약유형</t>
  </si>
  <si>
    <t>상품유형</t>
  </si>
  <si>
    <t>납입방법</t>
  </si>
  <si>
    <t>납입계좌</t>
  </si>
  <si>
    <t>요금결제일</t>
  </si>
  <si>
    <t>할부 판매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</si>
  <si>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</si>
  <si>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</si>
  <si>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>929-028519-04-010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</si>
  <si>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</si>
  <si>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</si>
  <si>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한국모터사이클리스 유한회사</t>
  </si>
  <si>
    <t>■ 차량 정보</t>
  </si>
  <si>
    <t>정비여부</t>
  </si>
  <si>
    <t>■ 계약자</t>
  </si>
  <si>
    <t>성명</t>
  </si>
  <si>
    <t>주민등록번호</t>
  </si>
  <si>
    <t>연락처</t>
  </si>
  <si>
    <t>주소</t>
  </si>
  <si>
    <t>■ 연대보증인</t>
  </si>
  <si>
    <t>업체명</t>
  </si>
  <si>
    <t>사업자번호</t>
  </si>
  <si>
    <t>대표자명</t>
  </si>
  <si>
    <t>■ 계약 조건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</si>
  <si>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</si>
  <si>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청구시작일</t>
  </si>
  <si>
    <t>차량 인도일부터</t>
  </si>
  <si>
    <r>
      <rPr>
        <b/>
        <sz val="11"/>
        <color rgb="FFFFFFFF"/>
        <rFont val="DejaVu Sans"/>
        <family val="2"/>
      </rPr>
      <t xml:space="preserve">■ 회사 정보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공급자</t>
    </r>
    <r>
      <rPr>
        <b/>
        <sz val="11"/>
        <color rgb="FFFFFFFF"/>
        <rFont val="DejaVu Sans"/>
        <family val="2"/>
        <charset val="1"/>
      </rPr>
      <t>)</t>
    </r>
  </si>
  <si>
    <t>상호</t>
  </si>
  <si>
    <t>대표이사</t>
  </si>
  <si>
    <t>김현수</t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</si>
  <si>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</si>
  <si>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</si>
  <si>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</si>
  <si>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>본 계약에 따른 모든 대금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할부금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부대비용 등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수납 및 세금계산서 발행 업무는 포어스바이크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타 계좌 입금 시 입금 확인이 불가합니다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</si>
  <si>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보증금은 반환되지 아니하며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위약금과는 별도로 회수비용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출장비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운송비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원상복구비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은 계약자가 부담합니다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</si>
  <si>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>등록비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번호판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보험료 등 회사가 이미 지출한 부대비용을 배상합니다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</si>
  <si>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>배달통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슬라이더 등 무상 지원 비품은 계약 취소</t>
    </r>
    <r>
      <rPr>
        <sz val="8"/>
        <color rgb="FF404040"/>
        <rFont val="맑은 고딕"/>
        <family val="3"/>
        <charset val="129"/>
      </rPr>
      <t>·</t>
    </r>
    <r>
      <rPr>
        <sz val="8"/>
        <color rgb="FF404040"/>
        <rFont val="DejaVu Sans"/>
        <family val="2"/>
      </rPr>
      <t>중도 해지 시 안내 장소로 반납하여야 합니다</t>
    </r>
    <r>
      <rPr>
        <sz val="8"/>
        <color rgb="FF404040"/>
        <rFont val="맑은 고딕"/>
        <family val="3"/>
        <charset val="129"/>
      </rPr>
      <t>.</t>
    </r>
  </si>
  <si>
    <r>
      <rPr>
        <sz val="8"/>
        <color rgb="FF404040"/>
        <rFont val="맑은 고딕"/>
        <family val="3"/>
        <charset val="129"/>
      </rPr>
      <t xml:space="preserve">5. </t>
    </r>
    <r>
      <rPr>
        <sz val="8"/>
        <color rgb="FF404040"/>
        <rFont val="DejaVu Sans"/>
        <family val="2"/>
      </rPr>
      <t>세금계산서는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>본 계약서에 기재된 연대보증인</t>
    </r>
    <r>
      <rPr>
        <sz val="8"/>
        <color rgb="FF404040"/>
        <rFont val="맑은 고딕"/>
        <family val="3"/>
        <charset val="129"/>
      </rPr>
      <t>(</t>
    </r>
    <r>
      <rPr>
        <sz val="8"/>
        <color rgb="FF404040"/>
        <rFont val="DejaVu Sans"/>
        <family val="2"/>
      </rPr>
      <t>사업장</t>
    </r>
    <r>
      <rPr>
        <sz val="8"/>
        <color rgb="FF404040"/>
        <rFont val="맑은 고딕"/>
        <family val="3"/>
        <charset val="129"/>
      </rPr>
      <t>)</t>
    </r>
    <r>
      <rPr>
        <sz val="8"/>
        <color rgb="FF404040"/>
        <rFont val="DejaVu Sans"/>
        <family val="2"/>
      </rPr>
      <t>의 사업자등록번호를 기준으로 발급됩니다</t>
    </r>
    <r>
      <rPr>
        <sz val="8"/>
        <color rgb="FF404040"/>
        <rFont val="맑은 고딕"/>
        <family val="3"/>
        <charset val="129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</si>
  <si>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</si>
  <si>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</si>
  <si>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법령상 의무이행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분쟁처리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민원처리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서비스 개선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통계 분석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</si>
  <si>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</si>
  <si>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근무지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</si>
  <si>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</si>
  <si>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 xml:space="preserve">결제 기록은 </t>
    </r>
    <r>
      <rPr>
        <sz val="8"/>
        <color rgb="FF404040"/>
        <rFont val="DejaVu Sans"/>
        <family val="2"/>
        <charset val="1"/>
      </rPr>
      <t>5</t>
    </r>
    <r>
      <rPr>
        <sz val="8"/>
        <color rgb="FF404040"/>
        <rFont val="DejaVu Sans"/>
        <family val="2"/>
      </rPr>
      <t>년 보존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등 목적 기록은 해지 후 </t>
    </r>
    <r>
      <rPr>
        <sz val="8"/>
        <color rgb="FF404040"/>
        <rFont val="DejaVu Sans"/>
        <family val="2"/>
        <charset val="1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</si>
  <si>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</si>
  <si>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해지 시까지 수납기관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및 결제대행사</t>
    </r>
    <r>
      <rPr>
        <sz val="8"/>
        <color rgb="FF404040"/>
        <rFont val="DejaVu Sans"/>
        <family val="2"/>
        <charset val="1"/>
      </rPr>
      <t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2"/>
        <charset val="1"/>
      </rPr>
      <t>)</t>
    </r>
  </si>
  <si>
    <t>자동이체 동의</t>
  </si>
  <si>
    <r>
      <rPr>
        <sz val="8"/>
        <color rgb="FF404040"/>
        <rFont val="DejaVu Sans"/>
        <family val="2"/>
      </rPr>
      <t>매월 발생하는 이륜차 임대료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범칙금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</si>
  <si>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</si>
  <si>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수납대행사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>)(</t>
    </r>
    <r>
      <rPr>
        <sz val="8"/>
        <color rgb="FF404040"/>
        <rFont val="DejaVu Sans"/>
        <family val="2"/>
      </rPr>
      <t>대금 수납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세금계산서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2"/>
        <charset val="1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</si>
  <si>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</si>
  <si>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</si>
  <si>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의무와 제반 동의 사항에 이의 없이 동의합니다</t>
    </r>
    <r>
      <rPr>
        <sz val="9"/>
        <color rgb="FF000000"/>
        <rFont val="DejaVu Sans"/>
        <family val="2"/>
        <charset val="1"/>
      </rPr>
      <t>.</t>
    </r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</si>
  <si>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</si>
  <si>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</si>
  <si>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연대보증인</t>
  </si>
  <si>
    <t>이륜차 할부판매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</si>
  <si>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</si>
  <si>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차량 위치정보 등 제공 동의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</si>
  <si>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이륜차 유지비용 및 제세공과금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</si>
  <si>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맑은 고딕"/>
        <family val="3"/>
        <charset val="129"/>
      </rPr>
      <t>⑨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</si>
  <si>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금지행위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</si>
  <si>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서류 제출 및 이륜차 인도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</si>
  <si>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3</t>
    </r>
    <r>
      <rPr>
        <b/>
        <sz val="9"/>
        <color rgb="FF1F3864"/>
        <rFont val="DejaVu Sans"/>
        <family val="2"/>
      </rPr>
      <t>자에 대한 면책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</si>
  <si>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4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소유권 유보 및 이전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</si>
  <si>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5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계약자의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</si>
  <si>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해지위약금 등의 부과방법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</si>
  <si>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6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보증금 및 계약금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</si>
  <si>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7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할부금 및 기타 지급금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</si>
  <si>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8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지연손해금 및 반환지연금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</si>
  <si>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② 지연손해금 계산식</t>
    </r>
    <r>
      <rPr>
        <sz val="8"/>
        <color rgb="FF2B2B2B"/>
        <rFont val="맑은 고딕"/>
        <family val="3"/>
        <charset val="129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맑은 고딕"/>
        <family val="3"/>
        <charset val="129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맑은 고딕"/>
        <family val="3"/>
        <charset val="129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맑은 고딕"/>
        <family val="3"/>
        <charset val="129"/>
      </rPr>
      <t>20%</t>
    </r>
  </si>
  <si>
    <r>
      <rPr>
        <sz val="8"/>
        <color rgb="FF2B2B2B"/>
        <rFont val="DejaVu Sans"/>
        <family val="2"/>
      </rPr>
      <t>④ 지연손해금과 반환지연금은 회사의 손해배상청구와 별도로 부과될 수 있다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</si>
  <si>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9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연대보증인의 책임</t>
    </r>
    <r>
      <rPr>
        <b/>
        <sz val="9"/>
        <color rgb="FF1F3864"/>
        <rFont val="맑은 고딕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</si>
  <si>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맑은 고딕"/>
        <family val="3"/>
        <charset val="129"/>
      </rPr>
      <t>11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계약의 이관 및 승계</t>
    </r>
    <r>
      <rPr>
        <b/>
        <sz val="9"/>
        <color rgb="FF1F3864"/>
        <rFont val="맑은 고딕"/>
        <family val="3"/>
        <charset val="129"/>
      </rPr>
      <t>)</t>
    </r>
  </si>
  <si>
    <r>
      <rPr>
        <sz val="8"/>
        <color rgb="FF2B2B2B"/>
        <rFont val="DejaVu Sans"/>
        <family val="2"/>
      </rPr>
      <t>① 계약자는 회사의 사전 승인 없이 본 계약상의 권리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자에게 임의로 승계할 수 없다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</si>
  <si>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④ 계약이관을 하기 위해서는 할부금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과태료 등 일체 미납금이 없어야 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</si>
  <si>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DejaVu Sans"/>
        <family val="2"/>
      </rPr>
      <t>⑤ 승계받고자 하는 제</t>
    </r>
    <r>
      <rPr>
        <sz val="8"/>
        <color rgb="FF2B2B2B"/>
        <rFont val="맑은 고딕"/>
        <family val="3"/>
        <charset val="129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</si>
  <si>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10"/>
        <color rgb="FF1F3864"/>
        <rFont val="DejaVu Sans"/>
        <family val="2"/>
      </rPr>
      <t>이용약관의 내용에 대해서 설명을 듣고 확인하였습니다</t>
    </r>
    <r>
      <rPr>
        <b/>
        <sz val="10"/>
        <color rgb="FF1F3864"/>
        <rFont val="맑은 고딕"/>
        <family val="3"/>
        <charset val="129"/>
      </rPr>
      <t>.</t>
    </r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</si>
  <si>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차량·키·일체의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인수하므로, 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</t>
    </r>
    <phoneticPr fontId="3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</si>
  <si>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연체·미납이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신용정보집중기관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</si>
  <si>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인적사항·신용상태·영업상황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</si>
  <si>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phoneticPr fontId="34" type="noConversion"/>
  </si>
  <si>
    <t>보험연령</t>
  </si>
  <si>
    <t>업체주소</t>
  </si>
  <si>
    <t>사업장 연락처</t>
  </si>
  <si>
    <t>대표자 주민번호</t>
  </si>
  <si>
    <t>대표자 연락처</t>
  </si>
  <si>
    <t>대표자 주소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</si>
  <si>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</si>
  <si>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</si>
  <si>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</si>
  <si>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</si>
  <si>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</si>
  <si>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</si>
  <si>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</si>
  <si>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</si>
  <si>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</si>
  <si>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</si>
  <si>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DejaVu Sans"/>
        <family val="2"/>
        <charset val="1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</si>
  <si>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</si>
  <si>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</si>
  <si>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</si>
  <si>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</si>
  <si>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렌트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</si>
  <si>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</si>
  <si>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</si>
  <si>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사업자등록증 사본</t>
    </r>
    <r>
      <rPr>
        <i/>
        <sz val="8"/>
        <color rgb="FF595959"/>
        <rFont val="DejaVu Sans"/>
        <family val="3"/>
        <charset val="129"/>
      </rPr>
      <t xml:space="preserve">, </t>
    </r>
    <r>
      <rPr>
        <i/>
        <sz val="8"/>
        <color rgb="FF595959"/>
        <rFont val="DejaVu Sans"/>
        <family val="2"/>
      </rPr>
      <t>대표자 신분증 사본</t>
    </r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</si>
  <si>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DejaVu Sans"/>
        <family val="2"/>
        <charset val="1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DejaVu Sans"/>
        <family val="2"/>
        <charset val="1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DejaVu Sans"/>
        <family val="2"/>
        <charset val="1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DejaVu Sans"/>
        <family val="2"/>
        <charset val="1"/>
      </rPr>
      <t>130%</t>
    </r>
  </si>
  <si>
    <t>렌트기간</t>
    <phoneticPr fontId="34" type="noConversion"/>
  </si>
  <si>
    <r>
      <rPr>
        <sz val="10"/>
        <color rgb="FF000000"/>
        <rFont val="DejaVu Sans"/>
        <family val="2"/>
      </rPr>
      <t>경기도 수원시 권선구 입북로</t>
    </r>
    <r>
      <rPr>
        <sz val="10"/>
        <color rgb="FF000000"/>
        <rFont val="DejaVu Sans"/>
        <family val="3"/>
        <charset val="129"/>
      </rPr>
      <t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3"/>
        <charset val="129"/>
      </rPr>
      <t>15</t>
    </r>
  </si>
  <si>
    <t>공급자</t>
  </si>
  <si>
    <t>647-86-03800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</si>
  <si>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관할관청·회사의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지시를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준수한다.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</si>
  <si>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변경·제거·훼손할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34" type="noConversion"/>
  </si>
  <si>
    <r>
      <rPr>
        <b/>
        <sz val="9"/>
        <color rgb="FF1F3864"/>
        <rFont val="맑은 고딕"/>
        <family val="3"/>
        <charset val="129"/>
      </rPr>
      <t>제2조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(용어의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정의)</t>
    </r>
    <phoneticPr fontId="34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</si>
  <si>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"회사")와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계약자(이하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"계약</t>
    </r>
    <r>
      <rPr>
        <sz val="8"/>
        <color rgb="FF2B2B2B"/>
        <rFont val="DejaVu Sans"/>
        <family val="3"/>
        <charset val="129"/>
      </rPr>
      <t>자")간</t>
    </r>
    <phoneticPr fontId="34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</si>
  <si>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</si>
  <si>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t>① "할부판매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판매하고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대금을 일</t>
    </r>
    <phoneticPr fontId="34" type="noConversion"/>
  </si>
  <si>
    <t>일정 기간에 걸쳐 분할 지급하는 매매계약을 말한다.</t>
    <phoneticPr fontId="34" type="noConversion"/>
  </si>
  <si>
    <r>
      <t>② "이륜차"란,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특정한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부착된</t>
    </r>
    <phoneticPr fontId="34" type="noConversion"/>
  </si>
  <si>
    <t>부속품 및 장착물을 포함한다.</t>
    <phoneticPr fontId="34" type="noConversion"/>
  </si>
  <si>
    <r>
      <t>③ "계약기간"이란,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말한다.</t>
    </r>
    <phoneticPr fontId="34" type="noConversion"/>
  </si>
  <si>
    <r>
      <t>④ "보증금"이란, 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채무이행을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납부하는 금</t>
    </r>
    <phoneticPr fontId="34" type="noConversion"/>
  </si>
  <si>
    <t>원을 말하며, 계약기간 만료 시 계약자가 모든 채무를 이행 완료한 경우 반환한다.</t>
    <phoneticPr fontId="34" type="noConversion"/>
  </si>
  <si>
    <r>
      <t>⑦ "위약금"이란, 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phoneticPr fontId="34" type="noConversion"/>
  </si>
  <si>
    <t>말한다.</t>
    <phoneticPr fontId="34" type="noConversion"/>
  </si>
  <si>
    <r>
      <t>⑧ "지연손해금"이란,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할부금·위약금·과태료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 비용</t>
    </r>
    <phoneticPr fontId="34" type="noConversion"/>
  </si>
  <si>
    <t>을 말한다.</t>
    <phoneticPr fontId="34" type="noConversion"/>
  </si>
  <si>
    <r>
      <t>⑩ "사용자"는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실제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자로서, 계약자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지정·관리하는 자를</t>
    </r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</si>
  <si>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하며, 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응한다.</t>
    </r>
    <phoneticPr fontId="34" type="noConversion"/>
  </si>
  <si>
    <t>제출된 서류는 어떠한 경우에도 반환하지 아니한다.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</si>
  <si>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인도하며, 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개시된다. 인</t>
    </r>
    <r>
      <rPr>
        <sz val="8"/>
        <color rgb="FF2B2B2B"/>
        <rFont val="DejaVu Sans"/>
        <family val="1"/>
      </rPr>
      <t>도 이</t>
    </r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</si>
  <si>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</t>
    </r>
    <r>
      <rPr>
        <sz val="8"/>
        <color rgb="FF2B2B2B"/>
        <rFont val="DejaVu Sans"/>
        <family val="1"/>
      </rPr>
      <t>다.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</si>
  <si>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DejaVu Sans"/>
        <family val="1"/>
      </rPr>
      <t>에 따라</t>
    </r>
    <phoneticPr fontId="34" type="noConversion"/>
  </si>
  <si>
    <t>이륜차의 소유권을 계약자에게 이전한다.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</si>
  <si>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귀속된다.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</si>
  <si>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</t>
    </r>
    <r>
      <rPr>
        <sz val="8"/>
        <color rgb="FF2B2B2B"/>
        <rFont val="DejaVu Sans"/>
        <family val="1"/>
      </rPr>
      <t>유권</t>
    </r>
    <phoneticPr fontId="34" type="noConversion"/>
  </si>
  <si>
    <t>을 주장할 수 없다.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</si>
  <si>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없다.</t>
    </r>
    <phoneticPr fontId="34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</si>
  <si>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선량한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관리자의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주의로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유지·관리하여야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하며, 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DejaVu Sans"/>
        <family val="1"/>
      </rPr>
      <t xml:space="preserve"> 사고에</t>
    </r>
    <phoneticPr fontId="34" type="noConversion"/>
  </si>
  <si>
    <t>대해 책임을 부담한다.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</si>
  <si>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사용·수익</t>
    </r>
    <phoneticPr fontId="34" type="noConversion"/>
  </si>
  <si>
    <t>할 권리와 운행이익권만을 가진다. 계약자는 본 계약에서 허용하는 범위를 초과하여 제3자에게</t>
    <phoneticPr fontId="34" type="noConversion"/>
  </si>
  <si>
    <t>사용·수익하게 할 수 없다. 또한, 제16조·제17조에 따라 계약이 해지된 경우 계약자는 즉시 운행을</t>
    <phoneticPr fontId="34" type="noConversion"/>
  </si>
  <si>
    <t>중단하고 이륜차를 반환하여야 한다.</t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</si>
  <si>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</t>
    </r>
    <r>
      <rPr>
        <sz val="8"/>
        <color rgb="FF2B2B2B"/>
        <rFont val="DejaVu Sans"/>
        <family val="1"/>
      </rPr>
      <t>유권</t>
    </r>
    <phoneticPr fontId="3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</si>
  <si>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보전처분·강제집행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</t>
    </r>
    <r>
      <rPr>
        <sz val="8"/>
        <color rgb="FF2B2B2B"/>
        <rFont val="DejaVu Sans"/>
        <family val="1"/>
      </rPr>
      <t>해할</t>
    </r>
    <phoneticPr fontId="34" type="noConversion"/>
  </si>
  <si>
    <t>위험이 있는 경우, 계약자는 이륜차가 회사의 소유임을 주장·입증하여 침해를 방지하고 즉시 그 사</t>
    <phoneticPr fontId="34" type="noConversion"/>
  </si>
  <si>
    <t>실을 회사에 통지하여야 한다.</t>
    <phoneticPr fontId="3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</si>
  <si>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시점부터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DejaVu Sans"/>
        <family val="1"/>
      </rPr>
      <t xml:space="preserve"> 책임을</t>
    </r>
    <phoneticPr fontId="34" type="noConversion"/>
  </si>
  <si>
    <t>부담한다.</t>
    <phoneticPr fontId="34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</si>
  <si>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통보하고, 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(1) 이륜차</t>
    </r>
    <r>
      <rPr>
        <sz val="8"/>
        <color rgb="FF2B2B2B"/>
        <rFont val="DejaVu Sans"/>
        <family val="1"/>
      </rPr>
      <t>를 원</t>
    </r>
    <phoneticPr fontId="34" type="noConversion"/>
  </si>
  <si>
    <t>를 원상태로 완전복구 또는 (2) 동일모델·사양으로 교체 중 하나를 이행해야 한다.</t>
    <phoneticPr fontId="34" type="noConversion"/>
  </si>
  <si>
    <t>난·멸실·훼손에 대한 모든 책임을 부담한다.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</si>
  <si>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대행사(포어스바이크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유한회사)의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</t>
    </r>
    <r>
      <rPr>
        <sz val="8"/>
        <color rgb="FF2B2B2B"/>
        <rFont val="DejaVu Sans"/>
        <family val="1"/>
      </rPr>
      <t>증금을</t>
    </r>
    <phoneticPr fontId="34" type="noConversion"/>
  </si>
  <si>
    <t>증금을 지급하여야 한다. 사전 동의를 받아 보증금 지급이 지연된 경우 회사는 최대 7일의 유예기간</t>
    <phoneticPr fontId="34" type="noConversion"/>
  </si>
  <si>
    <t>을 둘 수 있다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</si>
  <si>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이륜차</t>
    </r>
    <phoneticPr fontId="34" type="noConversion"/>
  </si>
  <si>
    <t xml:space="preserve"> 이륜차를 반환함과 동시에 (1) 인도일부터 반환일까지의 일할 사용료, (2) 이륜차의 감가손실액,</t>
    <phoneticPr fontId="34" type="noConversion"/>
  </si>
  <si>
    <t>(3) 차량 등록비·번호판 비용 등 회사가 이미 지출한 부대비용 일체를 회사에 배상하여야 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</si>
  <si>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DejaVu Sans"/>
        <family val="2"/>
      </rPr>
      <t>·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반환한다. 다만,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미납</t>
    </r>
    <phoneticPr fontId="34" type="noConversion"/>
  </si>
  <si>
    <t>과태료·수리비 등이 확인될 수 있으므로 계약기간 만료일로부터 1개월이 경과한 이후에 반환한다.</t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</si>
  <si>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공제하며, 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>자는</t>
    </r>
    <phoneticPr fontId="34" type="noConversion"/>
  </si>
  <si>
    <t>자는 차액을 추가 납부하여야 한다.</t>
    <phoneticPr fontId="3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</si>
  <si>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과태료·범칙금은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반환하며, 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</t>
    </r>
    <r>
      <rPr>
        <sz val="8"/>
        <color rgb="FF2B2B2B"/>
        <rFont val="DejaVu Sans"/>
        <family val="1"/>
      </rPr>
      <t>하여야</t>
    </r>
    <phoneticPr fontId="34" type="noConversion"/>
  </si>
  <si>
    <t>한다.</t>
    <phoneticPr fontId="3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</si>
  <si>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없다.</t>
    </r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</si>
  <si>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결제일</t>
    </r>
    <r>
      <rPr>
        <sz val="8"/>
        <color rgb="FF2B2B2B"/>
        <rFont val="DejaVu Sans"/>
        <family val="1"/>
      </rPr>
      <t>에</t>
    </r>
    <phoneticPr fontId="34" type="noConversion"/>
  </si>
  <si>
    <t>에 수납대행사(포어스바이크 유한회사) 명의 계좌로 납부하여야 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</si>
  <si>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결제방법이란, 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한국은행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통화를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</t>
    </r>
    <r>
      <rPr>
        <sz val="8"/>
        <color rgb="FF2B2B2B"/>
        <rFont val="DejaVu Sans"/>
        <family val="1"/>
      </rPr>
      <t>제 수</t>
    </r>
    <phoneticPr fontId="34" type="noConversion"/>
  </si>
  <si>
    <t>단을 통해 납부하는 것을 의미한다.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</si>
  <si>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인상, 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DejaVu Sans"/>
        <family val="1"/>
      </rPr>
      <t>에게 개</t>
    </r>
    <phoneticPr fontId="34" type="noConversion"/>
  </si>
  <si>
    <t>별 통지하며, 계약자는 이륜차 출고 이전까지 계약을 취소할 수 있다.</t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</si>
  <si>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도난·멸실·훼손으로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</t>
    </r>
    <r>
      <rPr>
        <sz val="8"/>
        <color rgb="FF2B2B2B"/>
        <rFont val="DejaVu Sans"/>
        <family val="1"/>
      </rPr>
      <t xml:space="preserve"> 의무를</t>
    </r>
    <phoneticPr fontId="34" type="noConversion"/>
  </si>
  <si>
    <t>거부할 수 없다.</t>
    <phoneticPr fontId="3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</si>
  <si>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납부주기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조정되는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산정·적용</t>
    </r>
    <r>
      <rPr>
        <sz val="8"/>
        <color rgb="FF2B2B2B"/>
        <rFont val="DejaVu Sans"/>
        <family val="1"/>
      </rPr>
      <t>한다.</t>
    </r>
    <phoneticPr fontId="3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</si>
  <si>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할부금·위약금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채권의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업무를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수납대행사(포어스</t>
    </r>
    <r>
      <rPr>
        <sz val="8"/>
        <color rgb="FF2B2B2B"/>
        <rFont val="DejaVu Sans"/>
        <family val="1"/>
      </rPr>
      <t>바이크</t>
    </r>
    <phoneticPr fontId="34" type="noConversion"/>
  </si>
  <si>
    <t>바이크 유한회사)에 위임하며, 미수금이 14일 이상 지속되는 경우 수납대행사는 회사를 대리하여</t>
    <phoneticPr fontId="34" type="noConversion"/>
  </si>
  <si>
    <t>계약자에게 독촉·추심할 수 있다.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</si>
  <si>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DejaVu Sans"/>
        <family val="1"/>
      </rPr>
      <t xml:space="preserve"> 청구일</t>
    </r>
    <phoneticPr fontId="34" type="noConversion"/>
  </si>
  <si>
    <t xml:space="preserve"> 청구일로부터 5일 이내에 지급하여야 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</si>
  <si>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반환지연금은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만료·해지에도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점유·사용을</t>
    </r>
    <r>
      <rPr>
        <sz val="8"/>
        <color rgb="FF2B2B2B"/>
        <rFont val="DejaVu Sans"/>
        <family val="1"/>
      </rPr>
      <t xml:space="preserve"> 계속</t>
    </r>
    <phoneticPr fontId="34" type="noConversion"/>
  </si>
  <si>
    <t xml:space="preserve"> 계속하는 경우 발생하며, 계산식은 다음과 같다. ㆍ반환지연금 = 1일 사용료 × 경과일수 × 연20%</t>
    <phoneticPr fontId="34" type="noConversion"/>
  </si>
  <si>
    <t>에 등록하거나 신용정보업체에 채권추심을 의뢰할 수 있다.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</si>
  <si>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연대보증인(사업장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대표자)은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계약과</t>
    </r>
    <phoneticPr fontId="34" type="noConversion"/>
  </si>
  <si>
    <t>관련하여 부담하는 일체의 채무를 보증하며, 계약자 및 상호 간에 연대하여 그 채무를 이행한다.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</si>
  <si>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인수·승계시킨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</t>
    </r>
    <r>
      <rPr>
        <sz val="8"/>
        <color rgb="FF2B2B2B"/>
        <rFont val="DejaVu Sans"/>
        <family val="1"/>
      </rPr>
      <t>인은</t>
    </r>
    <phoneticPr fontId="34" type="noConversion"/>
  </si>
  <si>
    <t>채무가 전액 변제될 때까지 보증채무를 부담한다.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</si>
  <si>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</t>
    </r>
    <r>
      <rPr>
        <sz val="8"/>
        <color rgb="FF2B2B2B"/>
        <rFont val="DejaVu Sans"/>
        <family val="1"/>
      </rPr>
      <t>받을</t>
    </r>
    <phoneticPr fontId="34" type="noConversion"/>
  </si>
  <si>
    <t>받을 권리를 행사할 수 없다.</t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</si>
  <si>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서명·날인하지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</t>
    </r>
    <r>
      <rPr>
        <sz val="8"/>
        <color rgb="FF2B2B2B"/>
        <rFont val="DejaVu Sans"/>
        <family val="1"/>
      </rPr>
      <t>더라도</t>
    </r>
    <phoneticPr fontId="34" type="noConversion"/>
  </si>
  <si>
    <t>더라도 그 변경에 동의한 것으로 본다. 단, 변경 내용이 연대보증인에게 불리한 경우 계약자는 즉</t>
    <phoneticPr fontId="34" type="noConversion"/>
  </si>
  <si>
    <t>시 연대보증인에게 통지하여야 하며, 14일 이내 이의 제기 시 회사는 새로운 보증인의 추가 또는</t>
    <phoneticPr fontId="34" type="noConversion"/>
  </si>
  <si>
    <t>교체를 요구할 수 있다. 연대보증인은 미성년자·배우자 등 불법 강제보증인으로 할 수 없다.</t>
    <phoneticPr fontId="34" type="noConversion"/>
  </si>
  <si>
    <t>제10조 (운행자성 및 운행지배)</t>
    <phoneticPr fontId="34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</si>
  <si>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사용자(계약자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지정한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자) 명의로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가입하며, 보</t>
    </r>
    <phoneticPr fontId="34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</si>
  <si>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계약자이며, 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인적·물적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phoneticPr fontId="34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</si>
  <si>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있으나, 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제3조에서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"자</t>
    </r>
    <r>
      <rPr>
        <sz val="8"/>
        <color theme="1"/>
        <rFont val="DejaVu Sans"/>
        <family val="1"/>
      </rPr>
      <t>기</t>
    </r>
    <phoneticPr fontId="34" type="noConversion"/>
  </si>
  <si>
    <t>기를 위하여 자동차를 운행하는 자"(이하 "운행자")에 해당하지 아니한다. 회사는 본 계약 차량에</t>
    <phoneticPr fontId="34" type="noConversion"/>
  </si>
  <si>
    <t>대한 운행지배 및 운행이익을 갖지 아니한다.</t>
    <phoneticPr fontId="34" type="noConversion"/>
  </si>
  <si>
    <t>험가입 주체는 사용자이다. 회사는 보험계약의 당사자가 아니다.</t>
  </si>
  <si>
    <t xml:space="preserve"> 책임은 전적으로 계약자가 부담한다. 계약자가 사용자에게 차량을 운행하게 한 경우, 계약자는</t>
    <phoneticPr fontId="34" type="noConversion"/>
  </si>
  <si>
    <t>사용자를 지정·관리·감독하는 지위에 있으므로 운행자성 및 운행지배력은 여전히 계약자에게 있다.</t>
    <phoneticPr fontId="34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</si>
  <si>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제3자가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비용·책임으로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</t>
    </r>
    <phoneticPr fontId="34" type="noConversion"/>
  </si>
  <si>
    <r>
      <rPr>
        <sz val="8"/>
        <color theme="1"/>
        <rFont val="맑은 고딕"/>
        <family val="3"/>
        <charset val="129"/>
      </rPr>
      <t>시켜야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부득이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상환하여야 한다.</t>
    </r>
    <phoneticPr fontId="34" type="noConversion"/>
  </si>
  <si>
    <t>공하여야 하며, 회사는 심사기준에 부합하지 않으면 거절할 수 있다.</t>
  </si>
  <si>
    <t xml:space="preserve"> 계속 이행하여야 한다.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</si>
  <si>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도난·멸실·분실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r>
      <rPr>
        <sz val="8"/>
        <color rgb="FF2B2B2B"/>
        <rFont val="DejaVu Sans"/>
        <family val="1"/>
      </rPr>
      <t xml:space="preserve">며, </t>
    </r>
    <phoneticPr fontId="34" type="noConversion"/>
  </si>
  <si>
    <t>계약자는 이를 인지하고 동의한다.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</si>
  <si>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수집·이용·제공의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DejaVu Sans"/>
        <family val="1"/>
      </rPr>
      <t xml:space="preserve"> 책</t>
    </r>
    <phoneticPr fontId="34" type="noConversion"/>
  </si>
  <si>
    <t>임을 부담하며, 이와 관련하여 제3자로부터 회사에 제기되는 일체의 청구·손해·과태료에 대하여</t>
    <phoneticPr fontId="34" type="noConversion"/>
  </si>
  <si>
    <t>계약자가 전적으로 책임을 진다.</t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</si>
  <si>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채무불이행, 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해지, 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절차, 보험사고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이행·관리에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DejaVu Sans"/>
        <family val="1"/>
      </rPr>
      <t>내</t>
    </r>
    <phoneticPr fontId="34" type="noConversion"/>
  </si>
  <si>
    <t>에서만 위치정보를 활용한다.</t>
    <phoneticPr fontId="34" type="noConversion"/>
  </si>
  <si>
    <t>조하여야 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</si>
  <si>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언제든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준수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점검할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있으며, 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</t>
    </r>
    <r>
      <rPr>
        <sz val="8"/>
        <color rgb="FF2B2B2B"/>
        <rFont val="DejaVu Sans"/>
        <family val="1"/>
      </rPr>
      <t>조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</si>
  <si>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등록·유지·사용·등록말소·폐차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</t>
    </r>
    <r>
      <rPr>
        <sz val="8"/>
        <color rgb="FF2B2B2B"/>
        <rFont val="DejaVu Sans"/>
        <family val="1"/>
      </rPr>
      <t>공과</t>
    </r>
    <phoneticPr fontId="34" type="noConversion"/>
  </si>
  <si>
    <t>과금(과태료·범칙금·벌과금 등)은 전적으로 계약자가 부담한다.</t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</si>
  <si>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보관·사용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고의·과실이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34" type="noConversion"/>
  </si>
  <si>
    <t>약자가 부담한다. 보험 가입·처리 책임은 전적으로 계약자에게 있으며, 본 차량이 유상운송 목적으</t>
    <phoneticPr fontId="34" type="noConversion"/>
  </si>
  <si>
    <t>로 사용되는 점을 고려하여 계약자는 유상운송 용도에 적합한 보험에 가입할 의무가 있다. 부적합</t>
    <phoneticPr fontId="34" type="noConversion"/>
  </si>
  <si>
    <t>보험 가입 또는 계약자의 귀책사유로 보험처리가 불가하거나 보험금으로 충당 되지 않는 손해는 전</t>
    <phoneticPr fontId="34" type="noConversion"/>
  </si>
  <si>
    <t>적으로 계약자가 부담한다.</t>
    <phoneticPr fontId="34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</si>
  <si>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아니된다: (1) 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양도·전대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</t>
    </r>
    <r>
      <rPr>
        <sz val="8"/>
        <color rgb="FF2B2B2B"/>
        <rFont val="DejaVu Sans"/>
        <family val="3"/>
        <charset val="129"/>
      </rPr>
      <t>에게</t>
    </r>
    <phoneticPr fontId="34" type="noConversion"/>
  </si>
  <si>
    <t>양도하는 행위, (2) 보험 인정 사용자 이외의 자에게 이륜차를 사용하게 하는 행위, (3) 이륜차 규격</t>
    <phoneticPr fontId="34" type="noConversion"/>
  </si>
  <si>
    <t>·성능·기능을 임의로 변경하거나 번호판을 훼손하는 행위, (4) 이륜차를 제3자에게 담보 목적으로 제</t>
    <phoneticPr fontId="34" type="noConversion"/>
  </si>
  <si>
    <t>공하는 등 회사의 소유권 침해 행위, (5) 이륜차 부착 표지를 제거·훼손하거나 내용·위치를 변경하는</t>
    <phoneticPr fontId="34" type="noConversion"/>
  </si>
  <si>
    <t>행위. 본 조의 행위가 있는 경우 회사는 사전 통지·최고 없이 본 계약을  즉시 해지하고 차량을 회수</t>
    <phoneticPr fontId="34" type="noConversion"/>
  </si>
  <si>
    <t xml:space="preserve"> 회수하며, 제18조에 따른 위약금 및 원상복구비 등 일체의 손해를 청구할 수 있다.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</si>
  <si>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제3자(보험사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 포</t>
    </r>
    <phoneticPr fontId="34" type="noConversion"/>
  </si>
  <si>
    <t>함)가 그 청구 시점이 계약 만료·해지 이후라도 회사를 상대로 인적·물적 손해배상 또는 구상금을</t>
    <phoneticPr fontId="34" type="noConversion"/>
  </si>
  <si>
    <t>청구하는 경우 계약자는 자신의 비용·책임으로 회사를 면책시켜야 한다.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</si>
  <si>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</t>
    </r>
    <r>
      <rPr>
        <sz val="8"/>
        <color rgb="FF2B2B2B"/>
        <rFont val="DejaVu Sans"/>
        <family val="1"/>
      </rPr>
      <t>액과 관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</si>
  <si>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제3자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부담하여야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</si>
  <si>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할부판매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당사자가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아니므로</t>
    </r>
    <r>
      <rPr>
        <sz val="8"/>
        <color rgb="FF2B2B2B"/>
        <rFont val="DejaVu Sans"/>
        <family val="1"/>
      </rPr>
      <t xml:space="preserve"> 보</t>
    </r>
    <phoneticPr fontId="34" type="noConversion"/>
  </si>
  <si>
    <t>부담하며, 회사는 이에 대해 일절 책임을 지지 아니한다.</t>
    <phoneticPr fontId="34" type="noConversion"/>
  </si>
  <si>
    <t>제16조 (계약자에 의한 중도 해지)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</si>
  <si>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 사전</t>
    </r>
    <phoneticPr fontId="34" type="noConversion"/>
  </si>
  <si>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</si>
  <si>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8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 회</t>
    </r>
    <phoneticPr fontId="34" type="noConversion"/>
  </si>
  <si>
    <r>
      <rPr>
        <sz val="8"/>
        <color rgb="FF2B2B2B"/>
        <rFont val="맑은 고딕"/>
        <family val="3"/>
        <charset val="129"/>
      </rPr>
      <t>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</si>
  <si>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 계약</t>
    </r>
    <phoneticPr fontId="34" type="noConversion"/>
  </si>
  <si>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</si>
  <si>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절차에</t>
    </r>
    <phoneticPr fontId="34" type="noConversion"/>
  </si>
  <si>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</si>
  <si>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t>제17조 (계약의 해지 사유)</t>
  </si>
  <si>
    <t>다음 각 호에 해당하는 경우 계약자는 사전 통지·최고 없이 기한이익을 상실하며, 회사는 본 계약을</t>
    <phoneticPr fontId="34" type="noConversion"/>
  </si>
  <si>
    <t>해지하고 차량 인도를 청구할 수 있다: (1) 이륜차 무단 양도·전대 또는 보험 인정 사용자 이외의 자</t>
    <phoneticPr fontId="34" type="noConversion"/>
  </si>
  <si>
    <t>체, (4) 통지받은 수리비·과태료·구상금 등을 정당한 사유 없이 5일 이내 미납, (5) 무면허·음주운전</t>
    <phoneticPr fontId="34" type="noConversion"/>
  </si>
  <si>
    <t>등 사용자 귀책 배상금 청구 후 3일 이내 미납, (6) 제3자 담보 제공 등 회사 소유권 침해 또는 차량</t>
    <phoneticPr fontId="34" type="noConversion"/>
  </si>
  <si>
    <t xml:space="preserve">규격·성능·표지의 무단 변경·훼손, (7) 위치정보 장치 훼손·은닉, (8) 보험사 구상금 통보 후 7일 이내 </t>
    <phoneticPr fontId="34" type="noConversion"/>
  </si>
  <si>
    <t>미변제, (9) 사고 발생 시 고지 의무 위반.</t>
    <phoneticPr fontId="34" type="noConversion"/>
  </si>
  <si>
    <t>② 선납한 보증금은 어떠한 경우에도 반환되지 않는다.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</si>
  <si>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산식</t>
    </r>
    <r>
      <rPr>
        <sz val="8"/>
        <color rgb="FF2B2B2B"/>
        <rFont val="Arial"/>
        <family val="2"/>
      </rPr>
      <t xml:space="preserve">: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=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+ (</t>
    </r>
    <r>
      <rPr>
        <sz val="8"/>
        <color rgb="FF2B2B2B"/>
        <rFont val="맑은 고딕"/>
        <family val="3"/>
        <charset val="129"/>
      </rPr>
      <t>잔여기간에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</t>
    </r>
    <r>
      <rPr>
        <sz val="8"/>
        <color rgb="FF2B2B2B"/>
        <rFont val="Arial"/>
        <family val="2"/>
      </rPr>
      <t xml:space="preserve"> × 20%).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계약해지</t>
    </r>
    <phoneticPr fontId="34" type="noConversion"/>
  </si>
  <si>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</si>
  <si>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부착물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부속품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파손이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 청구</t>
    </r>
    <phoneticPr fontId="34" type="noConversion"/>
  </si>
  <si>
    <r>
      <rPr>
        <sz val="8"/>
        <color rgb="FF2B2B2B"/>
        <rFont val="맑은 고딕"/>
        <family val="3"/>
        <charset val="129"/>
      </rPr>
      <t>로부터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</si>
  <si>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t>제19조 (이륜차 반환 및 회수)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</si>
  <si>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16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17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 반</t>
    </r>
    <phoneticPr fontId="34" type="noConversion"/>
  </si>
  <si>
    <r>
      <rPr>
        <sz val="8"/>
        <color rgb="FF2B2B2B"/>
        <rFont val="맑은 고딕"/>
        <family val="3"/>
        <charset val="129"/>
      </rPr>
      <t>환하여야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</si>
  <si>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맑은 고딕"/>
        <family val="3"/>
        <charset val="129"/>
      </rPr>
      <t>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</si>
  <si>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 민</t>
    </r>
    <r>
      <rPr>
        <sz val="8"/>
        <color rgb="FF2B2B2B"/>
        <rFont val="DejaVu Sans"/>
        <family val="1"/>
      </rPr>
      <t>·형사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</si>
  <si>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소요된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</si>
  <si>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계약해지일부터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최종반환일까지의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</si>
  <si>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t>제20조 (계약만료 후 처리)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</si>
  <si>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 사</t>
    </r>
    <phoneticPr fontId="34" type="noConversion"/>
  </si>
  <si>
    <r>
      <rPr>
        <sz val="8"/>
        <color rgb="FF2B2B2B"/>
        <rFont val="맑은 고딕"/>
        <family val="3"/>
        <charset val="129"/>
      </rPr>
      <t>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</si>
  <si>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(1)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시 만료일</t>
    </r>
    <phoneticPr fontId="34" type="noConversion"/>
  </si>
  <si>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등기우편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</si>
  <si>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이루어지는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존재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관계없이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계약자</t>
    </r>
    <phoneticPr fontId="34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</si>
  <si>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2"/>
        <charset val="129"/>
      </rPr>
      <t>영수증을 발</t>
    </r>
    <phoneticPr fontId="34" type="noConversion"/>
  </si>
  <si>
    <r>
      <rPr>
        <sz val="8"/>
        <color rgb="FF2B2B2B"/>
        <rFont val="맑은 고딕"/>
        <family val="3"/>
        <charset val="129"/>
      </rPr>
      <t>발송하는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</si>
  <si>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만료일(</t>
    </r>
    <r>
      <rPr>
        <sz val="8"/>
        <color rgb="FF2B2B2B"/>
        <rFont val="DejaVu Sans"/>
        <family val="3"/>
      </rPr>
      <t>D)</t>
    </r>
    <phoneticPr fontId="34" type="noConversion"/>
  </si>
  <si>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D+3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진행되고</t>
    </r>
    <r>
      <rPr>
        <sz val="8"/>
        <color rgb="FF2B2B2B"/>
        <rFont val="Arial"/>
        <family val="2"/>
      </rPr>
      <t>, D+15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기한이익을 상실</t>
    </r>
    <phoneticPr fontId="34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</si>
  <si>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</si>
  <si>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수리견적을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 보</t>
    </r>
    <phoneticPr fontId="34" type="noConversion"/>
  </si>
  <si>
    <r>
      <rPr>
        <sz val="8"/>
        <color rgb="FF2B2B2B"/>
        <rFont val="맑은 고딕"/>
        <family val="3"/>
        <charset val="129"/>
      </rPr>
      <t>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 계약자가</t>
    </r>
    <phoneticPr fontId="34" type="noConversion"/>
  </si>
  <si>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</si>
  <si>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제출 등</t>
    </r>
    <phoneticPr fontId="34" type="noConversion"/>
  </si>
  <si>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8</t>
    </r>
    <r>
      <rPr>
        <sz val="8"/>
        <color rgb="FF2B2B2B"/>
        <rFont val="맑은 고딕"/>
        <family val="3"/>
        <charset val="129"/>
      </rPr>
      <t>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따른 손해배상</t>
    </r>
    <r>
      <rPr>
        <sz val="8"/>
        <color rgb="FF2B2B2B"/>
        <rFont val="DejaVu Sans"/>
        <family val="3"/>
        <charset val="129"/>
      </rPr>
      <t>금</t>
    </r>
    <phoneticPr fontId="34" type="noConversion"/>
  </si>
  <si>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부당사용이익을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4" type="noConversion"/>
  </si>
  <si>
    <t>제21조 (계약만료 전 할부금 완납 시 절차)</t>
  </si>
  <si>
    <t>① 계약자는 계약만료일까지 이륜차를 운행할 수 있다.</t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</si>
  <si>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할부금을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2"/>
        <charset val="129"/>
      </rPr>
      <t>절차를</t>
    </r>
    <phoneticPr fontId="34" type="noConversion"/>
  </si>
  <si>
    <r>
      <rPr>
        <sz val="8"/>
        <color rgb="FF2B2B2B"/>
        <rFont val="맑은 고딕"/>
        <family val="3"/>
        <charset val="129"/>
      </rPr>
      <t>진행한다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</si>
  <si>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사용폐지를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 등 추가</t>
    </r>
    <phoneticPr fontId="34" type="noConversion"/>
  </si>
  <si>
    <r>
      <rPr>
        <sz val="8"/>
        <color rgb="FF2B2B2B"/>
        <rFont val="맑은 고딕"/>
        <family val="3"/>
        <charset val="129"/>
      </rPr>
      <t>환급은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34" type="noConversion"/>
  </si>
  <si>
    <t>제22조 (변제충당 순서)</t>
  </si>
  <si>
    <t>② 연체이자가 있는 경우 연체이자, 지연손해금, 위약금, 원금의 순으로 충당한다.</t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</si>
  <si>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 기준</t>
    </r>
    <phoneticPr fontId="34" type="noConversion"/>
  </si>
  <si>
    <r>
      <rPr>
        <sz val="8"/>
        <color rgb="FF2B2B2B"/>
        <rFont val="맑은 고딕"/>
        <family val="3"/>
        <charset val="129"/>
      </rPr>
      <t>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</si>
  <si>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충당되며, 타 계</t>
    </r>
    <phoneticPr fontId="34" type="noConversion"/>
  </si>
  <si>
    <r>
      <rPr>
        <sz val="8"/>
        <color rgb="FF2B2B2B"/>
        <rFont val="맑은 고딕"/>
        <family val="3"/>
        <charset val="129"/>
      </rPr>
      <t>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Arial"/>
        <family val="2"/>
      </rPr>
      <t>.</t>
    </r>
    <phoneticPr fontId="34" type="noConversion"/>
  </si>
  <si>
    <t>제23조 (세금계산서 발급)</t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</si>
  <si>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연대보증인의 사</t>
    </r>
    <phoneticPr fontId="34" type="noConversion"/>
  </si>
  <si>
    <r>
      <rPr>
        <sz val="8"/>
        <color rgb="FF2B2B2B"/>
        <rFont val="맑은 고딕"/>
        <family val="3"/>
        <charset val="129"/>
      </rPr>
      <t>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세금계산서를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 현금영수증</t>
    </r>
    <phoneticPr fontId="34" type="noConversion"/>
  </si>
  <si>
    <r>
      <rPr>
        <sz val="8"/>
        <color rgb="FF2B2B2B"/>
        <rFont val="맑은 고딕"/>
        <family val="3"/>
        <charset val="129"/>
      </rPr>
      <t>증을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</si>
  <si>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상호</t>
    </r>
    <phoneticPr fontId="34" type="noConversion"/>
  </si>
  <si>
    <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</si>
  <si>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34" type="noConversion"/>
  </si>
  <si>
    <t>제24조 (약관에 정하지 않은 사항)</t>
  </si>
  <si>
    <t>본 계약에서 정하지 아니한 사항에 관하여는 관계 법령 및 회사의 관련 규정을 따른다.</t>
  </si>
  <si>
    <t>제25조 (준거법 및 관할)</t>
  </si>
  <si>
    <t>본 계약은 대한민국 법률에 따라 해석·적용하며, 본 계약과 관련하여 분쟁이 발생하는 경우 회사</t>
  </si>
  <si>
    <t>의 계약 이행 지점 소재지를 관할하는 법원을 전속 관할 법원으로 한다.</t>
  </si>
  <si>
    <t>제26조 (차량 평가 및 감가 기준)</t>
  </si>
  <si>
    <t>계약 만료 또는 해지로 이륜차가 회사에 반환된 경우, 회사는 반환된 이륜차의 상태를 평가하여</t>
  </si>
  <si>
    <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산정기준</t>
    </r>
    <phoneticPr fontId="34" type="noConversion"/>
  </si>
  <si>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같다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</si>
  <si>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커버류의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4%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</si>
  <si>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: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부위당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감가율</t>
    </r>
    <r>
      <rPr>
        <sz val="8"/>
        <color rgb="FF2B2B2B"/>
        <rFont val="Arial"/>
        <family val="2"/>
      </rPr>
      <t xml:space="preserve"> 6%</t>
    </r>
    <r>
      <rPr>
        <sz val="8"/>
        <color rgb="FF2B2B2B"/>
        <rFont val="맑은 고딕"/>
        <family val="3"/>
        <charset val="129"/>
      </rPr>
      <t>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</si>
  <si>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판금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작업이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>: 30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~ 50</t>
    </r>
    <r>
      <rPr>
        <sz val="8"/>
        <color rgb="FF2B2B2B"/>
        <rFont val="맑은 고딕"/>
        <family val="3"/>
        <charset val="129"/>
      </rPr>
      <t>만원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Arial"/>
        <family val="2"/>
      </rPr>
      <t>.</t>
    </r>
    <phoneticPr fontId="34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</si>
  <si>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1</t>
    </r>
    <r>
      <rPr>
        <sz val="8"/>
        <color rgb="FF2B2B2B"/>
        <rFont val="맑은 고딕"/>
        <family val="3"/>
        <charset val="129"/>
      </rPr>
      <t>호부터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호까지의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불구하고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경우, 회사는</t>
    </r>
    <phoneticPr fontId="34" type="noConversion"/>
  </si>
  <si>
    <r>
      <rPr>
        <sz val="8"/>
        <color rgb="FF2B2B2B"/>
        <rFont val="맑은 고딕"/>
        <family val="3"/>
        <charset val="129"/>
      </rPr>
      <t>실비를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34" type="noConversion"/>
  </si>
  <si>
    <t>이륜차 할부판매 계약서</t>
    <phoneticPr fontId="34" type="noConversion"/>
  </si>
  <si>
    <t>⑤ 운행 중 사고로 보험사가 회사에 구상금을 청구하거나 보험 보장 범위를 초과하는 손해가 발생</t>
    <phoneticPr fontId="34" type="noConversion"/>
  </si>
  <si>
    <t>한 경우, 계약자는 이를 인지한 즉시 회사에 고지하여야 한다. 보험사가 회사에 구상금을 청구한 경</t>
    <phoneticPr fontId="34" type="noConversion"/>
  </si>
  <si>
    <t>우 계약자는 통보 후 7일 이내에 그 전액을 회사에 변제하여야 한다.</t>
    <phoneticPr fontId="34" type="noConversion"/>
  </si>
  <si>
    <t>⑥ 계약자가 전항의 고지·변제 의무를 위반한 경우 회사는 본 계약을 즉시 해지하고 차량을 회수할</t>
    <phoneticPr fontId="34" type="noConversion"/>
  </si>
  <si>
    <t>수 있으며, 회사가 부득이 직접 배상한 경우 그 금액 및 관련 비용 일체를 즉시 회사에 상환한다.</t>
    <phoneticPr fontId="34" type="noConversion"/>
  </si>
  <si>
    <t>후에는 계약자는 이륜차의 하자·결함을 이유로 할부금 지급의무를 거부할 수 없다.</t>
    <phoneticPr fontId="34" type="noConversion"/>
  </si>
  <si>
    <r>
      <t>⑥ "연대보증인"은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1면에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대표자를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말하며, 계약자와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 본 계약</t>
    </r>
    <phoneticPr fontId="34" type="noConversion"/>
  </si>
  <si>
    <t>상 채무를 부담함과 동시에 세금계산서 수취 대상을 겸한다.</t>
    <phoneticPr fontId="34" type="noConversion"/>
  </si>
  <si>
    <t>에게 사용, (2) 보험연령 미달자 운전 사실 발견, (3) 정해진 입금일에 할부금 미납 및 14일 이상 지</t>
    <phoneticPr fontId="34" type="noConversion"/>
  </si>
  <si>
    <t>련 제비용을 즉시 상환하여야 한다.</t>
    <phoneticPr fontId="34" type="noConversion"/>
  </si>
  <si>
    <t xml:space="preserve">험료·자기부담금·구상금·면책금·사고처리비용 등 보험과 관련된 일체의 비용은 계약자가 전적으로 </t>
    <phoneticPr fontId="34" type="noConversion"/>
  </si>
  <si>
    <t>⑤ "계약자"는 본 계약 제1면에 "계약자"로 기재된 사업장을 말하며, 본 계약상 주채무자이다.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</si>
</sst>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3864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i/>
      <sz val="8"/>
      <color rgb="FF595959"/>
      <name val="DejaVu Sans"/>
      <family val="2"/>
    </font>
    <font>
      <i/>
      <sz val="8"/>
      <color rgb="FF595959"/>
      <name val="DejaVu Sans"/>
      <family val="2"/>
      <charset val="1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DejaVu Sans"/>
      <family val="2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1"/>
      <charset val="1"/>
    </font>
    <font>
      <b/>
      <sz val="9"/>
      <color rgb="FF1F3864"/>
      <name val="DejaVu Sans"/>
      <family val="3"/>
      <charset val="129"/>
    </font>
    <font>
      <b/>
      <sz val="10"/>
      <color rgb="FF1F3864"/>
      <name val="맑은 고딕"/>
      <family val="3"/>
      <charset val="129"/>
    </font>
    <font>
      <sz val="10"/>
      <name val="DejaVu Sans"/>
      <family val="2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rgb="FF2B2B2B"/>
      <name val="돋움"/>
      <family val="3"/>
      <charset val="129"/>
    </font>
    <font>
      <sz val="8"/>
      <color theme="1"/>
      <name val="Calibri"/>
      <family val="2"/>
      <charset val="129"/>
    </font>
    <font>
      <b/>
      <sz val="18"/>
      <color rgb="FFFFFFFF"/>
      <name val="맑은 고딕"/>
      <family val="3"/>
      <charset val="129"/>
    </font>
    <font>
      <i/>
      <sz val="8"/>
      <color rgb="FF595959"/>
      <name val="DejaVu Sans"/>
      <family val="3"/>
      <charset val="129"/>
    </font>
    <font>
      <sz val="10"/>
      <color rgb="FF000000"/>
      <name val="DejaVu Sans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Arial"/>
      <family val="2"/>
    </font>
    <font>
      <b/>
      <sz val="9"/>
      <color rgb="FF1F3864"/>
      <name val="Arial"/>
      <family val="2"/>
    </font>
    <font>
      <sz val="8"/>
      <color rgb="FF2B2B2B"/>
      <name val="돋움"/>
      <family val="1"/>
      <charset val="129"/>
    </font>
    <font>
      <sz val="8"/>
      <color theme="1"/>
      <name val="DejaVu Sans"/>
      <family val="1"/>
    </font>
    <font>
      <sz val="8"/>
      <color theme="1"/>
      <name val="Segoe UI Symbol"/>
      <family val="1"/>
    </font>
    <font>
      <sz val="8"/>
      <color theme="1"/>
      <name val="돋움"/>
      <family val="3"/>
      <charset val="129"/>
    </font>
    <font>
      <sz val="8"/>
      <color rgb="FF2B2B2B"/>
      <name val="맑은 고딕"/>
      <family val="2"/>
      <charset val="129"/>
    </font>
    <font>
      <sz val="8"/>
      <color theme="1"/>
      <name val="DejaVu Sans"/>
      <family val="3"/>
      <charset val="129"/>
    </font>
    <font>
      <sz val="8"/>
      <color rgb="FF2B2B2B"/>
      <name val="DejaVu Sans"/>
      <family val="3"/>
    </font>
  </fonts>
  <fills count="12">
    <fill>
      <patternFill patternType="none"/>
    </fill>
    <fill>
      <patternFill patternType="gray125"/>
    </fill>
    <fill>
      <patternFill patternType="solid">
        <fgColor rgb="FF2E5597"/>
        <bgColor rgb="FF1F3864"/>
      </patternFill>
    </fill>
    <fill>
      <patternFill patternType="solid">
        <fgColor rgb="FF1F3864"/>
        <bgColor rgb="FF2B2B2B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AF0F8"/>
        <bgColor rgb="FFE8EEF7"/>
      </patternFill>
    </fill>
    <fill>
      <patternFill patternType="solid">
        <fgColor rgb="FFFFF4E3"/>
        <bgColor rgb="FFFFF2CC"/>
      </patternFill>
    </fill>
    <fill>
      <patternFill patternType="solid">
        <fgColor rgb="FFF7F9FC"/>
        <bgColor rgb="FFFFFFFF"/>
      </patternFill>
    </fill>
    <fill>
      <patternFill patternType="solid">
        <fgColor rgb="FFE8EEF7"/>
        <bgColor rgb="FFEAF0F8"/>
      </patternFill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0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 indent="1"/>
    </xf>
    <xf numFmtId="0" fontId="25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25" fillId="6" borderId="0" xfId="0" applyFont="1" applyFill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30" fillId="0" borderId="0" xfId="0" applyFont="1" applyAlignment="1">
      <alignment horizontal="left" vertical="top" wrapText="1" indent="1"/>
    </xf>
    <xf numFmtId="0" fontId="31" fillId="6" borderId="0" xfId="0" applyFont="1" applyFill="1" applyAlignment="1">
      <alignment horizontal="left" vertical="center" wrapText="1" indent="1"/>
    </xf>
    <xf numFmtId="0" fontId="33" fillId="0" borderId="0" xfId="0" applyFont="1" applyAlignment="1">
      <alignment horizontal="left" vertical="center" indent="1"/>
    </xf>
    <xf numFmtId="0" fontId="37" fillId="0" borderId="0" xfId="0" applyFont="1" applyAlignment="1">
      <alignment horizontal="left" vertical="top" wrapText="1" indent="1"/>
    </xf>
    <xf numFmtId="0" fontId="24" fillId="3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left" vertical="top" wrapText="1" indent="1"/>
    </xf>
    <xf numFmtId="0" fontId="37" fillId="6" borderId="0" xfId="0" applyFont="1" applyFill="1" applyAlignment="1">
      <alignment horizontal="left" vertical="top" wrapText="1" indent="1"/>
    </xf>
    <xf numFmtId="0" fontId="39" fillId="0" borderId="0" xfId="0" applyFont="1"/>
    <xf numFmtId="0" fontId="1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46" fillId="0" borderId="0" xfId="0" applyFont="1" applyAlignment="1">
      <alignment horizontal="left" vertical="top" wrapText="1" indent="1"/>
    </xf>
    <xf numFmtId="0" fontId="22" fillId="6" borderId="0" xfId="0" applyFont="1" applyFill="1" applyAlignment="1">
      <alignment horizontal="left" vertical="center" wrapText="1" indent="1"/>
    </xf>
    <xf numFmtId="0" fontId="49" fillId="0" borderId="0" xfId="0" applyFont="1" applyAlignment="1">
      <alignment horizontal="left" vertical="top" wrapText="1" indent="1"/>
    </xf>
    <xf numFmtId="0" fontId="51" fillId="0" borderId="0" xfId="0" applyFont="1" applyAlignment="1">
      <alignment horizontal="left" vertical="top" wrapText="1" indent="1"/>
    </xf>
    <xf numFmtId="0" fontId="24" fillId="3" borderId="0" xfId="0" applyFont="1" applyFill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 indent="1"/>
    </xf>
    <xf numFmtId="0" fontId="2" fillId="5" borderId="7" xfId="0" applyFont="1" applyFill="1" applyBorder="1" applyAlignment="1">
      <alignment horizontal="left" vertical="center" wrapText="1" indent="1"/>
    </xf>
    <xf numFmtId="0" fontId="3" fillId="5" borderId="6" xfId="0" applyFont="1" applyFill="1" applyBorder="1" applyAlignment="1">
      <alignment horizontal="left" vertical="center" wrapText="1" indent="1"/>
    </xf>
    <xf numFmtId="0" fontId="3" fillId="5" borderId="8" xfId="0" applyFont="1" applyFill="1" applyBorder="1" applyAlignment="1">
      <alignment horizontal="left" vertical="center" wrapText="1" indent="1"/>
    </xf>
    <xf numFmtId="0" fontId="3" fillId="5" borderId="7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 indent="1"/>
    </xf>
    <xf numFmtId="0" fontId="23" fillId="5" borderId="1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 indent="1"/>
    </xf>
    <xf numFmtId="0" fontId="17" fillId="7" borderId="1" xfId="0" applyFont="1" applyFill="1" applyBorder="1" applyAlignment="1">
      <alignment horizontal="left" vertical="center" wrapText="1" indent="1"/>
    </xf>
    <xf numFmtId="0" fontId="17" fillId="5" borderId="1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7" borderId="6" xfId="0" applyFont="1" applyFill="1" applyBorder="1" applyAlignment="1">
      <alignment horizontal="left" vertical="center" wrapText="1" indent="1"/>
    </xf>
    <xf numFmtId="0" fontId="13" fillId="7" borderId="8" xfId="0" applyFont="1" applyFill="1" applyBorder="1" applyAlignment="1">
      <alignment horizontal="left" vertical="center" wrapText="1" indent="1"/>
    </xf>
    <xf numFmtId="0" fontId="13" fillId="7" borderId="7" xfId="0" applyFont="1" applyFill="1" applyBorder="1" applyAlignment="1">
      <alignment horizontal="left" vertical="center" wrapText="1" indent="1"/>
    </xf>
    <xf numFmtId="0" fontId="12" fillId="10" borderId="0" xfId="0" applyFont="1" applyFill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40" fillId="11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 indent="1"/>
    </xf>
    <xf numFmtId="0" fontId="10" fillId="5" borderId="0" xfId="0" applyFont="1" applyFill="1" applyAlignment="1">
      <alignment horizontal="right" vertical="center" wrapText="1"/>
    </xf>
    <xf numFmtId="0" fontId="11" fillId="5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59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60428_&#49688;&#50896;&#51088;&#47308;\&#44228;&#50557;&#49436;\260428_&#54620;&#47784;&#49324;_&#52293;&#51076;&#47116;&#53944;_&#44228;&#50557;&#49436;_v2%20(&#50756;&#47308;).xlsx" TargetMode="External"/><Relationship Id="rId1" Type="http://schemas.openxmlformats.org/officeDocument/2006/relationships/externalLinkPath" Target="file:///E:\260428_&#49688;&#50896;&#51088;&#47308;\&#44228;&#50557;&#49436;\260428_&#54620;&#47784;&#49324;_&#52293;&#51076;&#47116;&#53944;_&#44228;&#50557;&#49436;_v2%20(&#50756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계약리스트"/>
      <sheetName val="계약서"/>
      <sheetName val="이용약관"/>
    </sheetNames>
    <sheetDataSet>
      <sheetData sheetId="0">
        <row r="2">
          <cell r="A2">
            <v>1</v>
          </cell>
          <cell r="B2" t="str">
            <v>2026-04-24</v>
          </cell>
          <cell r="C2" t="str">
            <v>UHR150</v>
          </cell>
          <cell r="D2" t="str">
            <v>LWMTDKH95THJ00467</v>
          </cell>
          <cell r="E2" t="str">
            <v>1나88370</v>
          </cell>
          <cell r="F2" t="str">
            <v>화이트</v>
          </cell>
          <cell r="G2" t="str">
            <v>비포함</v>
          </cell>
          <cell r="H2" t="str">
            <v>만30세</v>
          </cell>
          <cell r="I2">
            <v>26400</v>
          </cell>
          <cell r="J2">
            <v>365</v>
          </cell>
          <cell r="K2">
            <v>300000</v>
          </cell>
          <cell r="L2" t="str">
            <v>중앙 오토바이 가수점</v>
          </cell>
          <cell r="M2" t="str">
            <v>737-55-00719</v>
          </cell>
          <cell r="N2" t="str">
            <v>안종식</v>
          </cell>
          <cell r="O2" t="str">
            <v>경기도 오산시 가장로 763, 1층 5,6호(가수동)</v>
          </cell>
          <cell r="P2" t="str">
            <v>010-5813-7336</v>
          </cell>
          <cell r="Q2" t="str">
            <v>jungang@example.com</v>
          </cell>
          <cell r="R2" t="str">
            <v>820530-1046518</v>
          </cell>
          <cell r="S2" t="str">
            <v>010-5813-7336</v>
          </cell>
          <cell r="T2" t="str">
            <v>경기도 오산시 궐동로 77, 1층(궐동)</v>
          </cell>
          <cell r="U2" t="str">
            <v>렌트</v>
          </cell>
          <cell r="V2" t="str">
            <v>인수형</v>
          </cell>
          <cell r="W2" t="str">
            <v>계좌이체</v>
          </cell>
          <cell r="X2" t="str">
            <v>기업은행 929-028075-04-011 포어스바이크(유)</v>
          </cell>
          <cell r="Y2" t="str">
            <v>월2회(15일,말일)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Y2"/>
    </sheetView>
  </sheetViews>
  <sheetFormatPr defaultColWidth="8.6640625" defaultRowHeight="14.4"/>
  <cols>
    <col min="1" max="30" width="18" customWidth="1"/>
  </cols>
  <sheetData>
    <row r="1" spans="1:30" ht="30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24</v>
      </c>
      <c r="H1" s="24" t="s">
        <v>95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32</v>
      </c>
      <c r="N1" s="24" t="s">
        <v>33</v>
      </c>
      <c r="O1" s="24" t="s">
        <v>96</v>
      </c>
      <c r="P1" s="24" t="s">
        <v>97</v>
      </c>
      <c r="Q1" s="24" t="s">
        <v>10</v>
      </c>
      <c r="R1" s="24" t="s">
        <v>98</v>
      </c>
      <c r="S1" s="24" t="s">
        <v>99</v>
      </c>
      <c r="T1" s="24" t="s">
        <v>100</v>
      </c>
      <c r="U1" s="24" t="s">
        <v>11</v>
      </c>
      <c r="V1" s="24" t="s">
        <v>12</v>
      </c>
      <c r="W1" s="24" t="s">
        <v>13</v>
      </c>
      <c r="X1" s="24" t="s">
        <v>14</v>
      </c>
      <c r="Y1" s="24" t="s">
        <v>15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</row>
    <row r="2" spans="1:30" ht="30.75" customHeight="1">
      <c r="A2" s="3">
        <v>1</v>
      </c>
      <c r="B2" s="3" t="s">
        <v>101</v>
      </c>
      <c r="C2" s="3" t="s">
        <v>102</v>
      </c>
      <c r="D2" s="3" t="s">
        <v>103</v>
      </c>
      <c r="E2" s="3" t="s">
        <v>104</v>
      </c>
      <c r="F2" s="4" t="s">
        <v>105</v>
      </c>
      <c r="G2" s="4" t="s">
        <v>106</v>
      </c>
      <c r="H2" s="4" t="s">
        <v>107</v>
      </c>
      <c r="I2" s="3">
        <v>26400</v>
      </c>
      <c r="J2" s="3">
        <v>365</v>
      </c>
      <c r="K2" s="3">
        <v>300000</v>
      </c>
      <c r="L2" s="4" t="s">
        <v>108</v>
      </c>
      <c r="M2" s="3" t="s">
        <v>109</v>
      </c>
      <c r="N2" s="4" t="s">
        <v>110</v>
      </c>
      <c r="O2" s="4" t="s">
        <v>111</v>
      </c>
      <c r="P2" s="3" t="s">
        <v>112</v>
      </c>
      <c r="Q2" s="3" t="s">
        <v>113</v>
      </c>
      <c r="R2" s="3" t="s">
        <v>114</v>
      </c>
      <c r="S2" s="3" t="s">
        <v>112</v>
      </c>
      <c r="T2" s="4" t="s">
        <v>115</v>
      </c>
      <c r="U2" s="4" t="s">
        <v>116</v>
      </c>
      <c r="V2" s="4" t="s">
        <v>17</v>
      </c>
      <c r="W2" s="4" t="s">
        <v>18</v>
      </c>
      <c r="X2" s="4" t="s">
        <v>117</v>
      </c>
      <c r="Y2" s="4" t="s">
        <v>118</v>
      </c>
      <c r="Z2" s="4" t="s">
        <v>16</v>
      </c>
      <c r="AA2" s="4" t="s">
        <v>17</v>
      </c>
      <c r="AB2" s="4" t="s">
        <v>18</v>
      </c>
      <c r="AC2" s="4" t="s">
        <v>19</v>
      </c>
      <c r="AD2" s="4" t="s">
        <v>20</v>
      </c>
    </row>
  </sheetData>
  <phoneticPr fontId="34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6"/>
  <sheetViews>
    <sheetView zoomScaleNormal="100" zoomScaleSheetLayoutView="100" workbookViewId="0">
      <selection activeCell="B15" sqref="B15"/>
    </sheetView>
  </sheetViews>
  <sheetFormatPr defaultColWidth="8.6640625" defaultRowHeight="14.4"/>
  <cols>
    <col min="1" max="1" width="1.5546875" customWidth="1"/>
    <col min="2" max="3" width="10" customWidth="1"/>
    <col min="4" max="4" width="17.44140625" customWidth="1"/>
    <col min="5" max="5" width="11" customWidth="1"/>
    <col min="6" max="6" width="16" customWidth="1"/>
    <col min="7" max="7" width="10" customWidth="1"/>
    <col min="8" max="8" width="16" customWidth="1"/>
    <col min="9" max="9" width="10" customWidth="1"/>
    <col min="10" max="10" width="20.5546875" customWidth="1"/>
    <col min="11" max="11" width="2.109375" customWidth="1"/>
    <col min="12" max="12" width="6" customWidth="1"/>
  </cols>
  <sheetData>
    <row r="1" spans="1:12" ht="7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6" t="s">
        <v>21</v>
      </c>
    </row>
    <row r="2" spans="1:12" ht="48" customHeight="1">
      <c r="A2" s="5"/>
      <c r="B2" s="58" t="s">
        <v>327</v>
      </c>
      <c r="C2" s="59"/>
      <c r="D2" s="59"/>
      <c r="E2" s="59"/>
      <c r="F2" s="59"/>
      <c r="G2" s="59"/>
      <c r="H2" s="59"/>
      <c r="I2" s="59"/>
      <c r="J2" s="59"/>
      <c r="K2" s="5"/>
      <c r="L2" s="7">
        <v>1</v>
      </c>
    </row>
    <row r="3" spans="1:12" ht="24" customHeight="1">
      <c r="A3" s="5"/>
      <c r="B3" s="60" t="s">
        <v>22</v>
      </c>
      <c r="C3" s="60"/>
      <c r="D3" s="60"/>
      <c r="E3" s="60"/>
      <c r="F3" s="61" t="s">
        <v>0</v>
      </c>
      <c r="G3" s="61"/>
      <c r="H3" s="61"/>
      <c r="I3" s="62" t="str">
        <f>IFERROR(TEXT($L$2,"0000"),"")</f>
        <v>0001</v>
      </c>
      <c r="J3" s="62"/>
      <c r="K3" s="5"/>
      <c r="L3" s="5"/>
    </row>
    <row r="4" spans="1:12" ht="7.5" customHeight="1">
      <c r="A4" s="5"/>
      <c r="B4" s="5"/>
      <c r="C4" s="5"/>
      <c r="D4" s="5"/>
      <c r="E4" s="25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56" t="s">
        <v>23</v>
      </c>
      <c r="C5" s="56"/>
      <c r="D5" s="56"/>
      <c r="E5" s="56"/>
      <c r="F5" s="56"/>
      <c r="G5" s="56"/>
      <c r="H5" s="56"/>
      <c r="I5" s="56"/>
      <c r="J5" s="56"/>
      <c r="K5" s="5"/>
      <c r="L5" s="5"/>
    </row>
    <row r="6" spans="1:12" ht="21.75" customHeight="1">
      <c r="A6" s="5"/>
      <c r="B6" s="26" t="s">
        <v>2</v>
      </c>
      <c r="C6" s="51" t="str">
        <f>IFERROR(IF(VLOOKUP($L$2,[1]계약리스트!$A$2:$AD$10000,3,0)="","",VLOOKUP($L$2,[1]계약리스트!$A$2:$AD$10000,3,0)),"")</f>
        <v>UHR150</v>
      </c>
      <c r="D6" s="51"/>
      <c r="E6" s="26" t="s">
        <v>4</v>
      </c>
      <c r="F6" s="51" t="str">
        <f>IFERROR(IF(VLOOKUP($L$2,[1]계약리스트!$A$2:$AD$10000,5,0)="","",VLOOKUP($L$2,[1]계약리스트!$A$2:$AD$10000,5,0)),"")</f>
        <v>1나88370</v>
      </c>
      <c r="G6" s="51"/>
      <c r="H6" s="26" t="s">
        <v>5</v>
      </c>
      <c r="I6" s="51" t="str">
        <f>IFERROR(IF(VLOOKUP($L$2,[1]계약리스트!$A$2:$AD$10000,6,0)="","",VLOOKUP($L$2,[1]계약리스트!$A$2:$AD$10000,6,0)),"")</f>
        <v>화이트</v>
      </c>
      <c r="J6" s="51"/>
      <c r="K6" s="5"/>
      <c r="L6" s="5"/>
    </row>
    <row r="7" spans="1:12" ht="21.75" customHeight="1">
      <c r="A7" s="5"/>
      <c r="B7" s="26" t="s">
        <v>3</v>
      </c>
      <c r="C7" s="51" t="str">
        <f>IFERROR(IF(VLOOKUP($L$2,[1]계약리스트!$A$2:$AD$10000,4,0)="","",VLOOKUP($L$2,[1]계약리스트!$A$2:$AD$10000,4,0)),"")</f>
        <v>LWMTDKH95THJ00467</v>
      </c>
      <c r="D7" s="51"/>
      <c r="E7" s="26" t="s">
        <v>24</v>
      </c>
      <c r="F7" s="51" t="str">
        <f>IFERROR(IF(VLOOKUP($L$2,[1]계약리스트!$A$2:$AD$10000,7,0)="","",VLOOKUP($L$2,[1]계약리스트!$A$2:$AD$10000,7,0)),"")</f>
        <v>비포함</v>
      </c>
      <c r="G7" s="51"/>
      <c r="H7" s="26" t="s">
        <v>1</v>
      </c>
      <c r="I7" s="51" t="str">
        <f>IFERROR(IF(VLOOKUP($L$2,[1]계약리스트!$A$2:$AD$10000,2,0)="","",VLOOKUP($L$2,[1]계약리스트!$A$2:$AD$10000,2,0)),"")</f>
        <v>2026-04-24</v>
      </c>
      <c r="J7" s="51"/>
      <c r="K7" s="5"/>
      <c r="L7" s="5"/>
    </row>
    <row r="8" spans="1:12" ht="7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5.5" customHeight="1">
      <c r="A9" s="5"/>
      <c r="B9" s="57" t="s">
        <v>25</v>
      </c>
      <c r="C9" s="57"/>
      <c r="D9" s="57"/>
      <c r="E9" s="57"/>
      <c r="F9" s="57"/>
      <c r="G9" s="57"/>
      <c r="H9" s="57"/>
      <c r="I9" s="57"/>
      <c r="J9" s="57"/>
      <c r="K9" s="5"/>
      <c r="L9" s="5"/>
    </row>
    <row r="10" spans="1:12" ht="21.75" customHeight="1">
      <c r="A10" s="5"/>
      <c r="B10" s="26" t="s">
        <v>31</v>
      </c>
      <c r="C10" s="34" t="str">
        <f>IFERROR(IF(VLOOKUP($L$2,[1]계약리스트!$A$2:$AD$10000,12,0)="","",VLOOKUP($L$2,[1]계약리스트!$A$2:$AD$10000,12,0)),"")</f>
        <v>중앙 오토바이 가수점</v>
      </c>
      <c r="D10" s="35"/>
      <c r="E10" s="26" t="s">
        <v>32</v>
      </c>
      <c r="F10" s="34" t="str">
        <f>IFERROR(IF(VLOOKUP($L$2,[1]계약리스트!$A$2:$AD$10000,13,0)="","",VLOOKUP($L$2,[1]계약리스트!$A$2:$AD$10000,13,0)),"")</f>
        <v>737-55-00719</v>
      </c>
      <c r="G10" s="35"/>
      <c r="H10" s="26" t="s">
        <v>33</v>
      </c>
      <c r="I10" s="34" t="str">
        <f>IFERROR(IF(VLOOKUP($L$2,[1]계약리스트!$A$2:$AD$10000,14,0)="","",VLOOKUP($L$2,[1]계약리스트!$A$2:$AD$10000,14,0)),"")</f>
        <v>안종식</v>
      </c>
      <c r="J10" s="35"/>
      <c r="K10" s="5"/>
      <c r="L10" s="5"/>
    </row>
    <row r="11" spans="1:12" ht="21.75" customHeight="1">
      <c r="A11" s="5"/>
      <c r="B11" s="26" t="s">
        <v>28</v>
      </c>
      <c r="C11" s="34" t="str">
        <f>IFERROR(IF(VLOOKUP($L$2,[1]계약리스트!$A$2:$AD$10000,16,0)="","",VLOOKUP($L$2,[1]계약리스트!$A$2:$AD$10000,16,0)),"")</f>
        <v>010-5813-7336</v>
      </c>
      <c r="D11" s="35"/>
      <c r="E11" s="26" t="s">
        <v>96</v>
      </c>
      <c r="F11" s="36" t="str">
        <f>IFERROR(IF(VLOOKUP($L$2,[1]계약리스트!$A$2:$AD$10000,15,0)="","",VLOOKUP($L$2,[1]계약리스트!$A$2:$AD$10000,15,0)),"")</f>
        <v>경기도 오산시 가장로 763, 1층 5,6호(가수동)</v>
      </c>
      <c r="G11" s="37"/>
      <c r="H11" s="37"/>
      <c r="I11" s="37"/>
      <c r="J11" s="38"/>
      <c r="K11" s="5"/>
      <c r="L11" s="5"/>
    </row>
    <row r="12" spans="1:12" ht="19.5" customHeight="1">
      <c r="A12" s="5"/>
      <c r="B12" s="53" t="s">
        <v>119</v>
      </c>
      <c r="C12" s="54"/>
      <c r="D12" s="54"/>
      <c r="E12" s="54"/>
      <c r="F12" s="54"/>
      <c r="G12" s="54"/>
      <c r="H12" s="54"/>
      <c r="I12" s="54"/>
      <c r="J12" s="55"/>
      <c r="K12" s="5"/>
      <c r="L12" s="5"/>
    </row>
    <row r="13" spans="1:12" ht="7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25.5" customHeight="1">
      <c r="A14" s="5"/>
      <c r="B14" s="56" t="s">
        <v>30</v>
      </c>
      <c r="C14" s="56"/>
      <c r="D14" s="56"/>
      <c r="E14" s="56"/>
      <c r="F14" s="56"/>
      <c r="G14" s="56"/>
      <c r="H14" s="56"/>
      <c r="I14" s="56"/>
      <c r="J14" s="56"/>
      <c r="K14" s="5"/>
      <c r="L14" s="5"/>
    </row>
    <row r="15" spans="1:12" ht="21.75" customHeight="1">
      <c r="A15" s="5"/>
      <c r="B15" s="26" t="s">
        <v>26</v>
      </c>
      <c r="C15" s="51" t="str">
        <f>IFERROR(IF(VLOOKUP($L$2,[1]계약리스트!$A$2:$AD$10000,14,0)="","",VLOOKUP($L$2,[1]계약리스트!$A$2:$AD$10000,14,0)),"")</f>
        <v>안종식</v>
      </c>
      <c r="D15" s="51"/>
      <c r="E15" s="26" t="s">
        <v>27</v>
      </c>
      <c r="F15" s="51" t="str">
        <f>IFERROR(IF(VLOOKUP($L$2,[1]계약리스트!$A$2:$AD$10000,18,0)="","",VLOOKUP($L$2,[1]계약리스트!$A$2:$AD$10000,18,0)),"")</f>
        <v>820530-1046518</v>
      </c>
      <c r="G15" s="51"/>
      <c r="H15" s="26" t="s">
        <v>28</v>
      </c>
      <c r="I15" s="51" t="str">
        <f>IFERROR(IF(VLOOKUP($L$2,[1]계약리스트!$A$2:$AD$10000,19,0)="","",VLOOKUP($L$2,[1]계약리스트!$A$2:$AD$10000,19,0)),"")</f>
        <v>010-5813-7336</v>
      </c>
      <c r="J15" s="51"/>
      <c r="K15" s="5"/>
      <c r="L15" s="5"/>
    </row>
    <row r="16" spans="1:12" ht="21.75" customHeight="1">
      <c r="A16" s="5"/>
      <c r="B16" s="26" t="s">
        <v>29</v>
      </c>
      <c r="C16" s="50" t="str">
        <f>IFERROR(IF(VLOOKUP($L$2,[1]계약리스트!$A$2:$AD$10000,20,0)="","",VLOOKUP($L$2,[1]계약리스트!$A$2:$AD$10000,20,0)),"")</f>
        <v>경기도 오산시 궐동로 77, 1층(궐동)</v>
      </c>
      <c r="D16" s="50"/>
      <c r="E16" s="50"/>
      <c r="F16" s="50"/>
      <c r="G16" s="50"/>
      <c r="H16" s="50"/>
      <c r="I16" s="50"/>
      <c r="J16" s="50"/>
      <c r="K16" s="5"/>
      <c r="L16" s="5"/>
    </row>
    <row r="17" spans="1:12" ht="21.75" customHeight="1">
      <c r="A17" s="5"/>
      <c r="B17" s="52" t="s">
        <v>120</v>
      </c>
      <c r="C17" s="52"/>
      <c r="D17" s="52"/>
      <c r="E17" s="52"/>
      <c r="F17" s="52"/>
      <c r="G17" s="52"/>
      <c r="H17" s="52"/>
      <c r="I17" s="52"/>
      <c r="J17" s="52"/>
      <c r="K17" s="5"/>
      <c r="L17" s="5"/>
    </row>
    <row r="18" spans="1:12" ht="7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5.5" customHeight="1">
      <c r="A19" s="5"/>
      <c r="B19" s="39" t="s">
        <v>34</v>
      </c>
      <c r="C19" s="39"/>
      <c r="D19" s="39"/>
      <c r="E19" s="39"/>
      <c r="F19" s="39"/>
      <c r="G19" s="39"/>
      <c r="H19" s="39"/>
      <c r="I19" s="39"/>
      <c r="J19" s="39"/>
      <c r="K19" s="5"/>
      <c r="L19" s="5"/>
    </row>
    <row r="20" spans="1:12" ht="21.75" customHeight="1">
      <c r="A20" s="5"/>
      <c r="B20" s="1" t="s">
        <v>11</v>
      </c>
      <c r="C20" s="51" t="str">
        <f>IFERROR(IF(VLOOKUP($L$2,계약리스트!$A$2:$AD$10000,21,0)="","",VLOOKUP($L$2,계약리스트!$A$2:$AD$10000,21,0)),"")</f>
        <v>렌트</v>
      </c>
      <c r="D20" s="51"/>
      <c r="E20" s="1" t="s">
        <v>12</v>
      </c>
      <c r="F20" s="51" t="str">
        <f>IFERROR(IF(VLOOKUP($L$2,계약리스트!$A$2:$AD$10000,27,0)="","",VLOOKUP($L$2,계약리스트!$A$2:$AD$10000,27,0)),"")</f>
        <v>인수형</v>
      </c>
      <c r="G20" s="51"/>
      <c r="H20" s="1" t="s">
        <v>121</v>
      </c>
      <c r="I20" s="51" t="str">
        <f>IFERROR(VLOOKUP($L$2,계약리스트!$A$2:$AD$10000,10,0)&amp;"일","")</f>
        <v>365일</v>
      </c>
      <c r="J20" s="51"/>
      <c r="K20" s="5"/>
      <c r="L20" s="5"/>
    </row>
    <row r="21" spans="1:12" ht="21.75" customHeight="1">
      <c r="A21" s="5"/>
      <c r="B21" s="1" t="s">
        <v>35</v>
      </c>
      <c r="C21" s="51" t="str">
        <f>IFERROR(TEXT(VLOOKUP($L$2,계약리스트!$A$2:$AD$10000,9,0),"#,##0")&amp;" 원","")</f>
        <v>26,400 원</v>
      </c>
      <c r="D21" s="51"/>
      <c r="E21" s="1" t="s">
        <v>8</v>
      </c>
      <c r="F21" s="51" t="str">
        <f>IFERROR(TEXT(VLOOKUP($L$2,계약리스트!$A$2:$AD$10000,11,0),"#,##0")&amp;" 원","")</f>
        <v>300,000 원</v>
      </c>
      <c r="G21" s="51"/>
      <c r="H21" s="1" t="s">
        <v>15</v>
      </c>
      <c r="I21" s="51" t="str">
        <f>IFERROR(IF(VLOOKUP($L$2,계약리스트!$A$2:$AD$10000,30,0)="","",VLOOKUP($L$2,계약리스트!$A$2:$AD$10000,30,0)),"")</f>
        <v>월2회(15일, 말일)</v>
      </c>
      <c r="J21" s="51"/>
      <c r="K21" s="5"/>
      <c r="L21" s="5"/>
    </row>
    <row r="22" spans="1:12" ht="21.75" customHeight="1">
      <c r="A22" s="5"/>
      <c r="B22" s="1" t="s">
        <v>13</v>
      </c>
      <c r="C22" s="50" t="s">
        <v>18</v>
      </c>
      <c r="D22" s="50"/>
      <c r="E22" s="1" t="s">
        <v>36</v>
      </c>
      <c r="F22" s="50" t="s">
        <v>37</v>
      </c>
      <c r="G22" s="50"/>
      <c r="H22" s="50"/>
      <c r="I22" s="50"/>
      <c r="J22" s="50"/>
      <c r="K22" s="5"/>
      <c r="L22" s="5"/>
    </row>
    <row r="23" spans="1:12" ht="21.75" customHeight="1">
      <c r="A23" s="5"/>
      <c r="B23" s="1" t="s">
        <v>14</v>
      </c>
      <c r="C23" s="50" t="str">
        <f>IFERROR(IF(VLOOKUP($L$2,[1]계약리스트!$A$2:$AD$10000,24,0)="","",VLOOKUP($L$2,[1]계약리스트!$A$2:$AD$10000,24,0)),"")</f>
        <v>기업은행 929-028075-04-011 포어스바이크(유)</v>
      </c>
      <c r="D23" s="50"/>
      <c r="E23" s="50"/>
      <c r="F23" s="50"/>
      <c r="G23" s="50"/>
      <c r="H23" s="50"/>
      <c r="I23" s="50"/>
      <c r="J23" s="50"/>
      <c r="K23" s="5"/>
      <c r="L23" s="5"/>
    </row>
    <row r="24" spans="1:12" ht="7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25.5" customHeight="1">
      <c r="A25" s="5"/>
      <c r="B25" s="39" t="s">
        <v>38</v>
      </c>
      <c r="C25" s="39"/>
      <c r="D25" s="39"/>
      <c r="E25" s="39"/>
      <c r="F25" s="39"/>
      <c r="G25" s="39"/>
      <c r="H25" s="39"/>
      <c r="I25" s="39"/>
      <c r="J25" s="39"/>
      <c r="K25" s="5"/>
      <c r="L25" s="5"/>
    </row>
    <row r="26" spans="1:12" ht="21.75" customHeight="1">
      <c r="A26" s="5"/>
      <c r="B26" s="1" t="s">
        <v>39</v>
      </c>
      <c r="C26" s="50" t="s">
        <v>22</v>
      </c>
      <c r="D26" s="50"/>
      <c r="E26" s="1" t="s">
        <v>32</v>
      </c>
      <c r="F26" s="51" t="s">
        <v>124</v>
      </c>
      <c r="G26" s="51"/>
      <c r="H26" s="1" t="s">
        <v>40</v>
      </c>
      <c r="I26" s="50" t="s">
        <v>41</v>
      </c>
      <c r="J26" s="50"/>
      <c r="K26" s="5"/>
      <c r="L26" s="5"/>
    </row>
    <row r="27" spans="1:12" ht="21.75" customHeight="1">
      <c r="A27" s="5"/>
      <c r="B27" s="1" t="s">
        <v>29</v>
      </c>
      <c r="C27" s="50" t="s">
        <v>122</v>
      </c>
      <c r="D27" s="50"/>
      <c r="E27" s="50"/>
      <c r="F27" s="50"/>
      <c r="G27" s="1" t="s">
        <v>42</v>
      </c>
      <c r="H27" s="51" t="s">
        <v>43</v>
      </c>
      <c r="I27" s="51"/>
      <c r="J27" s="51"/>
      <c r="K27" s="5"/>
      <c r="L27" s="5"/>
    </row>
    <row r="28" spans="1:12" ht="7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5.5" customHeight="1">
      <c r="A29" s="5"/>
      <c r="B29" s="39" t="s">
        <v>44</v>
      </c>
      <c r="C29" s="39"/>
      <c r="D29" s="39"/>
      <c r="E29" s="39"/>
      <c r="F29" s="39"/>
      <c r="G29" s="39"/>
      <c r="H29" s="39"/>
      <c r="I29" s="39"/>
      <c r="J29" s="39"/>
      <c r="K29" s="5"/>
      <c r="L29" s="5"/>
    </row>
    <row r="30" spans="1:12" ht="27.75" customHeight="1">
      <c r="A30" s="5"/>
      <c r="B30" s="45" t="s">
        <v>45</v>
      </c>
      <c r="C30" s="45"/>
      <c r="D30" s="45"/>
      <c r="E30" s="45"/>
      <c r="F30" s="45"/>
      <c r="G30" s="45"/>
      <c r="H30" s="45"/>
      <c r="I30" s="45"/>
      <c r="J30" s="45"/>
      <c r="K30" s="5"/>
      <c r="L30" s="5"/>
    </row>
    <row r="31" spans="1:12" ht="27.75" customHeight="1">
      <c r="A31" s="5"/>
      <c r="B31" s="46" t="s">
        <v>46</v>
      </c>
      <c r="C31" s="46"/>
      <c r="D31" s="46"/>
      <c r="E31" s="46"/>
      <c r="F31" s="46"/>
      <c r="G31" s="46"/>
      <c r="H31" s="46"/>
      <c r="I31" s="46"/>
      <c r="J31" s="46"/>
      <c r="K31" s="5"/>
      <c r="L31" s="5"/>
    </row>
    <row r="32" spans="1:12" ht="27.75" customHeight="1">
      <c r="A32" s="5"/>
      <c r="B32" s="45" t="s">
        <v>47</v>
      </c>
      <c r="C32" s="45"/>
      <c r="D32" s="45"/>
      <c r="E32" s="45"/>
      <c r="F32" s="45"/>
      <c r="G32" s="45"/>
      <c r="H32" s="45"/>
      <c r="I32" s="45"/>
      <c r="J32" s="45"/>
      <c r="K32" s="5"/>
      <c r="L32" s="5"/>
    </row>
    <row r="33" spans="1:12" ht="27.75" customHeight="1">
      <c r="A33" s="5"/>
      <c r="B33" s="46" t="s">
        <v>48</v>
      </c>
      <c r="C33" s="46"/>
      <c r="D33" s="46"/>
      <c r="E33" s="46"/>
      <c r="F33" s="46"/>
      <c r="G33" s="46"/>
      <c r="H33" s="46"/>
      <c r="I33" s="46"/>
      <c r="J33" s="46"/>
      <c r="K33" s="5"/>
      <c r="L33" s="5"/>
    </row>
    <row r="34" spans="1:12" ht="27.75" customHeight="1">
      <c r="A34" s="5"/>
      <c r="B34" s="45" t="s">
        <v>49</v>
      </c>
      <c r="C34" s="45"/>
      <c r="D34" s="45"/>
      <c r="E34" s="45"/>
      <c r="F34" s="45"/>
      <c r="G34" s="45"/>
      <c r="H34" s="45"/>
      <c r="I34" s="45"/>
      <c r="J34" s="45"/>
      <c r="K34" s="5"/>
      <c r="L34" s="5"/>
    </row>
    <row r="35" spans="1:12" ht="7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25.5" customHeight="1">
      <c r="A36" s="5"/>
      <c r="B36" s="47" t="s">
        <v>50</v>
      </c>
      <c r="C36" s="47"/>
      <c r="D36" s="47"/>
      <c r="E36" s="47"/>
      <c r="F36" s="47"/>
      <c r="G36" s="47"/>
      <c r="H36" s="47"/>
      <c r="I36" s="47"/>
      <c r="J36" s="47"/>
      <c r="K36" s="5"/>
      <c r="L36" s="5"/>
    </row>
    <row r="37" spans="1:12" ht="27.75" customHeight="1">
      <c r="A37" s="5"/>
      <c r="B37" s="43" t="s">
        <v>51</v>
      </c>
      <c r="C37" s="43"/>
      <c r="D37" s="44" t="s">
        <v>52</v>
      </c>
      <c r="E37" s="44"/>
      <c r="F37" s="44"/>
      <c r="G37" s="44"/>
      <c r="H37" s="44"/>
      <c r="I37" s="44"/>
      <c r="J37" s="44"/>
      <c r="K37" s="5"/>
      <c r="L37" s="5"/>
    </row>
    <row r="38" spans="1:12" ht="27.75" customHeight="1">
      <c r="A38" s="5"/>
      <c r="B38" s="43" t="s">
        <v>53</v>
      </c>
      <c r="C38" s="43"/>
      <c r="D38" s="44" t="s">
        <v>54</v>
      </c>
      <c r="E38" s="44"/>
      <c r="F38" s="44"/>
      <c r="G38" s="44"/>
      <c r="H38" s="44"/>
      <c r="I38" s="44"/>
      <c r="J38" s="44"/>
      <c r="K38" s="5"/>
      <c r="L38" s="5"/>
    </row>
    <row r="39" spans="1:12" ht="27.75" customHeight="1">
      <c r="A39" s="5"/>
      <c r="B39" s="43" t="s">
        <v>55</v>
      </c>
      <c r="C39" s="43"/>
      <c r="D39" s="44" t="s">
        <v>56</v>
      </c>
      <c r="E39" s="44"/>
      <c r="F39" s="44"/>
      <c r="G39" s="44"/>
      <c r="H39" s="44"/>
      <c r="I39" s="44"/>
      <c r="J39" s="44"/>
      <c r="K39" s="5"/>
      <c r="L39" s="5"/>
    </row>
    <row r="40" spans="1:12" ht="27.75" customHeight="1">
      <c r="A40" s="5"/>
      <c r="B40" s="43" t="s">
        <v>57</v>
      </c>
      <c r="C40" s="43"/>
      <c r="D40" s="44" t="s">
        <v>58</v>
      </c>
      <c r="E40" s="44"/>
      <c r="F40" s="44"/>
      <c r="G40" s="44"/>
      <c r="H40" s="44"/>
      <c r="I40" s="44"/>
      <c r="J40" s="44"/>
      <c r="K40" s="5"/>
      <c r="L40" s="5"/>
    </row>
    <row r="41" spans="1:12" ht="27.75" customHeight="1">
      <c r="A41" s="5"/>
      <c r="B41" s="43" t="s">
        <v>59</v>
      </c>
      <c r="C41" s="43"/>
      <c r="D41" s="44" t="s">
        <v>60</v>
      </c>
      <c r="E41" s="44"/>
      <c r="F41" s="44"/>
      <c r="G41" s="44"/>
      <c r="H41" s="44"/>
      <c r="I41" s="44"/>
      <c r="J41" s="44"/>
      <c r="K41" s="5"/>
      <c r="L41" s="5"/>
    </row>
    <row r="42" spans="1:12" ht="27.75" customHeight="1">
      <c r="A42" s="5"/>
      <c r="B42" s="43" t="s">
        <v>61</v>
      </c>
      <c r="C42" s="43"/>
      <c r="D42" s="44" t="s">
        <v>62</v>
      </c>
      <c r="E42" s="44"/>
      <c r="F42" s="44"/>
      <c r="G42" s="44"/>
      <c r="H42" s="44"/>
      <c r="I42" s="44"/>
      <c r="J42" s="44"/>
      <c r="K42" s="5"/>
      <c r="L42" s="5"/>
    </row>
    <row r="43" spans="1:12" ht="25.5" customHeight="1">
      <c r="A43" s="5"/>
      <c r="B43" s="49" t="s">
        <v>63</v>
      </c>
      <c r="C43" s="49"/>
      <c r="D43" s="49"/>
      <c r="E43" s="49"/>
      <c r="F43" s="49"/>
      <c r="G43" s="49"/>
      <c r="H43" s="49"/>
      <c r="I43" s="49"/>
      <c r="J43" s="49"/>
      <c r="K43" s="5"/>
      <c r="L43" s="5"/>
    </row>
    <row r="44" spans="1:12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25.5" customHeight="1">
      <c r="A45" s="5"/>
      <c r="B45" s="39" t="s">
        <v>64</v>
      </c>
      <c r="C45" s="39"/>
      <c r="D45" s="39"/>
      <c r="E45" s="39"/>
      <c r="F45" s="39"/>
      <c r="G45" s="39"/>
      <c r="H45" s="39"/>
      <c r="I45" s="39"/>
      <c r="J45" s="39"/>
      <c r="K45" s="5"/>
      <c r="L45" s="5"/>
    </row>
    <row r="46" spans="1:12" ht="31.5" customHeight="1">
      <c r="A46" s="5"/>
      <c r="B46" s="40" t="s">
        <v>65</v>
      </c>
      <c r="C46" s="40"/>
      <c r="D46" s="40"/>
      <c r="E46" s="40"/>
      <c r="F46" s="40"/>
      <c r="G46" s="40"/>
      <c r="H46" s="40"/>
      <c r="I46" s="40"/>
      <c r="J46" s="40"/>
      <c r="K46" s="5"/>
      <c r="L46" s="5"/>
    </row>
    <row r="47" spans="1:12" ht="48" customHeight="1">
      <c r="A47" s="5"/>
      <c r="B47" s="1" t="s">
        <v>66</v>
      </c>
      <c r="C47" s="41" t="str">
        <f>IFERROR(IF(VLOOKUP($L$2,계약리스트!$A$2:$AD$10000,12,0)="","",VLOOKUP($L$2,계약리스트!$A$2:$AD$10000,12,0)),"")</f>
        <v>중앙 오토바이 가수점</v>
      </c>
      <c r="D47" s="41"/>
      <c r="E47" s="41"/>
      <c r="F47" s="8" t="s">
        <v>67</v>
      </c>
      <c r="G47" s="1" t="s">
        <v>68</v>
      </c>
      <c r="H47" s="42" t="str">
        <f>IFERROR(IF(VLOOKUP($L$2,계약리스트!$A$2:$AD$10000,14,0)="","",VLOOKUP($L$2,계약리스트!$A$2:$AD$10000,14,0)),"")</f>
        <v>안종식</v>
      </c>
      <c r="I47" s="42"/>
      <c r="J47" s="8" t="s">
        <v>67</v>
      </c>
      <c r="K47" s="5"/>
      <c r="L47" s="5"/>
    </row>
    <row r="48" spans="1:12" ht="24" customHeight="1">
      <c r="A48" s="5"/>
      <c r="B48" s="26" t="s">
        <v>123</v>
      </c>
      <c r="C48" s="48" t="s">
        <v>22</v>
      </c>
      <c r="D48" s="48"/>
      <c r="E48" s="48"/>
      <c r="F48" s="48"/>
      <c r="G48" s="48"/>
      <c r="H48" s="48"/>
      <c r="I48" s="48"/>
      <c r="J48" s="8" t="s">
        <v>67</v>
      </c>
      <c r="K48" s="5"/>
      <c r="L48" s="5"/>
    </row>
    <row r="49" spans="1:12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</sheetData>
  <mergeCells count="65">
    <mergeCell ref="B2:J2"/>
    <mergeCell ref="B3:E3"/>
    <mergeCell ref="F3:H3"/>
    <mergeCell ref="I3:J3"/>
    <mergeCell ref="B5:J5"/>
    <mergeCell ref="B9:J9"/>
    <mergeCell ref="C10:D10"/>
    <mergeCell ref="F10:G10"/>
    <mergeCell ref="I10:J10"/>
    <mergeCell ref="C6:D6"/>
    <mergeCell ref="F6:G6"/>
    <mergeCell ref="I6:J6"/>
    <mergeCell ref="C7:D7"/>
    <mergeCell ref="F7:G7"/>
    <mergeCell ref="I7:J7"/>
    <mergeCell ref="C16:J16"/>
    <mergeCell ref="B12:J12"/>
    <mergeCell ref="B14:J14"/>
    <mergeCell ref="C15:D15"/>
    <mergeCell ref="F15:G15"/>
    <mergeCell ref="I15:J15"/>
    <mergeCell ref="B17:J17"/>
    <mergeCell ref="B19:J19"/>
    <mergeCell ref="C20:D20"/>
    <mergeCell ref="F20:G20"/>
    <mergeCell ref="I20:J20"/>
    <mergeCell ref="C21:D21"/>
    <mergeCell ref="F21:G21"/>
    <mergeCell ref="I21:J21"/>
    <mergeCell ref="C22:D22"/>
    <mergeCell ref="F22:J22"/>
    <mergeCell ref="C23:J23"/>
    <mergeCell ref="B25:J25"/>
    <mergeCell ref="C26:D26"/>
    <mergeCell ref="F26:G26"/>
    <mergeCell ref="I26:J26"/>
    <mergeCell ref="B37:C37"/>
    <mergeCell ref="D37:J37"/>
    <mergeCell ref="C27:F27"/>
    <mergeCell ref="H27:J27"/>
    <mergeCell ref="B29:J29"/>
    <mergeCell ref="B30:J30"/>
    <mergeCell ref="B31:J31"/>
    <mergeCell ref="C48:I48"/>
    <mergeCell ref="B41:C41"/>
    <mergeCell ref="D41:J41"/>
    <mergeCell ref="B42:C42"/>
    <mergeCell ref="D42:J42"/>
    <mergeCell ref="B43:J43"/>
    <mergeCell ref="C11:D11"/>
    <mergeCell ref="F11:J11"/>
    <mergeCell ref="B45:J45"/>
    <mergeCell ref="B46:J46"/>
    <mergeCell ref="C47:E47"/>
    <mergeCell ref="H47:I47"/>
    <mergeCell ref="B38:C38"/>
    <mergeCell ref="D38:J38"/>
    <mergeCell ref="B39:C39"/>
    <mergeCell ref="D39:J39"/>
    <mergeCell ref="B40:C40"/>
    <mergeCell ref="D40:J40"/>
    <mergeCell ref="B32:J32"/>
    <mergeCell ref="B33:J33"/>
    <mergeCell ref="B34:J34"/>
    <mergeCell ref="B36:J36"/>
  </mergeCells>
  <phoneticPr fontId="34" type="noConversion"/>
  <printOptions horizontalCentered="1"/>
  <pageMargins left="0.3" right="0.3" top="0.4" bottom="0.4" header="0.511811023622047" footer="0.511811023622047"/>
  <pageSetup paperSize="9" scale="7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AB75-2703-4F5B-AAB2-4C54F0D4D131}">
  <sheetPr>
    <pageSetUpPr fitToPage="1"/>
  </sheetPr>
  <dimension ref="B1:E142"/>
  <sheetViews>
    <sheetView showGridLines="0" tabSelected="1" view="pageBreakPreview" zoomScale="115" zoomScaleNormal="115" zoomScaleSheetLayoutView="115" zoomScalePageLayoutView="115" workbookViewId="0">
      <selection activeCell="B16" sqref="B16"/>
    </sheetView>
  </sheetViews>
  <sheetFormatPr defaultColWidth="8.6640625" defaultRowHeight="14.4"/>
  <cols>
    <col min="1" max="1" width="2" customWidth="1"/>
    <col min="2" max="2" width="65.77734375" customWidth="1"/>
    <col min="3" max="3" width="1.5546875" customWidth="1"/>
    <col min="4" max="5" width="65.77734375" customWidth="1"/>
    <col min="6" max="6" width="2" customWidth="1"/>
  </cols>
  <sheetData>
    <row r="1" spans="2:5" ht="27.75" customHeight="1">
      <c r="B1" s="33" t="s">
        <v>69</v>
      </c>
      <c r="C1" s="33"/>
      <c r="D1" s="33"/>
      <c r="E1" s="20"/>
    </row>
    <row r="2" spans="2:5" ht="6" customHeight="1"/>
    <row r="3" spans="2:5" ht="13.8" customHeight="1">
      <c r="B3" s="9" t="s">
        <v>70</v>
      </c>
      <c r="D3" s="19" t="s">
        <v>182</v>
      </c>
      <c r="E3" s="9"/>
    </row>
    <row r="4" spans="2:5" ht="13.8" customHeight="1">
      <c r="B4" s="13" t="s">
        <v>128</v>
      </c>
      <c r="D4" s="12" t="s">
        <v>183</v>
      </c>
      <c r="E4" s="19"/>
    </row>
    <row r="5" spans="2:5" ht="13.8" customHeight="1">
      <c r="B5" s="13" t="s">
        <v>129</v>
      </c>
      <c r="D5" s="19" t="s">
        <v>184</v>
      </c>
      <c r="E5" s="12"/>
    </row>
    <row r="6" spans="2:5" ht="13.2" customHeight="1">
      <c r="D6" s="12" t="s">
        <v>185</v>
      </c>
      <c r="E6" s="19"/>
    </row>
    <row r="7" spans="2:5" ht="13.8" customHeight="1">
      <c r="B7" s="17" t="s">
        <v>127</v>
      </c>
      <c r="D7" s="19" t="s">
        <v>186</v>
      </c>
      <c r="E7" s="12"/>
    </row>
    <row r="8" spans="2:5" ht="13.8" customHeight="1">
      <c r="B8" s="12" t="s">
        <v>130</v>
      </c>
      <c r="D8" s="29" t="s">
        <v>187</v>
      </c>
      <c r="E8" s="12"/>
    </row>
    <row r="9" spans="2:5" ht="13.8" customHeight="1">
      <c r="B9" s="12" t="s">
        <v>131</v>
      </c>
      <c r="D9" s="19" t="s">
        <v>188</v>
      </c>
      <c r="E9" s="19"/>
    </row>
    <row r="10" spans="2:5" ht="13.8" customHeight="1">
      <c r="B10" s="12" t="s">
        <v>132</v>
      </c>
      <c r="D10" s="19" t="s">
        <v>189</v>
      </c>
      <c r="E10" s="19"/>
    </row>
    <row r="11" spans="2:5" ht="13.8" customHeight="1">
      <c r="B11" s="12" t="s">
        <v>133</v>
      </c>
      <c r="D11" s="12" t="s">
        <v>190</v>
      </c>
      <c r="E11" s="12"/>
    </row>
    <row r="12" spans="2:5" ht="13.8" customHeight="1">
      <c r="B12" s="12" t="s">
        <v>134</v>
      </c>
      <c r="D12" s="12" t="s">
        <v>191</v>
      </c>
      <c r="E12" s="13"/>
    </row>
    <row r="13" spans="2:5" ht="13.8" customHeight="1">
      <c r="B13" s="12" t="s">
        <v>135</v>
      </c>
      <c r="D13" s="12"/>
      <c r="E13" s="9"/>
    </row>
    <row r="14" spans="2:5" ht="13.8" customHeight="1">
      <c r="B14" s="12" t="s">
        <v>136</v>
      </c>
      <c r="D14" s="9" t="s">
        <v>82</v>
      </c>
      <c r="E14" s="19"/>
    </row>
    <row r="15" spans="2:5" ht="13.8" customHeight="1">
      <c r="B15" s="12" t="s">
        <v>339</v>
      </c>
      <c r="D15" s="19" t="s">
        <v>192</v>
      </c>
      <c r="E15" s="19"/>
    </row>
    <row r="16" spans="2:5" ht="13.8" customHeight="1">
      <c r="B16" s="12" t="s">
        <v>334</v>
      </c>
      <c r="D16" s="12" t="s">
        <v>193</v>
      </c>
      <c r="E16" s="12"/>
    </row>
    <row r="17" spans="2:5" ht="13.8" customHeight="1">
      <c r="B17" s="12" t="s">
        <v>335</v>
      </c>
      <c r="D17" s="10" t="s">
        <v>83</v>
      </c>
      <c r="E17" s="19"/>
    </row>
    <row r="18" spans="2:5" ht="13.8" customHeight="1">
      <c r="B18" s="12" t="s">
        <v>137</v>
      </c>
      <c r="D18" s="19" t="s">
        <v>194</v>
      </c>
      <c r="E18" s="12"/>
    </row>
    <row r="19" spans="2:5" ht="13.8" customHeight="1">
      <c r="B19" s="12" t="s">
        <v>138</v>
      </c>
      <c r="D19" s="12" t="s">
        <v>195</v>
      </c>
      <c r="E19" s="12"/>
    </row>
    <row r="20" spans="2:5" ht="13.8" customHeight="1">
      <c r="B20" s="12" t="s">
        <v>139</v>
      </c>
      <c r="D20" s="10" t="s">
        <v>84</v>
      </c>
      <c r="E20" s="12"/>
    </row>
    <row r="21" spans="2:5" ht="13.8" customHeight="1">
      <c r="B21" s="12" t="s">
        <v>140</v>
      </c>
      <c r="D21" s="19" t="s">
        <v>92</v>
      </c>
      <c r="E21" s="12"/>
    </row>
    <row r="22" spans="2:5" ht="13.8" customHeight="1">
      <c r="B22" s="12" t="s">
        <v>73</v>
      </c>
      <c r="D22" s="12" t="s">
        <v>196</v>
      </c>
      <c r="E22" s="19"/>
    </row>
    <row r="23" spans="2:5" ht="13.8" customHeight="1">
      <c r="B23" s="27" t="s">
        <v>141</v>
      </c>
      <c r="D23" s="23"/>
      <c r="E23" s="12"/>
    </row>
    <row r="24" spans="2:5" ht="13.8" customHeight="1">
      <c r="B24" s="27" t="s">
        <v>138</v>
      </c>
      <c r="D24" s="9" t="s">
        <v>85</v>
      </c>
      <c r="E24" s="9"/>
    </row>
    <row r="25" spans="2:5" ht="13.8" customHeight="1">
      <c r="B25" s="15"/>
      <c r="D25" s="19" t="s">
        <v>197</v>
      </c>
      <c r="E25" s="13"/>
    </row>
    <row r="26" spans="2:5" ht="13.8" customHeight="1">
      <c r="B26" s="9" t="s">
        <v>75</v>
      </c>
      <c r="D26" s="12" t="s">
        <v>198</v>
      </c>
      <c r="E26" s="12"/>
    </row>
    <row r="27" spans="2:5" ht="13.8" customHeight="1">
      <c r="B27" s="19" t="s">
        <v>142</v>
      </c>
      <c r="D27" s="19" t="s">
        <v>199</v>
      </c>
      <c r="E27" s="12"/>
    </row>
    <row r="28" spans="2:5" ht="13.8" customHeight="1">
      <c r="B28" s="27" t="s">
        <v>143</v>
      </c>
      <c r="D28" s="12" t="s">
        <v>200</v>
      </c>
      <c r="E28" s="12"/>
    </row>
    <row r="29" spans="2:5" ht="13.8" customHeight="1">
      <c r="B29" s="19" t="s">
        <v>144</v>
      </c>
      <c r="D29" s="19" t="s">
        <v>201</v>
      </c>
      <c r="E29" s="12"/>
    </row>
    <row r="30" spans="2:5" ht="13.8" customHeight="1">
      <c r="B30" s="12" t="s">
        <v>333</v>
      </c>
      <c r="D30" s="12" t="s">
        <v>202</v>
      </c>
      <c r="E30" s="12"/>
    </row>
    <row r="31" spans="2:5" ht="13.8" customHeight="1">
      <c r="B31" s="12"/>
      <c r="D31" s="19" t="s">
        <v>203</v>
      </c>
      <c r="E31" s="12"/>
    </row>
    <row r="32" spans="2:5" ht="13.8" customHeight="1">
      <c r="B32" s="9" t="s">
        <v>77</v>
      </c>
      <c r="D32" s="12" t="s">
        <v>204</v>
      </c>
      <c r="E32" s="9"/>
    </row>
    <row r="33" spans="2:5" ht="13.8" customHeight="1">
      <c r="B33" s="19" t="s">
        <v>145</v>
      </c>
      <c r="D33" s="12" t="s">
        <v>205</v>
      </c>
      <c r="E33" s="19"/>
    </row>
    <row r="34" spans="2:5" ht="13.8" customHeight="1">
      <c r="B34" s="19" t="s">
        <v>146</v>
      </c>
      <c r="D34" s="12" t="s">
        <v>206</v>
      </c>
      <c r="E34" s="21"/>
    </row>
    <row r="35" spans="2:5" ht="13.8" customHeight="1">
      <c r="B35" s="27" t="s">
        <v>147</v>
      </c>
      <c r="D35" s="13"/>
      <c r="E35" s="21"/>
    </row>
    <row r="36" spans="2:5" ht="13.8" customHeight="1">
      <c r="B36" s="19" t="s">
        <v>148</v>
      </c>
      <c r="D36" s="30" t="s">
        <v>207</v>
      </c>
      <c r="E36" s="19"/>
    </row>
    <row r="37" spans="2:5" ht="13.8" customHeight="1">
      <c r="B37" s="19" t="s">
        <v>149</v>
      </c>
      <c r="D37" s="28" t="s">
        <v>210</v>
      </c>
      <c r="E37" s="21"/>
    </row>
    <row r="38" spans="2:5" ht="13.8" customHeight="1">
      <c r="B38" s="12" t="s">
        <v>150</v>
      </c>
      <c r="D38" s="12" t="s">
        <v>211</v>
      </c>
      <c r="E38" s="19"/>
    </row>
    <row r="39" spans="2:5" ht="13.8" customHeight="1">
      <c r="B39" s="12"/>
      <c r="D39" s="12" t="s">
        <v>212</v>
      </c>
      <c r="E39" s="19"/>
    </row>
    <row r="40" spans="2:5" ht="13.8" customHeight="1">
      <c r="B40" s="9" t="s">
        <v>78</v>
      </c>
      <c r="D40" s="28" t="s">
        <v>208</v>
      </c>
      <c r="E40" s="21"/>
    </row>
    <row r="41" spans="2:5" ht="13.8" customHeight="1">
      <c r="B41" s="28" t="s">
        <v>152</v>
      </c>
      <c r="D41" s="12" t="s">
        <v>213</v>
      </c>
      <c r="E41" s="19"/>
    </row>
    <row r="42" spans="2:5" ht="13.8" customHeight="1">
      <c r="B42" s="27" t="s">
        <v>153</v>
      </c>
      <c r="D42" s="28" t="s">
        <v>209</v>
      </c>
      <c r="E42" s="21"/>
    </row>
    <row r="43" spans="2:5" ht="13.8" customHeight="1">
      <c r="B43" s="19" t="s">
        <v>151</v>
      </c>
      <c r="D43" s="12" t="s">
        <v>214</v>
      </c>
      <c r="E43" s="21"/>
    </row>
    <row r="44" spans="2:5" ht="13.8" customHeight="1">
      <c r="B44" s="19" t="s">
        <v>154</v>
      </c>
      <c r="D44" s="12" t="s">
        <v>215</v>
      </c>
      <c r="E44" s="9"/>
    </row>
    <row r="45" spans="2:5" ht="13.8" customHeight="1">
      <c r="B45" s="27" t="s">
        <v>155</v>
      </c>
      <c r="D45" s="28" t="s">
        <v>216</v>
      </c>
      <c r="E45" s="9"/>
    </row>
    <row r="46" spans="2:5" ht="13.8" customHeight="1">
      <c r="B46" s="27" t="s">
        <v>156</v>
      </c>
      <c r="D46" s="32" t="s">
        <v>217</v>
      </c>
      <c r="E46" s="19"/>
    </row>
    <row r="47" spans="2:5" ht="13.8" customHeight="1">
      <c r="B47" s="27" t="s">
        <v>157</v>
      </c>
      <c r="D47" s="31"/>
      <c r="E47" s="10"/>
    </row>
    <row r="48" spans="2:5" ht="13.8" customHeight="1">
      <c r="B48" s="19" t="s">
        <v>158</v>
      </c>
      <c r="D48" s="9" t="s">
        <v>86</v>
      </c>
      <c r="E48" s="19"/>
    </row>
    <row r="49" spans="2:5" ht="13.8" customHeight="1">
      <c r="B49" s="27" t="s">
        <v>150</v>
      </c>
      <c r="D49" s="10" t="s">
        <v>87</v>
      </c>
      <c r="E49" s="21"/>
    </row>
    <row r="50" spans="2:5" ht="13.8" customHeight="1">
      <c r="B50" s="19" t="s">
        <v>159</v>
      </c>
      <c r="D50" s="19" t="s">
        <v>93</v>
      </c>
      <c r="E50" s="22"/>
    </row>
    <row r="51" spans="2:5" ht="13.8" customHeight="1">
      <c r="B51" s="27" t="s">
        <v>160</v>
      </c>
      <c r="D51" s="12" t="s">
        <v>218</v>
      </c>
      <c r="E51" s="14"/>
    </row>
    <row r="52" spans="2:5" ht="13.8" customHeight="1">
      <c r="B52" s="27" t="s">
        <v>161</v>
      </c>
      <c r="D52" s="19" t="s">
        <v>94</v>
      </c>
      <c r="E52" s="14"/>
    </row>
    <row r="53" spans="2:5" ht="13.8" customHeight="1">
      <c r="B53" s="19" t="s">
        <v>162</v>
      </c>
      <c r="D53" s="12" t="s">
        <v>219</v>
      </c>
      <c r="E53" s="19"/>
    </row>
    <row r="54" spans="2:5" ht="13.8" customHeight="1">
      <c r="B54" s="27" t="s">
        <v>163</v>
      </c>
      <c r="D54" s="10" t="s">
        <v>88</v>
      </c>
      <c r="E54" s="21"/>
    </row>
    <row r="55" spans="2:5" ht="13.8" customHeight="1">
      <c r="B55" s="19" t="s">
        <v>164</v>
      </c>
      <c r="D55" s="10" t="s">
        <v>89</v>
      </c>
      <c r="E55" s="13"/>
    </row>
    <row r="56" spans="2:5" ht="13.8" customHeight="1">
      <c r="B56" s="27" t="s">
        <v>165</v>
      </c>
      <c r="D56" s="13"/>
      <c r="E56" s="9"/>
    </row>
    <row r="57" spans="2:5" ht="13.8" customHeight="1">
      <c r="B57" s="19" t="s">
        <v>91</v>
      </c>
      <c r="D57" s="9" t="s">
        <v>71</v>
      </c>
      <c r="E57" s="13"/>
    </row>
    <row r="58" spans="2:5" ht="13.8" customHeight="1">
      <c r="B58" s="27" t="s">
        <v>166</v>
      </c>
      <c r="D58" s="19" t="s">
        <v>220</v>
      </c>
      <c r="E58" s="10"/>
    </row>
    <row r="59" spans="2:5" ht="13.8" customHeight="1">
      <c r="B59" s="27"/>
      <c r="D59" s="12" t="s">
        <v>221</v>
      </c>
      <c r="E59" s="21"/>
    </row>
    <row r="60" spans="2:5" ht="13.8" customHeight="1">
      <c r="B60" s="9" t="s">
        <v>80</v>
      </c>
      <c r="D60" s="19" t="s">
        <v>222</v>
      </c>
      <c r="E60" s="10"/>
    </row>
    <row r="61" spans="2:5" ht="13.8" customHeight="1">
      <c r="B61" s="19" t="s">
        <v>167</v>
      </c>
      <c r="D61" s="12" t="s">
        <v>223</v>
      </c>
      <c r="E61" s="21"/>
    </row>
    <row r="62" spans="2:5" ht="13.8" customHeight="1">
      <c r="B62" s="27" t="s">
        <v>168</v>
      </c>
      <c r="D62" s="12" t="s">
        <v>224</v>
      </c>
      <c r="E62" s="13"/>
    </row>
    <row r="63" spans="2:5" ht="13.8" customHeight="1">
      <c r="B63" s="27" t="s">
        <v>169</v>
      </c>
      <c r="D63" s="19" t="s">
        <v>126</v>
      </c>
      <c r="E63" s="9"/>
    </row>
    <row r="64" spans="2:5" ht="13.8" customHeight="1">
      <c r="B64" s="19" t="s">
        <v>170</v>
      </c>
      <c r="D64" s="19" t="s">
        <v>225</v>
      </c>
      <c r="E64" s="19"/>
    </row>
    <row r="65" spans="2:5" ht="13.8" customHeight="1">
      <c r="B65" s="27" t="s">
        <v>171</v>
      </c>
      <c r="D65" s="12" t="s">
        <v>226</v>
      </c>
      <c r="E65" s="21"/>
    </row>
    <row r="66" spans="2:5" ht="13.8" customHeight="1">
      <c r="B66" s="27" t="s">
        <v>172</v>
      </c>
      <c r="E66" s="10"/>
    </row>
    <row r="67" spans="2:5" ht="13.8" customHeight="1">
      <c r="B67" s="19" t="s">
        <v>173</v>
      </c>
      <c r="D67" s="9" t="s">
        <v>72</v>
      </c>
      <c r="E67" s="19"/>
    </row>
    <row r="68" spans="2:5" ht="13.8" customHeight="1">
      <c r="B68" s="27" t="s">
        <v>174</v>
      </c>
      <c r="D68" s="19" t="s">
        <v>125</v>
      </c>
      <c r="E68" s="19"/>
    </row>
    <row r="69" spans="2:5" ht="13.8" customHeight="1">
      <c r="B69" s="19" t="s">
        <v>175</v>
      </c>
      <c r="D69" s="19" t="s">
        <v>228</v>
      </c>
      <c r="E69" s="9"/>
    </row>
    <row r="70" spans="2:5" ht="13.8" customHeight="1">
      <c r="B70" s="27" t="s">
        <v>176</v>
      </c>
      <c r="D70" s="12" t="s">
        <v>227</v>
      </c>
      <c r="E70" s="19"/>
    </row>
    <row r="71" spans="2:5" ht="13.8" customHeight="1">
      <c r="B71" s="19" t="s">
        <v>177</v>
      </c>
      <c r="D71" s="19" t="s">
        <v>231</v>
      </c>
      <c r="E71" s="21"/>
    </row>
    <row r="72" spans="2:5" ht="13.8" customHeight="1">
      <c r="B72" s="27" t="s">
        <v>178</v>
      </c>
      <c r="D72" s="12" t="s">
        <v>232</v>
      </c>
      <c r="E72" s="19"/>
    </row>
    <row r="73" spans="2:5" ht="13.8" customHeight="1">
      <c r="B73" s="19" t="s">
        <v>179</v>
      </c>
      <c r="D73" s="12" t="s">
        <v>233</v>
      </c>
      <c r="E73" s="10"/>
    </row>
    <row r="74" spans="2:5" ht="13.8" customHeight="1">
      <c r="B74" s="16"/>
      <c r="D74" s="12" t="s">
        <v>234</v>
      </c>
      <c r="E74" s="19"/>
    </row>
    <row r="75" spans="2:5" ht="13.8" customHeight="1">
      <c r="B75" s="9" t="s">
        <v>81</v>
      </c>
      <c r="D75" s="12" t="s">
        <v>235</v>
      </c>
      <c r="E75" s="10"/>
    </row>
    <row r="76" spans="2:5" ht="13.8" customHeight="1">
      <c r="B76" s="19" t="s">
        <v>180</v>
      </c>
      <c r="D76" s="19" t="s">
        <v>229</v>
      </c>
      <c r="E76" s="9"/>
    </row>
    <row r="77" spans="2:5" ht="13.8" customHeight="1">
      <c r="B77" s="12" t="s">
        <v>181</v>
      </c>
      <c r="D77" s="12" t="s">
        <v>230</v>
      </c>
      <c r="E77" s="19"/>
    </row>
    <row r="78" spans="2:5" ht="13.8" customHeight="1">
      <c r="B78" s="9" t="s">
        <v>74</v>
      </c>
      <c r="D78" s="9" t="s">
        <v>277</v>
      </c>
      <c r="E78" s="21"/>
    </row>
    <row r="79" spans="2:5" ht="13.8" customHeight="1">
      <c r="B79" s="13" t="s">
        <v>236</v>
      </c>
      <c r="D79" s="19" t="s">
        <v>278</v>
      </c>
      <c r="E79" s="19"/>
    </row>
    <row r="80" spans="2:5" ht="13.8" customHeight="1">
      <c r="B80" s="12" t="s">
        <v>237</v>
      </c>
      <c r="D80" s="13" t="s">
        <v>279</v>
      </c>
      <c r="E80" s="19"/>
    </row>
    <row r="81" spans="2:5" ht="13.8" customHeight="1">
      <c r="B81" s="12" t="s">
        <v>238</v>
      </c>
      <c r="D81" s="19" t="s">
        <v>280</v>
      </c>
      <c r="E81" s="19"/>
    </row>
    <row r="82" spans="2:5" ht="13.8" customHeight="1">
      <c r="B82" s="12" t="s">
        <v>239</v>
      </c>
      <c r="D82" s="13" t="s">
        <v>281</v>
      </c>
      <c r="E82" s="21"/>
    </row>
    <row r="83" spans="2:5" ht="13.8" customHeight="1">
      <c r="B83" s="12" t="s">
        <v>240</v>
      </c>
      <c r="D83" s="19" t="s">
        <v>282</v>
      </c>
      <c r="E83" s="21"/>
    </row>
    <row r="84" spans="2:5" ht="13.8" customHeight="1">
      <c r="B84" s="12" t="s">
        <v>241</v>
      </c>
      <c r="D84" s="13" t="s">
        <v>283</v>
      </c>
      <c r="E84" s="19"/>
    </row>
    <row r="85" spans="2:5" ht="13.8" customHeight="1">
      <c r="B85" s="12"/>
      <c r="D85" s="13" t="s">
        <v>284</v>
      </c>
      <c r="E85" s="21"/>
    </row>
    <row r="86" spans="2:5" ht="13.8" customHeight="1">
      <c r="B86" s="9" t="s">
        <v>76</v>
      </c>
      <c r="D86" s="19" t="s">
        <v>285</v>
      </c>
      <c r="E86" s="21"/>
    </row>
    <row r="87" spans="2:5" ht="13.8" customHeight="1">
      <c r="B87" s="19" t="s">
        <v>242</v>
      </c>
      <c r="D87" s="13" t="s">
        <v>286</v>
      </c>
      <c r="E87" s="19"/>
    </row>
    <row r="88" spans="2:5" ht="13.8" customHeight="1">
      <c r="B88" s="12" t="s">
        <v>243</v>
      </c>
      <c r="D88" s="13" t="s">
        <v>287</v>
      </c>
      <c r="E88" s="21"/>
    </row>
    <row r="89" spans="2:5" ht="13.8" customHeight="1">
      <c r="B89" s="12" t="s">
        <v>244</v>
      </c>
      <c r="D89" s="19" t="s">
        <v>288</v>
      </c>
      <c r="E89" s="21"/>
    </row>
    <row r="90" spans="2:5" ht="13.8" customHeight="1">
      <c r="B90" s="19" t="s">
        <v>245</v>
      </c>
      <c r="D90" s="13" t="s">
        <v>289</v>
      </c>
      <c r="E90" s="19"/>
    </row>
    <row r="91" spans="2:5" ht="13.8" customHeight="1">
      <c r="B91" s="12" t="s">
        <v>337</v>
      </c>
      <c r="D91" s="13" t="s">
        <v>290</v>
      </c>
      <c r="E91" s="21"/>
    </row>
    <row r="92" spans="2:5" ht="13.8" customHeight="1">
      <c r="B92" s="19" t="s">
        <v>246</v>
      </c>
      <c r="D92" s="19" t="s">
        <v>291</v>
      </c>
      <c r="E92" s="11"/>
    </row>
    <row r="93" spans="2:5" ht="13.8" customHeight="1">
      <c r="B93" s="12" t="s">
        <v>178</v>
      </c>
      <c r="D93" s="13" t="s">
        <v>292</v>
      </c>
      <c r="E93" s="11"/>
    </row>
    <row r="94" spans="2:5" ht="13.8" customHeight="1">
      <c r="B94" s="19" t="s">
        <v>247</v>
      </c>
      <c r="D94" s="13" t="s">
        <v>293</v>
      </c>
      <c r="E94" s="9"/>
    </row>
    <row r="95" spans="2:5" ht="13.8" customHeight="1">
      <c r="B95" s="12" t="s">
        <v>338</v>
      </c>
      <c r="D95" s="13"/>
      <c r="E95" s="10"/>
    </row>
    <row r="96" spans="2:5" ht="13.8" customHeight="1">
      <c r="B96" s="12" t="s">
        <v>248</v>
      </c>
      <c r="D96" s="9" t="s">
        <v>294</v>
      </c>
      <c r="E96" s="19"/>
    </row>
    <row r="97" spans="2:5" ht="13.8" customHeight="1">
      <c r="B97" s="12" t="s">
        <v>328</v>
      </c>
      <c r="D97" s="19" t="s">
        <v>295</v>
      </c>
      <c r="E97" s="21"/>
    </row>
    <row r="98" spans="2:5" ht="13.8" customHeight="1">
      <c r="B98" s="12" t="s">
        <v>329</v>
      </c>
      <c r="D98" s="19" t="s">
        <v>296</v>
      </c>
      <c r="E98" s="19"/>
    </row>
    <row r="99" spans="2:5" ht="13.8" customHeight="1">
      <c r="B99" s="12" t="s">
        <v>330</v>
      </c>
      <c r="D99" s="13" t="s">
        <v>297</v>
      </c>
      <c r="E99" s="10"/>
    </row>
    <row r="100" spans="2:5" ht="13.8" customHeight="1">
      <c r="B100" s="12" t="s">
        <v>331</v>
      </c>
      <c r="D100" s="19" t="s">
        <v>298</v>
      </c>
      <c r="E100" s="16"/>
    </row>
    <row r="101" spans="2:5" ht="13.8" customHeight="1">
      <c r="B101" s="12" t="s">
        <v>332</v>
      </c>
      <c r="D101" s="13" t="s">
        <v>299</v>
      </c>
      <c r="E101" s="9"/>
    </row>
    <row r="102" spans="2:5" ht="13.8" customHeight="1">
      <c r="D102" s="13"/>
      <c r="E102" s="19"/>
    </row>
    <row r="103" spans="2:5" ht="13.8" customHeight="1">
      <c r="B103" s="9" t="s">
        <v>249</v>
      </c>
      <c r="D103" s="9" t="s">
        <v>300</v>
      </c>
      <c r="E103" s="10"/>
    </row>
    <row r="104" spans="2:5" ht="13.8" customHeight="1">
      <c r="B104" s="19" t="s">
        <v>250</v>
      </c>
      <c r="D104" s="19" t="s">
        <v>302</v>
      </c>
      <c r="E104" s="10"/>
    </row>
    <row r="105" spans="2:5" ht="13.8" customHeight="1">
      <c r="B105" s="13" t="s">
        <v>251</v>
      </c>
      <c r="D105" s="13" t="s">
        <v>303</v>
      </c>
      <c r="E105" s="19"/>
    </row>
    <row r="106" spans="2:5" ht="13.8" customHeight="1">
      <c r="B106" s="19" t="s">
        <v>252</v>
      </c>
      <c r="D106" s="19" t="s">
        <v>301</v>
      </c>
      <c r="E106" s="10"/>
    </row>
    <row r="107" spans="2:5" ht="13.8" customHeight="1">
      <c r="B107" s="13" t="s">
        <v>253</v>
      </c>
      <c r="D107" s="19" t="s">
        <v>304</v>
      </c>
      <c r="E107" s="9"/>
    </row>
    <row r="108" spans="2:5" ht="13.8" customHeight="1">
      <c r="B108" s="19" t="s">
        <v>254</v>
      </c>
      <c r="D108" s="13" t="s">
        <v>305</v>
      </c>
      <c r="E108" s="19"/>
    </row>
    <row r="109" spans="2:5" ht="13.8" customHeight="1">
      <c r="B109" s="13" t="s">
        <v>255</v>
      </c>
      <c r="D109" s="13"/>
      <c r="E109" s="21"/>
    </row>
    <row r="110" spans="2:5" ht="13.8" customHeight="1">
      <c r="B110" s="19" t="s">
        <v>256</v>
      </c>
      <c r="D110" s="9" t="s">
        <v>306</v>
      </c>
      <c r="E110" s="21"/>
    </row>
    <row r="111" spans="2:5" ht="13.8" customHeight="1">
      <c r="B111" s="13" t="s">
        <v>257</v>
      </c>
      <c r="D111" s="19" t="s">
        <v>307</v>
      </c>
      <c r="E111" s="19"/>
    </row>
    <row r="112" spans="2:5" ht="13.8" customHeight="1">
      <c r="D112" s="13" t="s">
        <v>308</v>
      </c>
      <c r="E112" s="10"/>
    </row>
    <row r="113" spans="2:5" ht="13.8" customHeight="1">
      <c r="B113" s="9" t="s">
        <v>258</v>
      </c>
      <c r="D113" s="13" t="s">
        <v>309</v>
      </c>
      <c r="E113" s="10"/>
    </row>
    <row r="114" spans="2:5" ht="13.8" customHeight="1">
      <c r="B114" s="27" t="s">
        <v>259</v>
      </c>
      <c r="D114" s="19" t="s">
        <v>310</v>
      </c>
      <c r="E114" s="9"/>
    </row>
    <row r="115" spans="2:5" ht="13.8" customHeight="1">
      <c r="B115" s="27" t="s">
        <v>260</v>
      </c>
      <c r="D115" s="19" t="s">
        <v>311</v>
      </c>
      <c r="E115" s="10"/>
    </row>
    <row r="116" spans="2:5" ht="13.8" customHeight="1">
      <c r="B116" s="27" t="s">
        <v>336</v>
      </c>
      <c r="D116" s="19" t="s">
        <v>312</v>
      </c>
      <c r="E116" s="9"/>
    </row>
    <row r="117" spans="2:5" ht="13.8" customHeight="1">
      <c r="B117" s="27" t="s">
        <v>261</v>
      </c>
      <c r="D117" s="16"/>
      <c r="E117" s="13"/>
    </row>
    <row r="118" spans="2:5" ht="13.8" customHeight="1">
      <c r="B118" s="27" t="s">
        <v>262</v>
      </c>
      <c r="D118" s="9" t="s">
        <v>313</v>
      </c>
      <c r="E118" s="21"/>
    </row>
    <row r="119" spans="2:5" ht="13.8" customHeight="1">
      <c r="B119" s="27" t="s">
        <v>263</v>
      </c>
      <c r="D119" s="13" t="s">
        <v>314</v>
      </c>
      <c r="E119" s="9"/>
    </row>
    <row r="120" spans="2:5" ht="13.8" customHeight="1">
      <c r="B120" s="27" t="s">
        <v>264</v>
      </c>
      <c r="E120" s="13"/>
    </row>
    <row r="121" spans="2:5" ht="13.8" customHeight="1">
      <c r="D121" s="9" t="s">
        <v>315</v>
      </c>
      <c r="E121" s="10"/>
    </row>
    <row r="122" spans="2:5" ht="13.8" customHeight="1">
      <c r="B122" s="9" t="s">
        <v>79</v>
      </c>
      <c r="D122" s="13" t="s">
        <v>316</v>
      </c>
      <c r="E122" s="10"/>
    </row>
    <row r="123" spans="2:5" ht="13.8" customHeight="1">
      <c r="B123" s="19" t="s">
        <v>266</v>
      </c>
      <c r="D123" s="16" t="s">
        <v>317</v>
      </c>
      <c r="E123" s="10"/>
    </row>
    <row r="124" spans="2:5" ht="13.8" customHeight="1">
      <c r="B124" s="13" t="s">
        <v>267</v>
      </c>
      <c r="E124" s="10"/>
    </row>
    <row r="125" spans="2:5" ht="13.8" customHeight="1">
      <c r="B125" s="19" t="s">
        <v>265</v>
      </c>
      <c r="D125" s="9" t="s">
        <v>318</v>
      </c>
      <c r="E125" s="10"/>
    </row>
    <row r="126" spans="2:5" ht="13.8" customHeight="1">
      <c r="B126" s="19" t="s">
        <v>268</v>
      </c>
      <c r="D126" s="16" t="s">
        <v>319</v>
      </c>
      <c r="E126" s="19"/>
    </row>
    <row r="127" spans="2:5" ht="13.8" customHeight="1">
      <c r="B127" s="13" t="s">
        <v>269</v>
      </c>
      <c r="D127" s="16" t="s">
        <v>320</v>
      </c>
      <c r="E127" s="13"/>
    </row>
    <row r="128" spans="2:5" ht="13.8" customHeight="1">
      <c r="D128" s="13" t="s">
        <v>321</v>
      </c>
      <c r="E128" s="16"/>
    </row>
    <row r="129" spans="2:5" ht="13.8" customHeight="1">
      <c r="B129" s="9" t="s">
        <v>270</v>
      </c>
      <c r="D129" s="16" t="s">
        <v>322</v>
      </c>
      <c r="E129" s="13"/>
    </row>
    <row r="130" spans="2:5" ht="13.8" customHeight="1">
      <c r="B130" s="19" t="s">
        <v>271</v>
      </c>
      <c r="D130" s="16" t="s">
        <v>323</v>
      </c>
      <c r="E130" s="13"/>
    </row>
    <row r="131" spans="2:5" ht="13.8" customHeight="1">
      <c r="B131" s="13" t="s">
        <v>272</v>
      </c>
      <c r="D131" s="16" t="s">
        <v>324</v>
      </c>
      <c r="E131" s="18"/>
    </row>
    <row r="132" spans="2:5" ht="13.8" customHeight="1">
      <c r="B132" s="19" t="s">
        <v>274</v>
      </c>
      <c r="D132" s="16" t="s">
        <v>325</v>
      </c>
      <c r="E132" s="13"/>
    </row>
    <row r="133" spans="2:5" ht="13.8" customHeight="1">
      <c r="B133" s="13" t="s">
        <v>273</v>
      </c>
      <c r="D133" s="13" t="s">
        <v>326</v>
      </c>
      <c r="E133" s="13"/>
    </row>
    <row r="134" spans="2:5" ht="13.8" customHeight="1">
      <c r="B134" s="19" t="s">
        <v>275</v>
      </c>
      <c r="E134" s="16"/>
    </row>
    <row r="135" spans="2:5" ht="13.8" customHeight="1">
      <c r="B135" s="19" t="s">
        <v>276</v>
      </c>
      <c r="E135" s="13"/>
    </row>
    <row r="136" spans="2:5" ht="13.8" customHeight="1">
      <c r="B136" s="16"/>
    </row>
    <row r="137" spans="2:5" ht="13.8" customHeight="1"/>
    <row r="138" spans="2:5" ht="13.8" customHeight="1">
      <c r="B138" s="9" t="s">
        <v>90</v>
      </c>
      <c r="C138" s="9"/>
      <c r="D138" s="9"/>
    </row>
    <row r="139" spans="2:5" ht="13.8" customHeight="1">
      <c r="B139" s="18" t="str">
        <f>"계약자             "&amp;계약서!C10&amp;"                       서명 또는 인"</f>
        <v>계약자             중앙 오토바이 가수점                       서명 또는 인</v>
      </c>
      <c r="D139" s="18" t="str">
        <f>"연대보증인                 "&amp;계약서!C15&amp;"                 서명 또는 인"</f>
        <v>연대보증인                 안종식                 서명 또는 인</v>
      </c>
    </row>
    <row r="140" spans="2:5" ht="13.8" customHeight="1">
      <c r="B140" s="11"/>
    </row>
    <row r="141" spans="2:5" ht="13.8" customHeight="1">
      <c r="B141" s="11"/>
    </row>
    <row r="142" spans="2:5">
      <c r="B142" s="11"/>
    </row>
  </sheetData>
  <mergeCells count="1">
    <mergeCell ref="B1:D1"/>
  </mergeCells>
  <phoneticPr fontId="34" type="noConversion"/>
  <pageMargins left="0.3" right="0.3" top="0.4" bottom="0.4" header="0.511811023622047" footer="0.511811023622047"/>
  <pageSetup paperSize="9" scale="72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2026-04-29T02:58:05Z</cp:lastPrinted>
  <dcterms:created xsi:type="dcterms:W3CDTF">2026-04-23T08:36:35Z</dcterms:created>
  <dcterms:modified xsi:type="dcterms:W3CDTF">2026-04-29T09:46:44Z</dcterms:modified>
  <dc:language>en-US</dc:language>
</cp:coreProperties>
</file>