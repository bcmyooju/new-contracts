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B50E2A4A-1301-4C3F-A6D6-D30DC4467295}" xr6:coauthVersionLast="47" xr6:coauthVersionMax="47" xr10:uidLastSave="{00000000-0000-0000-0000-000000000000}"/>
  <bookViews>
    <workbookView xWindow="30612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</sheets>
  <definedNames>
    <definedName name="_xlnm.Print_Area" localSheetId="1">계약서!$A$1:$K$52</definedName>
    <definedName name="_xlnm.Print_Area" localSheetId="2">이용약관!$A$1:$D$144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1" i="2" l="1"/>
  <c r="C51" i="2"/>
  <c r="C24" i="2"/>
  <c r="F23" i="2"/>
  <c r="C23" i="2"/>
  <c r="I22" i="2"/>
  <c r="F22" i="2"/>
  <c r="C22" i="2"/>
  <c r="I21" i="2"/>
  <c r="F21" i="2"/>
  <c r="C21" i="2"/>
  <c r="C17" i="2"/>
  <c r="I16" i="2"/>
  <c r="F16" i="2"/>
  <c r="C16" i="2"/>
  <c r="F12" i="2"/>
  <c r="C12" i="2"/>
  <c r="I11" i="2"/>
  <c r="F11" i="2"/>
  <c r="C11" i="2"/>
  <c r="B144" i="3" s="1"/>
  <c r="B10" i="2"/>
  <c r="C8" i="2"/>
  <c r="I7" i="2"/>
  <c r="F7" i="2"/>
  <c r="C7" i="2"/>
  <c r="I6" i="2"/>
  <c r="F6" i="2"/>
  <c r="C6" i="2"/>
  <c r="I3" i="2"/>
  <c r="AB2" i="1"/>
  <c r="D144" i="3"/>
</calcChain>
</file>

<file path=xl/sharedStrings.xml><?xml version="1.0" encoding="utf-8"?>
<sst xmlns="http://schemas.openxmlformats.org/spreadsheetml/2006/main" count="384" uniqueCount="361">
  <si>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</si>
  <si>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</si>
  <si>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</si>
  <si>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</si>
  <si>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</si>
  <si>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</si>
  <si>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</si>
  <si>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</si>
  <si>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</si>
  <si>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</si>
  <si>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</si>
  <si>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</si>
  <si>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</si>
  <si>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</si>
  <si>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</si>
  <si>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</si>
  <si>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</si>
  <si>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</si>
  <si>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</si>
  <si>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</si>
  <si>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</si>
  <si>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</si>
  <si>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</si>
  <si>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</si>
  <si>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</si>
  <si>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사업자유형</t>
  </si>
  <si>
    <t>법인등록번호</t>
  </si>
  <si>
    <t>계산서 발행 주기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</si>
  <si>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</si>
  <si>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</si>
  <si>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</si>
  <si>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</si>
  <si>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</si>
  <si>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</si>
  <si>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DejaVu Sans"/>
        <family val="2"/>
        <charset val="1"/>
      </rPr>
      <t>30</t>
    </r>
    <r>
      <rPr>
        <sz val="10"/>
        <color rgb="FF000000"/>
        <rFont val="DejaVu Sans"/>
        <family val="2"/>
      </rPr>
      <t>세</t>
    </r>
  </si>
  <si>
    <t>중앙 오토바이 가수점</t>
  </si>
  <si>
    <t>737-55-00719</t>
  </si>
  <si>
    <t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</si>
  <si>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DejaVu Sans"/>
        <family val="2"/>
        <charset val="1"/>
      </rPr>
      <t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DejaVu Sans"/>
        <family val="2"/>
        <charset val="1"/>
      </rPr>
      <t>5,6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가수동</t>
    </r>
    <r>
      <rPr>
        <sz val="10"/>
        <color rgb="FF000000"/>
        <rFont val="DejaVu Sans"/>
        <family val="2"/>
        <charset val="1"/>
      </rPr>
      <t>)</t>
    </r>
  </si>
  <si>
    <t>010-5813-7336</t>
  </si>
  <si>
    <t>jungang@example.com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</si>
  <si>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</si>
  <si>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DejaVu Sans"/>
        <family val="2"/>
        <charset val="1"/>
      </rPr>
      <t>)</t>
    </r>
  </si>
  <si>
    <t>렌트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</si>
  <si>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</si>
  <si>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</si>
  <si>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DejaVu Sans"/>
        <family val="2"/>
        <charset val="1"/>
      </rPr>
      <t>)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</si>
  <si>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</si>
  <si>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개인사업자</t>
  </si>
  <si>
    <t>계약번호입력→</t>
  </si>
  <si>
    <t>이륜차 종합렌트 계약서</t>
  </si>
  <si>
    <t>포어스바이크 유한회사</t>
  </si>
  <si>
    <t>■ 차량 정보</t>
  </si>
  <si>
    <t>계약일자</t>
  </si>
  <si>
    <r>
      <rPr>
        <b/>
        <sz val="8"/>
        <color rgb="FFC00000"/>
        <rFont val="DejaVu Sans"/>
        <family val="2"/>
      </rPr>
      <t>※ 본 차량은 위 보험연령 이상의 운전자만 운행 가능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미달자 운전 사고 시 발생하는 모든 손해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구상금은 계약자가 전적으로 책임집니다</t>
    </r>
    <r>
      <rPr>
        <b/>
        <sz val="8"/>
        <color rgb="FFC00000"/>
        <rFont val="DejaVu Sans"/>
        <family val="2"/>
        <charset val="1"/>
      </rPr>
      <t>.</t>
    </r>
  </si>
  <si>
    <t>업체명</t>
  </si>
  <si>
    <t>연락처</t>
  </si>
  <si>
    <r>
      <rPr>
        <i/>
        <sz val="8"/>
        <color rgb="FF595959"/>
        <rFont val="DejaVu Sans"/>
        <family val="2"/>
      </rPr>
      <t>※ 제출서류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>사업자등록증 사본</t>
    </r>
    <r>
      <rPr>
        <i/>
        <sz val="8"/>
        <color rgb="FF595959"/>
        <rFont val="DejaVu Sans"/>
        <family val="2"/>
        <charset val="1"/>
      </rPr>
      <t xml:space="preserve">, </t>
    </r>
    <r>
      <rPr>
        <i/>
        <sz val="8"/>
        <color rgb="FF595959"/>
        <rFont val="DejaVu Sans"/>
        <family val="2"/>
      </rPr>
      <t xml:space="preserve">대표자 신분증 사본  </t>
    </r>
    <r>
      <rPr>
        <i/>
        <sz val="8"/>
        <color rgb="FF595959"/>
        <rFont val="DejaVu Sans"/>
        <family val="2"/>
        <charset val="1"/>
      </rPr>
      <t xml:space="preserve">|  </t>
    </r>
    <r>
      <rPr>
        <i/>
        <sz val="8"/>
        <color rgb="FF595959"/>
        <rFont val="DejaVu Sans"/>
        <family val="2"/>
      </rPr>
      <t>법인의 경우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>법인등기부등본</t>
    </r>
    <r>
      <rPr>
        <i/>
        <sz val="8"/>
        <color rgb="FF595959"/>
        <rFont val="DejaVu Sans"/>
        <family val="2"/>
        <charset val="1"/>
      </rPr>
      <t xml:space="preserve">, </t>
    </r>
    <r>
      <rPr>
        <i/>
        <sz val="8"/>
        <color rgb="FF595959"/>
        <rFont val="DejaVu Sans"/>
        <family val="2"/>
      </rPr>
      <t>법인인감증명서</t>
    </r>
    <r>
      <rPr>
        <i/>
        <sz val="8"/>
        <color rgb="FF595959"/>
        <rFont val="DejaVu Sans"/>
        <family val="2"/>
        <charset val="1"/>
      </rPr>
      <t xml:space="preserve">, </t>
    </r>
    <r>
      <rPr>
        <i/>
        <sz val="8"/>
        <color rgb="FF595959"/>
        <rFont val="DejaVu Sans"/>
        <family val="2"/>
      </rPr>
      <t>법인인감 추가 제출</t>
    </r>
  </si>
  <si>
    <t>■ 연대보증인</t>
  </si>
  <si>
    <t>성명</t>
  </si>
  <si>
    <t>주민등록번호</t>
  </si>
  <si>
    <t>주소</t>
  </si>
  <si>
    <r>
      <rPr>
        <i/>
        <sz val="8"/>
        <color rgb="FF595959"/>
        <rFont val="DejaVu Sans"/>
        <family val="2"/>
      </rPr>
      <t>※ 연대보증인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개인사업자는 대표자 본인 </t>
    </r>
    <r>
      <rPr>
        <i/>
        <sz val="8"/>
        <color rgb="FF595959"/>
        <rFont val="DejaVu Sans"/>
        <family val="2"/>
        <charset val="1"/>
      </rPr>
      <t xml:space="preserve">/ </t>
    </r>
    <r>
      <rPr>
        <i/>
        <sz val="8"/>
        <color rgb="FF595959"/>
        <rFont val="DejaVu Sans"/>
        <family val="2"/>
      </rPr>
      <t xml:space="preserve">법인은 법인대표 개인  </t>
    </r>
    <r>
      <rPr>
        <i/>
        <sz val="8"/>
        <color rgb="FF595959"/>
        <rFont val="DejaVu Sans"/>
        <family val="2"/>
        <charset val="1"/>
      </rPr>
      <t xml:space="preserve">|  </t>
    </r>
    <r>
      <rPr>
        <i/>
        <sz val="8"/>
        <color rgb="FF595959"/>
        <rFont val="DejaVu Sans"/>
        <family val="2"/>
      </rPr>
      <t>제출서류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신분증 사본 </t>
    </r>
    <r>
      <rPr>
        <i/>
        <sz val="8"/>
        <color rgb="FF595959"/>
        <rFont val="DejaVu Sans"/>
        <family val="2"/>
        <charset val="1"/>
      </rPr>
      <t>(</t>
    </r>
    <r>
      <rPr>
        <i/>
        <sz val="8"/>
        <color rgb="FF595959"/>
        <rFont val="DejaVu Sans"/>
        <family val="2"/>
      </rPr>
      <t>법인은 법인인감증명서 추가</t>
    </r>
    <r>
      <rPr>
        <i/>
        <sz val="8"/>
        <color rgb="FF595959"/>
        <rFont val="DejaVu Sans"/>
        <family val="2"/>
        <charset val="1"/>
      </rPr>
      <t xml:space="preserve">)  |  </t>
    </r>
    <r>
      <rPr>
        <i/>
        <sz val="8"/>
        <color rgb="FF595959"/>
        <rFont val="DejaVu Sans"/>
        <family val="2"/>
      </rPr>
      <t>보증 기한</t>
    </r>
    <r>
      <rPr>
        <i/>
        <sz val="8"/>
        <color rgb="FF595959"/>
        <rFont val="DejaVu Sans"/>
        <family val="2"/>
        <charset val="1"/>
      </rPr>
      <t>: 2</t>
    </r>
    <r>
      <rPr>
        <i/>
        <sz val="8"/>
        <color rgb="FF595959"/>
        <rFont val="DejaVu Sans"/>
        <family val="2"/>
      </rPr>
      <t xml:space="preserve">년  </t>
    </r>
    <r>
      <rPr>
        <i/>
        <sz val="8"/>
        <color rgb="FF595959"/>
        <rFont val="DejaVu Sans"/>
        <family val="2"/>
        <charset val="1"/>
      </rPr>
      <t xml:space="preserve">|  </t>
    </r>
    <r>
      <rPr>
        <i/>
        <sz val="8"/>
        <color rgb="FF595959"/>
        <rFont val="DejaVu Sans"/>
        <family val="2"/>
      </rPr>
      <t>보증 한도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전체 이용료의 </t>
    </r>
    <r>
      <rPr>
        <i/>
        <sz val="8"/>
        <color rgb="FF595959"/>
        <rFont val="DejaVu Sans"/>
        <family val="2"/>
        <charset val="1"/>
      </rPr>
      <t>130%</t>
    </r>
  </si>
  <si>
    <t>■ 계약 조건</t>
  </si>
  <si>
    <t>렌트 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</si>
  <si>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</si>
  <si>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청구시작일</t>
  </si>
  <si>
    <t>■ 회사 정보</t>
  </si>
  <si>
    <t>상호</t>
  </si>
  <si>
    <t>104-86-62883</t>
  </si>
  <si>
    <t>대표이사</t>
  </si>
  <si>
    <t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</si>
  <si>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>188, 210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, 211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-</t>
    </r>
    <r>
      <rPr>
        <sz val="10"/>
        <color rgb="FF000000"/>
        <rFont val="DejaVu Sans"/>
        <family val="2"/>
      </rPr>
      <t>에이</t>
    </r>
    <r>
      <rPr>
        <sz val="10"/>
        <color rgb="FF000000"/>
        <rFont val="DejaVu Sans"/>
        <family val="2"/>
        <charset val="1"/>
      </rPr>
      <t>66</t>
    </r>
    <r>
      <rPr>
        <sz val="10"/>
        <color rgb="FF000000"/>
        <rFont val="DejaVu Sans"/>
        <family val="2"/>
      </rPr>
      <t>호</t>
    </r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</si>
  <si>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</si>
  <si>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</si>
  <si>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</si>
  <si>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t>운행자성</t>
  </si>
  <si>
    <r>
      <rPr>
        <b/>
        <sz val="8"/>
        <color rgb="FFC00000"/>
        <rFont val="DejaVu Sans"/>
        <family val="2"/>
      </rPr>
      <t xml:space="preserve">회사는 본 차량의 소유자이나 자동차손해배상보장법상 </t>
    </r>
    <r>
      <rPr>
        <b/>
        <sz val="8"/>
        <color rgb="FFC00000"/>
        <rFont val="DejaVu Sans"/>
        <family val="2"/>
        <charset val="1"/>
      </rPr>
      <t>"</t>
    </r>
    <r>
      <rPr>
        <b/>
        <sz val="8"/>
        <color rgb="FFC00000"/>
        <rFont val="DejaVu Sans"/>
        <family val="2"/>
      </rPr>
      <t>운행자</t>
    </r>
    <r>
      <rPr>
        <b/>
        <sz val="8"/>
        <color rgb="FFC00000"/>
        <rFont val="DejaVu Sans"/>
        <family val="2"/>
        <charset val="1"/>
      </rPr>
      <t>"</t>
    </r>
    <r>
      <rPr>
        <b/>
        <sz val="8"/>
        <color rgb="FFC00000"/>
        <rFont val="DejaVu Sans"/>
        <family val="2"/>
      </rPr>
      <t>가 아니며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운행자성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운행지배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운행이익</t>
    </r>
    <r>
      <rPr>
        <b/>
        <sz val="8"/>
        <color rgb="FFC00000"/>
        <rFont val="DejaVu Sans"/>
        <family val="2"/>
        <charset val="1"/>
      </rPr>
      <t>)</t>
    </r>
    <r>
      <rPr>
        <b/>
        <sz val="8"/>
        <color rgb="FFC00000"/>
        <rFont val="DejaVu Sans"/>
        <family val="2"/>
      </rPr>
      <t>은 전적으로 계약자에게 있습니다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따라서 운행 중 발생하는 모든 인적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물적 손해의 운행자 책임은 계약자가 부담합니다</t>
    </r>
    <r>
      <rPr>
        <b/>
        <sz val="8"/>
        <color rgb="FFC00000"/>
        <rFont val="DejaVu Sans"/>
        <family val="2"/>
        <charset val="1"/>
      </rPr>
      <t>.</t>
    </r>
  </si>
  <si>
    <t>사고 즉시 고지 의무</t>
  </si>
  <si>
    <r>
      <rPr>
        <b/>
        <sz val="8"/>
        <color rgb="FFC00000"/>
        <rFont val="DejaVu Sans"/>
        <family val="2"/>
      </rPr>
      <t>회사는 운행자가 아니므로 사고 발생 사실을 직접 인지할 수 없습니다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사고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인적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물적 손해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단독사고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차량 파손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도난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멸실 등 일체</t>
    </r>
    <r>
      <rPr>
        <b/>
        <sz val="8"/>
        <color rgb="FFC00000"/>
        <rFont val="DejaVu Sans"/>
        <family val="2"/>
        <charset val="1"/>
      </rPr>
      <t xml:space="preserve">) </t>
    </r>
    <r>
      <rPr>
        <b/>
        <sz val="8"/>
        <color rgb="FFC00000"/>
        <rFont val="DejaVu Sans"/>
        <family val="2"/>
      </rPr>
      <t>발생 시 계약자는 즉시 회사에 고지하여야 하며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미고지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지연 고지로 발생하는 모든 손해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보험 미보장분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회사 추가 부담 비용 등</t>
    </r>
    <r>
      <rPr>
        <b/>
        <sz val="8"/>
        <color rgb="FFC00000"/>
        <rFont val="DejaVu Sans"/>
        <family val="2"/>
        <charset val="1"/>
      </rPr>
      <t>)</t>
    </r>
    <r>
      <rPr>
        <b/>
        <sz val="8"/>
        <color rgb="FFC00000"/>
        <rFont val="DejaVu Sans"/>
        <family val="2"/>
      </rPr>
      <t>는 계약자가 전적으로 책임지며 회사는 본 계약을 즉시 해지하고 차량을 회수할 수 있습니다</t>
    </r>
    <r>
      <rPr>
        <b/>
        <sz val="8"/>
        <color rgb="FFC00000"/>
        <rFont val="DejaVu Sans"/>
        <family val="2"/>
        <charset val="1"/>
      </rPr>
      <t>.</t>
    </r>
  </si>
  <si>
    <r>
      <rPr>
        <b/>
        <sz val="9"/>
        <color rgb="FFC00000"/>
        <rFont val="DejaVu Sans"/>
        <family val="2"/>
      </rPr>
      <t>사용자</t>
    </r>
    <r>
      <rPr>
        <b/>
        <sz val="9"/>
        <color rgb="FFC00000"/>
        <rFont val="DejaVu Sans"/>
        <family val="2"/>
        <charset val="1"/>
      </rPr>
      <t>(</t>
    </r>
    <r>
      <rPr>
        <b/>
        <sz val="9"/>
        <color rgb="FFC00000"/>
        <rFont val="DejaVu Sans"/>
        <family val="2"/>
      </rPr>
      <t>라이더</t>
    </r>
    <r>
      <rPr>
        <b/>
        <sz val="9"/>
        <color rgb="FFC00000"/>
        <rFont val="DejaVu Sans"/>
        <family val="2"/>
        <charset val="1"/>
      </rPr>
      <t xml:space="preserve">) </t>
    </r>
    <r>
      <rPr>
        <b/>
        <sz val="9"/>
        <color rgb="FFC00000"/>
        <rFont val="DejaVu Sans"/>
        <family val="2"/>
      </rPr>
      <t>관리 책임</t>
    </r>
  </si>
  <si>
    <r>
      <rPr>
        <b/>
        <sz val="8"/>
        <color rgb="FFC00000"/>
        <rFont val="DejaVu Sans"/>
        <family val="2"/>
      </rPr>
      <t>계약자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배달대행사</t>
    </r>
    <r>
      <rPr>
        <b/>
        <sz val="8"/>
        <color rgb="FFC00000"/>
        <rFont val="DejaVu Sans"/>
        <family val="2"/>
        <charset val="1"/>
      </rPr>
      <t>)</t>
    </r>
    <r>
      <rPr>
        <b/>
        <sz val="8"/>
        <color rgb="FFC00000"/>
        <rFont val="DejaVu Sans"/>
        <family val="2"/>
      </rPr>
      <t>는 본 차량을 운행하는 사용자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라이더</t>
    </r>
    <r>
      <rPr>
        <b/>
        <sz val="8"/>
        <color rgb="FFC00000"/>
        <rFont val="DejaVu Sans"/>
        <family val="2"/>
        <charset val="1"/>
      </rPr>
      <t>)</t>
    </r>
    <r>
      <rPr>
        <b/>
        <sz val="8"/>
        <color rgb="FFC00000"/>
        <rFont val="DejaVu Sans"/>
        <family val="2"/>
      </rPr>
      <t>의 신원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면허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보험연령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음주여부 등 운행자격을 직접 관리할 의무가 있습니다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회사는 사용자의 신원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자격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연령을 사전에 확인할 의무가 없으며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사용자가 일으킨 사고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손해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보험사 구상금은 사용자의 행위라 하더라도 관리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감독을 해태한 계약자가 전적으로 책임집니다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보험연령 미달자 운전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무면허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음주</t>
    </r>
    <r>
      <rPr>
        <b/>
        <sz val="8"/>
        <color rgb="FFC00000"/>
        <rFont val="DejaVu Sans"/>
        <family val="2"/>
        <charset val="1"/>
      </rPr>
      <t>, 12</t>
    </r>
    <r>
      <rPr>
        <b/>
        <sz val="8"/>
        <color rgb="FFC00000"/>
        <rFont val="DejaVu Sans"/>
        <family val="2"/>
      </rPr>
      <t>대 중과실 등 면책사고 포함</t>
    </r>
    <r>
      <rPr>
        <b/>
        <sz val="8"/>
        <color rgb="FFC00000"/>
        <rFont val="DejaVu Sans"/>
        <family val="2"/>
        <charset val="1"/>
      </rPr>
      <t>).</t>
    </r>
  </si>
  <si>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>대 중과실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DejaVu Sans"/>
        <family val="2"/>
      </rPr>
      <t>면책사고</t>
    </r>
  </si>
  <si>
    <r>
      <rPr>
        <b/>
        <sz val="8"/>
        <color rgb="FFC00000"/>
        <rFont val="DejaVu Sans"/>
        <family val="2"/>
      </rPr>
      <t>신호위반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중앙선침범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무면허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 xml:space="preserve">음주운전 등 </t>
    </r>
    <r>
      <rPr>
        <b/>
        <sz val="8"/>
        <color rgb="FFC00000"/>
        <rFont val="DejaVu Sans"/>
        <family val="2"/>
        <charset val="1"/>
      </rPr>
      <t>12</t>
    </r>
    <r>
      <rPr>
        <b/>
        <sz val="8"/>
        <color rgb="FFC00000"/>
        <rFont val="DejaVu Sans"/>
        <family val="2"/>
      </rPr>
      <t>대 중과실 또는 보험약관상 면책사항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고의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약물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범죄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운행자 범위 외 운전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도난중 운행 등</t>
    </r>
    <r>
      <rPr>
        <b/>
        <sz val="8"/>
        <color rgb="FFC00000"/>
        <rFont val="DejaVu Sans"/>
        <family val="2"/>
        <charset val="1"/>
      </rPr>
      <t>)</t>
    </r>
    <r>
      <rPr>
        <b/>
        <sz val="8"/>
        <color rgb="FFC00000"/>
        <rFont val="DejaVu Sans"/>
        <family val="2"/>
      </rPr>
      <t>에 해당하는 사고로 회사에 보험사 구상금이 청구되는 경우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 xml:space="preserve">계약자는 통보 후 </t>
    </r>
    <r>
      <rPr>
        <b/>
        <sz val="8"/>
        <color rgb="FFC00000"/>
        <rFont val="DejaVu Sans"/>
        <family val="2"/>
        <charset val="1"/>
      </rPr>
      <t>7</t>
    </r>
    <r>
      <rPr>
        <b/>
        <sz val="8"/>
        <color rgb="FFC00000"/>
        <rFont val="DejaVu Sans"/>
        <family val="2"/>
      </rPr>
      <t>일 이내에 전액 변제하여야 합니다</t>
    </r>
    <r>
      <rPr>
        <b/>
        <sz val="8"/>
        <color rgb="FFC00000"/>
        <rFont val="DejaVu Sans"/>
        <family val="2"/>
        <charset val="1"/>
      </rPr>
      <t>.</t>
    </r>
  </si>
  <si>
    <t>미변제 시 즉시 처리</t>
  </si>
  <si>
    <r>
      <rPr>
        <b/>
        <sz val="8"/>
        <color rgb="FFC00000"/>
        <rFont val="DejaVu Sans"/>
        <family val="2"/>
      </rPr>
      <t xml:space="preserve">위 구상금을 </t>
    </r>
    <r>
      <rPr>
        <b/>
        <sz val="8"/>
        <color rgb="FFC00000"/>
        <rFont val="DejaVu Sans"/>
        <family val="2"/>
        <charset val="1"/>
      </rPr>
      <t>7</t>
    </r>
    <r>
      <rPr>
        <b/>
        <sz val="8"/>
        <color rgb="FFC00000"/>
        <rFont val="DejaVu Sans"/>
        <family val="2"/>
      </rPr>
      <t>일 이내 변제하지 아니하는 경우 본 계약은 자동 해지되고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회사는 차량을 즉시 회수하며</t>
    </r>
    <r>
      <rPr>
        <b/>
        <sz val="8"/>
        <color rgb="FFC00000"/>
        <rFont val="DejaVu Sans"/>
        <family val="2"/>
        <charset val="1"/>
      </rPr>
      <t xml:space="preserve">, </t>
    </r>
    <r>
      <rPr>
        <b/>
        <sz val="8"/>
        <color rgb="FFC00000"/>
        <rFont val="DejaVu Sans"/>
        <family val="2"/>
      </rPr>
      <t>보증금은 반환하지 아니합니다</t>
    </r>
    <r>
      <rPr>
        <b/>
        <sz val="8"/>
        <color rgb="FFC00000"/>
        <rFont val="DejaVu Sans"/>
        <family val="2"/>
        <charset val="1"/>
      </rPr>
      <t>(</t>
    </r>
    <r>
      <rPr>
        <b/>
        <sz val="8"/>
        <color rgb="FFC00000"/>
        <rFont val="DejaVu Sans"/>
        <family val="2"/>
      </rPr>
      <t>위약금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손해배상금은 별도 청구</t>
    </r>
    <r>
      <rPr>
        <b/>
        <sz val="8"/>
        <color rgb="FFC00000"/>
        <rFont val="DejaVu Sans"/>
        <family val="2"/>
        <charset val="1"/>
      </rPr>
      <t>).</t>
    </r>
  </si>
  <si>
    <t>계열사 미납 교차 적용</t>
  </si>
  <si>
    <r>
      <rPr>
        <sz val="8"/>
        <color rgb="FF404040"/>
        <rFont val="DejaVu Sans"/>
        <family val="2"/>
      </rPr>
      <t>계약자가 회사 또는 회사의 계열사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한국모터사이클리스 유한회사 포함</t>
    </r>
    <r>
      <rPr>
        <sz val="8"/>
        <color rgb="FF404040"/>
        <rFont val="DejaVu Sans"/>
        <family val="2"/>
        <charset val="1"/>
      </rPr>
      <t>)</t>
    </r>
    <r>
      <rPr>
        <sz val="8"/>
        <color rgb="FF404040"/>
        <rFont val="DejaVu Sans"/>
        <family val="2"/>
      </rPr>
      <t>와 체결한 모든 이륜차 계약은 미수금 발생 시 상호 영향을 미칩니다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>한국모터사이클리스에서 발생한 미수금은 본 계약에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본 계약에서 발생한 미수금은 한국모터사이클리스 계약에 동일하게 작용하며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미수금이 </t>
    </r>
    <r>
      <rPr>
        <sz val="8"/>
        <color rgb="FF404040"/>
        <rFont val="DejaVu Sans"/>
        <family val="2"/>
        <charset val="1"/>
      </rPr>
      <t>7</t>
    </r>
    <r>
      <rPr>
        <sz val="8"/>
        <color rgb="FF404040"/>
        <rFont val="DejaVu Sans"/>
        <family val="2"/>
      </rPr>
      <t>일 이상 지속되는 경우 어느 회사든 자사 계약을 해지하고 차량을 즉시 회수할 수 있습니다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>본 조 적용을 위하여 계약자는 회사와 한국모터사이클리스 간 미수금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계약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결제 관련 정보 공유에 동의합니다</t>
    </r>
    <r>
      <rPr>
        <sz val="8"/>
        <color rgb="FF404040"/>
        <rFont val="DejaVu Sans"/>
        <family val="2"/>
        <charset val="1"/>
      </rPr>
      <t>.</t>
    </r>
  </si>
  <si>
    <t>보증금 처리</t>
  </si>
  <si>
    <r>
      <rPr>
        <sz val="8"/>
        <color rgb="FF404040"/>
        <rFont val="DejaVu Sans"/>
        <family val="2"/>
      </rPr>
      <t>계약 취소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중도 해지 시 보증금은 반환되지 않으며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위약금 및 손해배상금은 별도로 청구됩니다</t>
    </r>
    <r>
      <rPr>
        <sz val="8"/>
        <color rgb="FF404040"/>
        <rFont val="DejaVu Sans"/>
        <family val="2"/>
        <charset val="1"/>
      </rPr>
      <t>.</t>
    </r>
  </si>
  <si>
    <t>수납 방식 및 계산서</t>
  </si>
  <si>
    <r>
      <rPr>
        <sz val="8"/>
        <color rgb="FF404040"/>
        <rFont val="DejaVu Sans"/>
        <family val="2"/>
      </rPr>
      <t>본 계약 모든 대금은 포어스바이크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DejaVu Sans"/>
        <family val="2"/>
        <charset val="1"/>
      </rPr>
      <t xml:space="preserve">) </t>
    </r>
    <r>
      <rPr>
        <sz val="8"/>
        <color rgb="FF404040"/>
        <rFont val="DejaVu Sans"/>
        <family val="2"/>
      </rPr>
      <t>명의 계좌로 직접 입금되며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타 계좌 입금 시 수납이 확인되지 않을 수 있습니다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>세금계산서는 포어스바이크 유한회사 명의로 발행되며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발행 주기는 결제 주기와 동일합니다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월</t>
    </r>
    <r>
      <rPr>
        <sz val="8"/>
        <color rgb="FF404040"/>
        <rFont val="DejaVu Sans"/>
        <family val="2"/>
        <charset val="1"/>
      </rPr>
      <t>1</t>
    </r>
    <r>
      <rPr>
        <sz val="8"/>
        <color rgb="FF404040"/>
        <rFont val="DejaVu Sans"/>
        <family val="2"/>
      </rPr>
      <t>회 결제 → 월</t>
    </r>
    <r>
      <rPr>
        <sz val="8"/>
        <color rgb="FF404040"/>
        <rFont val="DejaVu Sans"/>
        <family val="2"/>
        <charset val="1"/>
      </rPr>
      <t>1</t>
    </r>
    <r>
      <rPr>
        <sz val="8"/>
        <color rgb="FF404040"/>
        <rFont val="DejaVu Sans"/>
        <family val="2"/>
      </rPr>
      <t>회 발행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월</t>
    </r>
    <r>
      <rPr>
        <sz val="8"/>
        <color rgb="FF404040"/>
        <rFont val="DejaVu Sans"/>
        <family val="2"/>
        <charset val="1"/>
      </rPr>
      <t>2</t>
    </r>
    <r>
      <rPr>
        <sz val="8"/>
        <color rgb="FF404040"/>
        <rFont val="DejaVu Sans"/>
        <family val="2"/>
      </rPr>
      <t>회 결제 → 월</t>
    </r>
    <r>
      <rPr>
        <sz val="8"/>
        <color rgb="FF404040"/>
        <rFont val="DejaVu Sans"/>
        <family val="2"/>
        <charset val="1"/>
      </rPr>
      <t>2</t>
    </r>
    <r>
      <rPr>
        <sz val="8"/>
        <color rgb="FF404040"/>
        <rFont val="DejaVu Sans"/>
        <family val="2"/>
      </rPr>
      <t>회 발행</t>
    </r>
    <r>
      <rPr>
        <sz val="8"/>
        <color rgb="FF404040"/>
        <rFont val="DejaVu Sans"/>
        <family val="2"/>
        <charset val="1"/>
      </rPr>
      <t>).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</si>
  <si>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</si>
  <si>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</si>
  <si>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보험사고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채권 관리 등 계약 이행 전반</t>
    </r>
  </si>
  <si>
    <t>수집 항목</t>
  </si>
  <si>
    <r>
      <rPr>
        <sz val="8"/>
        <color rgb="FF404040"/>
        <rFont val="DejaVu Sans"/>
        <family val="2"/>
      </rPr>
      <t>사업장 상호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사업자번호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주소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연락처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대표자 성명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거래계좌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</si>
  <si>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</si>
  <si>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2"/>
        <charset val="1"/>
      </rPr>
      <t>5</t>
    </r>
    <r>
      <rPr>
        <sz val="8"/>
        <color rgb="FF404040"/>
        <rFont val="DejaVu Sans"/>
        <family val="2"/>
      </rPr>
      <t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2"/>
        <charset val="1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</si>
  <si>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</si>
  <si>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DejaVu Sans"/>
        <family val="2"/>
        <charset val="1"/>
      </rPr>
      <t>)</t>
    </r>
  </si>
  <si>
    <t>자동이체 동의</t>
  </si>
  <si>
    <r>
      <rPr>
        <sz val="8"/>
        <color rgb="FF404040"/>
        <rFont val="DejaVu Sans"/>
        <family val="2"/>
      </rPr>
      <t>매월 발생하는 렌트료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범칙금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보험사 구상금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</si>
  <si>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</si>
  <si>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</si>
  <si>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2"/>
        <charset val="1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</si>
  <si>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t>■ 계약 체결</t>
  </si>
  <si>
    <r>
      <rPr>
        <sz val="9"/>
        <color rgb="FF000000"/>
        <rFont val="DejaVu Sans"/>
        <family val="2"/>
      </rPr>
      <t>본인은 본 이륜차 종합렌트 계약서와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>본 계약에 따른 권리</t>
    </r>
    <r>
      <rPr>
        <sz val="9"/>
        <color rgb="FF000000"/>
        <rFont val="DejaVu Sans"/>
        <family val="2"/>
        <charset val="1"/>
      </rPr>
      <t>·</t>
    </r>
    <r>
      <rPr>
        <sz val="9"/>
        <color rgb="FF000000"/>
        <rFont val="DejaVu Sans"/>
        <family val="2"/>
      </rPr>
      <t>의무와 운행자성</t>
    </r>
    <r>
      <rPr>
        <sz val="9"/>
        <color rgb="FF000000"/>
        <rFont val="DejaVu Sans"/>
        <family val="2"/>
        <charset val="1"/>
      </rPr>
      <t>·</t>
    </r>
    <r>
      <rPr>
        <sz val="9"/>
        <color rgb="FF000000"/>
        <rFont val="DejaVu Sans"/>
        <family val="2"/>
      </rPr>
      <t>보험연령</t>
    </r>
    <r>
      <rPr>
        <sz val="9"/>
        <color rgb="FF000000"/>
        <rFont val="DejaVu Sans"/>
        <family val="2"/>
        <charset val="1"/>
      </rPr>
      <t>·</t>
    </r>
    <r>
      <rPr>
        <sz val="9"/>
        <color rgb="FF000000"/>
        <rFont val="DejaVu Sans"/>
        <family val="2"/>
      </rPr>
      <t>사고 고지</t>
    </r>
    <r>
      <rPr>
        <sz val="9"/>
        <color rgb="FF000000"/>
        <rFont val="DejaVu Sans"/>
        <family val="2"/>
        <charset val="1"/>
      </rPr>
      <t>·</t>
    </r>
    <r>
      <rPr>
        <sz val="9"/>
        <color rgb="FF000000"/>
        <rFont val="DejaVu Sans"/>
        <family val="2"/>
      </rPr>
      <t>면책사고 책임 등 제반 사항에 이의 없이 동의합니다</t>
    </r>
    <r>
      <rPr>
        <sz val="9"/>
        <color rgb="FF000000"/>
        <rFont val="DejaVu Sans"/>
        <family val="2"/>
        <charset val="1"/>
      </rPr>
      <t>.</t>
    </r>
  </si>
  <si>
    <t>계약자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</si>
  <si>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</si>
  <si>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연대보증인</t>
  </si>
  <si>
    <t>공급자</t>
  </si>
  <si>
    <r>
      <rPr>
        <sz val="10"/>
        <color rgb="FF000000"/>
        <rFont val="DejaVu Sans"/>
        <family val="2"/>
      </rPr>
      <t xml:space="preserve">포어스바이크 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DejaVu Sans"/>
        <family val="2"/>
        <charset val="1"/>
      </rPr>
      <t>)</t>
    </r>
  </si>
  <si>
    <t>이륜차 종합렌트 계약 이용약관</t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</si>
  <si>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</si>
  <si>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연대보증인의 책임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</si>
  <si>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</si>
  <si>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맑은 고딕"/>
        <family val="3"/>
        <charset val="129"/>
      </rPr>
      <t>② "</t>
    </r>
    <r>
      <rPr>
        <sz val="8"/>
        <color rgb="FF2B2B2B"/>
        <rFont val="DejaVu Sans"/>
        <family val="2"/>
      </rPr>
      <t>이륜차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본 계약서에 특정한 이륜차로서 인도 시 부착된 부속품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장착물을 포함한다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</si>
  <si>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③ "</t>
    </r>
    <r>
      <rPr>
        <sz val="8"/>
        <color rgb="FF2B2B2B"/>
        <rFont val="DejaVu Sans"/>
        <family val="2"/>
      </rPr>
      <t>계약기간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</si>
  <si>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theme="1"/>
        <rFont val="맑은 고딕"/>
        <family val="3"/>
        <charset val="129"/>
      </rPr>
      <t>⑤ "</t>
    </r>
    <r>
      <rPr>
        <sz val="8"/>
        <color theme="1"/>
        <rFont val="DejaVu Sans"/>
        <family val="2"/>
      </rPr>
      <t>계약자</t>
    </r>
    <r>
      <rPr>
        <sz val="8"/>
        <color theme="1"/>
        <rFont val="맑은 고딕"/>
        <family val="3"/>
        <charset val="129"/>
      </rPr>
      <t>"</t>
    </r>
    <r>
      <rPr>
        <sz val="8"/>
        <color theme="1"/>
        <rFont val="DejaVu Sans"/>
        <family val="2"/>
      </rPr>
      <t xml:space="preserve">는 본 계약 </t>
    </r>
    <r>
      <rPr>
        <sz val="8"/>
        <color theme="1"/>
        <rFont val="맑은 고딕"/>
        <family val="3"/>
        <charset val="129"/>
      </rPr>
      <t>1</t>
    </r>
    <r>
      <rPr>
        <sz val="8"/>
        <color theme="1"/>
        <rFont val="DejaVu Sans"/>
        <family val="2"/>
      </rPr>
      <t xml:space="preserve">면에 </t>
    </r>
    <r>
      <rPr>
        <sz val="8"/>
        <color theme="1"/>
        <rFont val="맑은 고딕"/>
        <family val="3"/>
        <charset val="129"/>
      </rPr>
      <t>"</t>
    </r>
    <r>
      <rPr>
        <sz val="8"/>
        <color theme="1"/>
        <rFont val="DejaVu Sans"/>
        <family val="2"/>
      </rPr>
      <t>계약자</t>
    </r>
    <r>
      <rPr>
        <sz val="8"/>
        <color theme="1"/>
        <rFont val="맑은 고딕"/>
        <family val="3"/>
        <charset val="129"/>
      </rPr>
      <t>"</t>
    </r>
    <r>
      <rPr>
        <sz val="8"/>
        <color theme="1"/>
        <rFont val="DejaVu Sans"/>
        <family val="2"/>
      </rPr>
      <t>로 기재된 사업장을 말하며</t>
    </r>
    <r>
      <rPr>
        <sz val="8"/>
        <color theme="1"/>
        <rFont val="맑은 고딕"/>
        <family val="3"/>
        <charset val="129"/>
      </rPr>
      <t xml:space="preserve">, </t>
    </r>
    <r>
      <rPr>
        <sz val="8"/>
        <color theme="1"/>
        <rFont val="DejaVu Sans"/>
        <family val="2"/>
      </rPr>
      <t>본 계약상 모든 채무를 부담한다</t>
    </r>
    <r>
      <rPr>
        <sz val="8"/>
        <color theme="1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</si>
  <si>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보험계약의 체결 및 관리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</si>
  <si>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회사는 이륜차 출고 시 계약자가 요청하는 보험연령에 따라 종합보험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대인배상Ⅰ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대인배상Ⅱ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대</t>
    </r>
  </si>
  <si>
    <r>
      <rPr>
        <sz val="8"/>
        <color rgb="FF2B2B2B"/>
        <rFont val="DejaVu Sans"/>
        <family val="2"/>
      </rPr>
      <t>물배상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에 가입한다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자기신체사고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자기차량손해는 가입하지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회사는 계약자를 대</t>
    </r>
  </si>
  <si>
    <r>
      <rPr>
        <sz val="8"/>
        <color rgb="FF2B2B2B"/>
        <rFont val="DejaVu Sans"/>
        <family val="2"/>
      </rPr>
      <t>신하여 보험료를 납부하며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보험의 내용은 보험증권 약관에 따른다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</si>
  <si>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렌트료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 등 미수금이 있을 경우 보험연령 변경이 불가하다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보험사 정책상 보험 연령 변</t>
    </r>
  </si>
  <si>
    <r>
      <rPr>
        <sz val="8"/>
        <color rgb="FF2B2B2B"/>
        <rFont val="DejaVu Sans"/>
        <family val="2"/>
      </rPr>
      <t>경이 불가능한 경우 회사는 계약자에게 즉시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</si>
  <si>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⑤ 회사는 계약기간과 일치하게 보험계약을 체결한다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계약 종료일 이후 무보험 상태에서 운행하여</t>
    </r>
  </si>
  <si>
    <r>
      <rPr>
        <sz val="8"/>
        <color rgb="FF2B2B2B"/>
        <rFont val="DejaVu Sans"/>
        <family val="1"/>
        <charset val="129"/>
      </rPr>
      <t>⑪ "</t>
    </r>
    <r>
      <rPr>
        <sz val="8"/>
        <color rgb="FF2B2B2B"/>
        <rFont val="DejaVu Sans"/>
        <family val="2"/>
      </rPr>
      <t>구상금</t>
    </r>
    <r>
      <rPr>
        <sz val="8"/>
        <color rgb="FF2B2B2B"/>
        <rFont val="DejaVu Sans"/>
        <family val="1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1"/>
        <charset val="129"/>
      </rPr>
      <t xml:space="preserve">, </t>
    </r>
    <r>
      <rPr>
        <sz val="8"/>
        <color rgb="FF2B2B2B"/>
        <rFont val="DejaVu Sans"/>
        <family val="2"/>
      </rPr>
      <t>본 계약 차량 운행 중 발생한 사고로 보험사가 회사에게 청구한 금액 일체를 말한다</t>
    </r>
    <r>
      <rPr>
        <sz val="8"/>
        <color rgb="FF2B2B2B"/>
        <rFont val="DejaVu Sans"/>
        <family val="1"/>
        <charset val="129"/>
      </rPr>
      <t>.</t>
    </r>
  </si>
  <si>
    <r>
      <rPr>
        <sz val="8"/>
        <color rgb="FF2B2B2B"/>
        <rFont val="DejaVu Sans"/>
        <family val="2"/>
      </rPr>
      <t>손해가 발생하면 계약자가 배상책임 및 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형사상 책임을 진다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</si>
  <si>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운행자성 및 운행지배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</si>
  <si>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맑은 고딕"/>
        <family val="3"/>
        <charset val="129"/>
      </rPr>
      <t>⑬ "</t>
    </r>
    <r>
      <rPr>
        <sz val="8"/>
        <color rgb="FF2B2B2B"/>
        <rFont val="DejaVu Sans"/>
        <family val="2"/>
      </rPr>
      <t>종합보험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책임보험에 대인배상Ⅱ를 추가로 담보하는 보험을 말한다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</si>
  <si>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theme="1"/>
        <rFont val="DejaVu Sans"/>
        <family val="2"/>
      </rPr>
      <t>① 본 계약 차량의 소유권은 회사에 있으나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회사는 자동차손해배상보장법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 xml:space="preserve">조에서 정한 </t>
    </r>
    <r>
      <rPr>
        <sz val="8"/>
        <color theme="1"/>
        <rFont val="DejaVu Sans"/>
        <family val="2"/>
        <charset val="1"/>
      </rPr>
      <t>"</t>
    </r>
    <r>
      <rPr>
        <sz val="8"/>
        <color theme="1"/>
        <rFont val="DejaVu Sans"/>
        <family val="2"/>
      </rPr>
      <t>자기를</t>
    </r>
  </si>
  <si>
    <r>
      <rPr>
        <sz val="8"/>
        <color theme="1"/>
        <rFont val="DejaVu Sans"/>
        <family val="2"/>
      </rPr>
      <t>위하여 자동차를 운행하는 자</t>
    </r>
    <r>
      <rPr>
        <sz val="8"/>
        <color theme="1"/>
        <rFont val="DejaVu Sans"/>
        <family val="2"/>
        <charset val="1"/>
      </rPr>
      <t>"(</t>
    </r>
    <r>
      <rPr>
        <sz val="8"/>
        <color theme="1"/>
        <rFont val="DejaVu Sans"/>
        <family val="2"/>
      </rPr>
      <t xml:space="preserve">이하 </t>
    </r>
    <r>
      <rPr>
        <sz val="8"/>
        <color theme="1"/>
        <rFont val="DejaVu Sans"/>
        <family val="2"/>
        <charset val="1"/>
      </rPr>
      <t>"</t>
    </r>
    <r>
      <rPr>
        <sz val="8"/>
        <color theme="1"/>
        <rFont val="DejaVu Sans"/>
        <family val="2"/>
      </rPr>
      <t>운행자</t>
    </r>
    <r>
      <rPr>
        <sz val="8"/>
        <color theme="1"/>
        <rFont val="DejaVu Sans"/>
        <family val="2"/>
        <charset val="1"/>
      </rPr>
      <t>")</t>
    </r>
    <r>
      <rPr>
        <sz val="8"/>
        <color theme="1"/>
        <rFont val="DejaVu Sans"/>
        <family val="2"/>
      </rPr>
      <t>에 해당하지 아니한다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회사는 본 계약 차량에 대한 운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</si>
  <si>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서류 제출 및 이륜차 인도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</si>
  <si>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행지배 및 운행이익을 갖지 아니한다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</si>
  <si>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보완 요구에도 성실히 응한다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</si>
  <si>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제출된 서류는 어떠한 경우에도 반환하지 아니한다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</si>
  <si>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③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자가 회사를 상대로 운행자 책임을 청구하는 경우 계약자는 자신의 비용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책임으로 회사를 면</t>
    </r>
  </si>
  <si>
    <r>
      <rPr>
        <sz val="8"/>
        <color theme="1"/>
        <rFont val="DejaVu Sans"/>
        <family val="2"/>
      </rPr>
      <t>책시켜야 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회사가 부득이 배상한 경우 그 금액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관련 비용 일체를 즉시 회사에 상환하여 한다</t>
    </r>
    <r>
      <rPr>
        <sz val="8"/>
        <color theme="1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</si>
  <si>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소유권 유보 및 이전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</si>
  <si>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</si>
  <si>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사고 발생 시 고지 의무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</si>
  <si>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① 회사는 본 계약 차량의 운행자가 아니므로 사고 발생 사실을 직접 인지할 수 없다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따라 본 조</t>
    </r>
  </si>
  <si>
    <r>
      <rPr>
        <sz val="8"/>
        <color theme="1"/>
        <rFont val="DejaVu Sans"/>
        <family val="2"/>
      </rPr>
      <t>의 고지 의무는 본 계약상 계약자의 핵심 의무에 해당한다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</si>
  <si>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</si>
  <si>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② 다음 사유 발생 시 계약자는 사용자로부터 통보받은 즉시 회사에 고지하여야 한다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>인적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물적</t>
    </r>
  </si>
  <si>
    <r>
      <rPr>
        <sz val="8"/>
        <color theme="1"/>
        <rFont val="DejaVu Sans"/>
        <family val="2"/>
      </rPr>
      <t>손해 사고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단독사고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차량 파손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도난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멸실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분실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보험사 접수 필요 사건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무면허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음주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약물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범죄 목</t>
    </r>
  </si>
  <si>
    <r>
      <rPr>
        <sz val="8"/>
        <color theme="1"/>
        <rFont val="DejaVu Sans"/>
        <family val="2"/>
      </rPr>
      <t>적 운전 등 면책사유 해당 운행 사실 인지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</si>
  <si>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③ 고지에는 사고 일시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장소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경위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운전자 신원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면허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음주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상대방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피해자 정보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보험사 접수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</si>
  <si>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보증금 및 계약금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</si>
  <si>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번호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경찰 신고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차량 위치 및 상태가 포함되어야 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</si>
  <si>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④ 계약자가 고지 의무를 위반하는 경우</t>
    </r>
    <r>
      <rPr>
        <sz val="8"/>
        <color theme="1"/>
        <rFont val="DejaVu Sans"/>
        <family val="2"/>
        <charset val="1"/>
      </rPr>
      <t>(</t>
    </r>
    <r>
      <rPr>
        <sz val="8"/>
        <color theme="1"/>
        <rFont val="DejaVu Sans"/>
        <family val="2"/>
      </rPr>
      <t>미고지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지연 고지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허위 고지 포함</t>
    </r>
    <r>
      <rPr>
        <sz val="8"/>
        <color theme="1"/>
        <rFont val="DejaVu Sans"/>
        <family val="2"/>
        <charset val="1"/>
      </rPr>
      <t xml:space="preserve">) </t>
    </r>
    <r>
      <rPr>
        <sz val="8"/>
        <color theme="1"/>
        <rFont val="DejaVu Sans"/>
        <family val="2"/>
      </rPr>
      <t xml:space="preserve">다음 책임을 부담한다 </t>
    </r>
    <r>
      <rPr>
        <sz val="8"/>
        <color theme="1"/>
        <rFont val="DejaVu Sans"/>
        <family val="2"/>
        <charset val="1"/>
      </rPr>
      <t>:</t>
    </r>
  </si>
  <si>
    <r>
      <rPr>
        <sz val="8"/>
        <color theme="1"/>
        <rFont val="맑은 고딕"/>
        <family val="3"/>
        <charset val="129"/>
      </rPr>
      <t xml:space="preserve">(1) </t>
    </r>
    <r>
      <rPr>
        <sz val="8"/>
        <color theme="1"/>
        <rFont val="DejaVu Sans"/>
        <family val="2"/>
      </rPr>
      <t>보험사 면책으로 인한 미보장 손해 일체</t>
    </r>
    <r>
      <rPr>
        <sz val="8"/>
        <color theme="1"/>
        <rFont val="맑은 고딕"/>
        <family val="3"/>
        <charset val="129"/>
      </rPr>
      <t xml:space="preserve">, (2) </t>
    </r>
    <r>
      <rPr>
        <sz val="8"/>
        <color theme="1"/>
        <rFont val="DejaVu Sans"/>
        <family val="2"/>
      </rPr>
      <t>회사에 추가 발생한 구상금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DejaVu Sans"/>
        <family val="2"/>
      </rPr>
      <t>과태료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DejaVu Sans"/>
        <family val="2"/>
      </rPr>
      <t>소송비용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DejaVu Sans"/>
        <family val="2"/>
      </rPr>
      <t>변호</t>
    </r>
  </si>
  <si>
    <r>
      <rPr>
        <sz val="8"/>
        <color theme="1"/>
        <rFont val="DejaVu Sans"/>
        <family val="2"/>
      </rPr>
      <t>사비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>회사가 사고를 알지 못한 상태에서 차량 처분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계약 갱신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보험 정산을 진행함으로써 발생</t>
    </r>
  </si>
  <si>
    <r>
      <rPr>
        <sz val="8"/>
        <color theme="1"/>
        <rFont val="DejaVu Sans"/>
        <family val="2"/>
      </rPr>
      <t>한 손해 일체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</si>
  <si>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⑤ 위 책임 부담과 별도로 회사는 본 계약을 즉시 해지하고 차량을 회수할 수 있다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보증금은 반환</t>
    </r>
  </si>
  <si>
    <r>
      <rPr>
        <sz val="8"/>
        <color theme="1"/>
        <rFont val="DejaVu Sans"/>
        <family val="2"/>
      </rPr>
      <t>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위약금 및 손해배상금은 별도로 청구한다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</si>
  <si>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미납 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초과분은 계약자가 추가 납부한다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</si>
  <si>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① 본 계약 차량은 보험연령 이상의 운전자만이 운행할 수 있으며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계약자는 사용자의 자격을 관리</t>
    </r>
  </si>
  <si>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DejaVu Sans"/>
        <family val="2"/>
      </rPr>
      <t>감독할 의무를 부담한다</t>
    </r>
    <r>
      <rPr>
        <sz val="8"/>
        <color theme="1"/>
        <rFont val="맑은 고딕"/>
        <family val="3"/>
        <charset val="129"/>
      </rPr>
      <t>.</t>
    </r>
  </si>
  <si>
    <r>
      <rPr>
        <sz val="8"/>
        <color theme="1"/>
        <rFont val="DejaVu Sans"/>
        <family val="2"/>
      </rPr>
      <t>② 보험연령 미달자가 운행하여 발생한 모든 사고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손해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구상금은 회사의 라이더 신원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연령 확인 여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</si>
  <si>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렌트료 및 결제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</si>
  <si>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부와 관계없이 계약자가 전적으로 책임진다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</si>
  <si>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③ 회사는 사용자의 신원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자격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연령을 사전에 확인할 의무를 부담하지 아니한다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</si>
  <si>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회사가 지정한 은행계좌로 입금하며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타 계좌 입금분은 수납이 확인되지 아니할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</si>
  <si>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① 보험사가 면책하거나 회사에 구상금을 청구하는 사고로서 다음 각 호에 해당하는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그 손해</t>
    </r>
  </si>
  <si>
    <r>
      <rPr>
        <sz val="8"/>
        <color theme="1"/>
        <rFont val="DejaVu Sans"/>
        <family val="2"/>
      </rPr>
      <t>일체는 계약자가 부담한다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>고의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범죄 목적 운행 또는 도난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무단이용 중 사고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>무면허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음주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약</t>
    </r>
  </si>
  <si>
    <r>
      <rPr>
        <sz val="8"/>
        <color theme="1"/>
        <rFont val="DejaVu Sans"/>
        <family val="2"/>
      </rPr>
      <t>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보험연령 미달자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운전자 자격 미충족자의 운전</t>
    </r>
    <r>
      <rPr>
        <sz val="8"/>
        <color theme="1"/>
        <rFont val="DejaVu Sans"/>
        <family val="2"/>
        <charset val="1"/>
      </rPr>
      <t>, (3) 12</t>
    </r>
    <r>
      <rPr>
        <sz val="8"/>
        <color theme="1"/>
        <rFont val="DejaVu Sans"/>
        <family val="2"/>
      </rPr>
      <t>대 중과실</t>
    </r>
    <r>
      <rPr>
        <sz val="8"/>
        <color theme="1"/>
        <rFont val="DejaVu Sans"/>
        <family val="2"/>
        <charset val="1"/>
      </rPr>
      <t>(</t>
    </r>
    <r>
      <rPr>
        <sz val="8"/>
        <color theme="1"/>
        <rFont val="DejaVu Sans"/>
        <family val="2"/>
      </rPr>
      <t>교통사고처리 특례법상</t>
    </r>
    <r>
      <rPr>
        <sz val="8"/>
        <color theme="1"/>
        <rFont val="DejaVu Sans"/>
        <family val="2"/>
        <charset val="1"/>
      </rPr>
      <t>)</t>
    </r>
    <r>
      <rPr>
        <sz val="8"/>
        <color theme="1"/>
        <rFont val="DejaVu Sans"/>
        <family val="2"/>
      </rPr>
      <t>에 해당</t>
    </r>
  </si>
  <si>
    <r>
      <rPr>
        <sz val="8"/>
        <color rgb="FF2B2B2B"/>
        <rFont val="DejaVu Sans"/>
        <family val="2"/>
      </rPr>
      <t>④ 보험연령 변경 등으로 렌트료가 변동될 경우 해당 차량 최초 계약 당시 단가표 기준으로 산정한다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</si>
  <si>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하는 사고</t>
    </r>
    <r>
      <rPr>
        <sz val="8"/>
        <color theme="1"/>
        <rFont val="DejaVu Sans"/>
        <family val="2"/>
        <charset val="1"/>
      </rPr>
      <t xml:space="preserve">, (4) </t>
    </r>
    <r>
      <rPr>
        <sz val="8"/>
        <color theme="1"/>
        <rFont val="DejaVu Sans"/>
        <family val="2"/>
      </rPr>
      <t>운전자 범위 위반 또는 요금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대가를 받고 이용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>경기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시범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 xml:space="preserve">연습용 등 비일상적 </t>
    </r>
  </si>
  <si>
    <r>
      <rPr>
        <sz val="8"/>
        <color theme="1"/>
        <rFont val="DejaVu Sans"/>
        <family val="2"/>
      </rPr>
      <t>사용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>그 밖에 보험약관상 면책사항에 해당하는 일체의 사고</t>
    </r>
    <r>
      <rPr>
        <sz val="8"/>
        <color theme="1"/>
        <rFont val="DejaVu Sans"/>
        <family val="2"/>
        <charset val="1"/>
      </rPr>
      <t xml:space="preserve">, (7) </t>
    </r>
    <r>
      <rPr>
        <sz val="8"/>
        <color theme="1"/>
        <rFont val="DejaVu Sans"/>
        <family val="2"/>
      </rPr>
      <t>본 계약 종합보험으로 보장되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</si>
  <si>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지연손해금 및 손해배상금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</si>
  <si>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지 않는 일체의 손해 또는 보험사 보장 한도를 초과하는 손해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</si>
  <si>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② 위 사유로 보험사가 회사에 구상금을 청구한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회사는 그 사실을 계약자에게 통보하며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계</t>
    </r>
  </si>
  <si>
    <r>
      <rPr>
        <sz val="8"/>
        <color theme="1"/>
        <rFont val="DejaVu Sans"/>
        <family val="2"/>
      </rPr>
      <t xml:space="preserve">약자는 통보 후 </t>
    </r>
    <r>
      <rPr>
        <sz val="8"/>
        <color theme="1"/>
        <rFont val="DejaVu Sans"/>
        <family val="2"/>
        <charset val="1"/>
      </rPr>
      <t>7</t>
    </r>
    <r>
      <rPr>
        <sz val="8"/>
        <color theme="1"/>
        <rFont val="DejaVu Sans"/>
        <family val="2"/>
      </rPr>
      <t>일 이내에 구상금 전액 및 회사가 그와 관련하여 지출한 변호사비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소송비 일체를</t>
    </r>
  </si>
  <si>
    <r>
      <rPr>
        <sz val="8"/>
        <color rgb="FF2B2B2B"/>
        <rFont val="DejaVu Sans"/>
        <family val="2"/>
      </rPr>
      <t>② 지연손해금</t>
    </r>
    <r>
      <rPr>
        <sz val="8"/>
        <color rgb="FF2B2B2B"/>
        <rFont val="DejaVu Sans"/>
        <family val="2"/>
        <charset val="1"/>
      </rPr>
      <t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>15%].</t>
    </r>
  </si>
  <si>
    <r>
      <rPr>
        <sz val="8"/>
        <color theme="1"/>
        <rFont val="DejaVu Sans"/>
        <family val="2"/>
      </rPr>
      <t>회사에 변제한다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</si>
  <si>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계약 만료 후 처리절차 지체 손해배상금</t>
    </r>
    <r>
      <rPr>
        <sz val="8"/>
        <color rgb="FF2B2B2B"/>
        <rFont val="DejaVu Sans"/>
        <family val="2"/>
        <charset val="1"/>
      </rPr>
      <t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2"/>
        <charset val="1"/>
      </rPr>
      <t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>지체일수</t>
    </r>
    <r>
      <rPr>
        <sz val="8"/>
        <color rgb="FF2B2B2B"/>
        <rFont val="DejaVu Sans"/>
        <family val="2"/>
        <charset val="1"/>
      </rPr>
      <t>].</t>
    </r>
  </si>
  <si>
    <r>
      <rPr>
        <sz val="8"/>
        <color theme="1"/>
        <rFont val="맑은 고딕"/>
        <family val="3"/>
        <charset val="129"/>
      </rPr>
      <t>③ 7</t>
    </r>
    <r>
      <rPr>
        <sz val="8"/>
        <color theme="1"/>
        <rFont val="DejaVu Sans"/>
        <family val="2"/>
      </rPr>
      <t>일 이내 미변제 시 본 계약은 자동 해지되며 회사는 계약된 모든 차량을 즉시 회수한다</t>
    </r>
    <r>
      <rPr>
        <sz val="8"/>
        <color theme="1"/>
        <rFont val="맑은 고딕"/>
        <family val="3"/>
        <charset val="129"/>
      </rPr>
      <t xml:space="preserve">. </t>
    </r>
    <r>
      <rPr>
        <sz val="8"/>
        <color theme="1"/>
        <rFont val="DejaVu Sans"/>
        <family val="2"/>
      </rPr>
      <t>보증</t>
    </r>
  </si>
  <si>
    <r>
      <rPr>
        <sz val="8"/>
        <color rgb="FF2B2B2B"/>
        <rFont val="DejaVu Sans"/>
        <family val="2"/>
      </rPr>
      <t>③ 지연손해금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손해배상금은 회사의 손해배상청구와 별도로 부과될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연체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미납 발생 시</t>
    </r>
  </si>
  <si>
    <r>
      <rPr>
        <sz val="8"/>
        <color theme="1"/>
        <rFont val="DejaVu Sans"/>
        <family val="2"/>
      </rPr>
      <t>금은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위약금 및 손해배상금은 별도로 청구한다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</si>
  <si>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회사는 별도 동의 없이 신용정보집중기관 등록 또는 채권추심을 의뢰할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</si>
  <si>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④ 계약자가 회사를 면책시키지 못하여 회사가 직접 손해배상을 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회사가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자에게 지급</t>
    </r>
  </si>
  <si>
    <r>
      <rPr>
        <sz val="8"/>
        <color theme="1"/>
        <rFont val="DejaVu Sans"/>
        <family val="2"/>
      </rPr>
      <t>한 금액과 관련 비용 일체를 즉시 회사에 상환한다</t>
    </r>
    <r>
      <rPr>
        <sz val="8"/>
        <color theme="1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</si>
  <si>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사고 처리 및 미수선처리 금지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</si>
  <si>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사고 발생 시 계약자는 사용자가 지정 수리센터로 입고하여 수리를 진행하게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관계 법령 및</t>
    </r>
  </si>
  <si>
    <r>
      <rPr>
        <sz val="8"/>
        <color theme="1"/>
        <rFont val="DejaVu Sans"/>
        <family val="2"/>
      </rPr>
      <t>미납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>무면허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 xml:space="preserve">음주운전 등 사용자 귀책 배상금 청구 후 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일 이내 미납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>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자 담보 제</t>
    </r>
  </si>
  <si>
    <r>
      <rPr>
        <sz val="8"/>
        <color rgb="FF2B2B2B"/>
        <rFont val="DejaVu Sans"/>
        <family val="2"/>
      </rPr>
      <t>보험계약상의 절차에 따라 사고를 처리한다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</si>
  <si>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공 등 회사 소유권 침해 또는 차량 규격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성능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표지의 무단 변경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훼손</t>
    </r>
    <r>
      <rPr>
        <sz val="8"/>
        <color theme="1"/>
        <rFont val="DejaVu Sans"/>
        <family val="2"/>
        <charset val="1"/>
      </rPr>
      <t xml:space="preserve">, (7) </t>
    </r>
    <r>
      <rPr>
        <sz val="8"/>
        <color theme="1"/>
        <rFont val="DejaVu Sans"/>
        <family val="2"/>
      </rPr>
      <t>위치정보 장치 훼손</t>
    </r>
    <r>
      <rPr>
        <sz val="8"/>
        <color theme="1"/>
        <rFont val="DejaVu Sans"/>
        <family val="2"/>
        <charset val="1"/>
      </rPr>
      <t>·</t>
    </r>
  </si>
  <si>
    <r>
      <rPr>
        <sz val="8"/>
        <color rgb="FF2B2B2B"/>
        <rFont val="DejaVu Sans"/>
        <family val="2"/>
      </rPr>
      <t>② 렌트 기간 중 미수선처리는 불가하다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</si>
  <si>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은닉</t>
    </r>
    <r>
      <rPr>
        <sz val="8"/>
        <color theme="1"/>
        <rFont val="DejaVu Sans"/>
        <family val="2"/>
        <charset val="1"/>
      </rPr>
      <t xml:space="preserve">, (8) </t>
    </r>
    <r>
      <rPr>
        <sz val="8"/>
        <color theme="1"/>
        <rFont val="DejaVu Sans"/>
        <family val="2"/>
      </rPr>
      <t xml:space="preserve">보험사 구상금 통보 후 </t>
    </r>
    <r>
      <rPr>
        <sz val="8"/>
        <color theme="1"/>
        <rFont val="DejaVu Sans"/>
        <family val="2"/>
        <charset val="1"/>
      </rPr>
      <t>7</t>
    </r>
    <r>
      <rPr>
        <sz val="8"/>
        <color theme="1"/>
        <rFont val="DejaVu Sans"/>
        <family val="2"/>
      </rPr>
      <t>일 이내 미변제</t>
    </r>
    <r>
      <rPr>
        <sz val="8"/>
        <color theme="1"/>
        <rFont val="DejaVu Sans"/>
        <family val="2"/>
        <charset val="1"/>
      </rPr>
      <t xml:space="preserve">, (9) </t>
    </r>
    <r>
      <rPr>
        <sz val="8"/>
        <color theme="1"/>
        <rFont val="DejaVu Sans"/>
        <family val="2"/>
      </rPr>
      <t>사고 발생 시 고지 의무 위반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</si>
  <si>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회사는 차량 가치 감가하락의 대가로 지급되는 격락손해금을 계약 만기 시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렌트료</t>
    </r>
  </si>
  <si>
    <r>
      <rPr>
        <sz val="8"/>
        <color rgb="FF2B2B2B"/>
        <rFont val="DejaVu Sans"/>
        <family val="2"/>
      </rPr>
      <t>의 미납이 없는 경우에 한한다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</si>
  <si>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22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해지위약금 등의 부과방법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</si>
  <si>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① 위약금 산식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 xml:space="preserve">위약금 </t>
    </r>
    <r>
      <rPr>
        <sz val="8"/>
        <color theme="1"/>
        <rFont val="DejaVu Sans"/>
        <family val="2"/>
        <charset val="1"/>
      </rPr>
      <t xml:space="preserve">= </t>
    </r>
    <r>
      <rPr>
        <sz val="8"/>
        <color theme="1"/>
        <rFont val="DejaVu Sans"/>
        <family val="2"/>
      </rPr>
      <t xml:space="preserve">보증금 </t>
    </r>
    <r>
      <rPr>
        <sz val="8"/>
        <color theme="1"/>
        <rFont val="DejaVu Sans"/>
        <family val="2"/>
        <charset val="1"/>
      </rPr>
      <t>+ (</t>
    </r>
    <r>
      <rPr>
        <sz val="8"/>
        <color theme="1"/>
        <rFont val="DejaVu Sans"/>
        <family val="2"/>
      </rPr>
      <t xml:space="preserve">잔여기간에 대한 총 렌트료 </t>
    </r>
    <r>
      <rPr>
        <sz val="8"/>
        <color theme="1"/>
        <rFont val="DejaVu Sans"/>
        <family val="2"/>
        <charset val="1"/>
      </rPr>
      <t>× 20%).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</si>
  <si>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계약자 및 사용자의 책임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</si>
  <si>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계약자는 위약금을 계약 해지일까지 회사에 지급한다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</si>
  <si>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계약자는 선량한 관리자의 주의로 이륜차를 유지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관리하여야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사용자가 운행 중 발생하는</t>
    </r>
  </si>
  <si>
    <r>
      <rPr>
        <sz val="8"/>
        <color theme="1"/>
        <rFont val="DejaVu Sans"/>
        <family val="2"/>
      </rPr>
      <t>② 보증금은 어떠한 경우에도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위약금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손해배상금은 별도로 청구한다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</si>
  <si>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모든 사고에 대한 책임을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</si>
  <si>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③ 반환된 이륜차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부착물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키 부속품 일체에 파손이 있는 경우 계약자는 원상복구 수리비를</t>
    </r>
  </si>
  <si>
    <r>
      <rPr>
        <sz val="8"/>
        <color rgb="FF2B2B2B"/>
        <rFont val="DejaVu Sans"/>
        <family val="2"/>
      </rPr>
      <t>② 계약자는 계약기간 중 임의로 부착물을 추가하거나 이륜차 구조를 변경할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</si>
  <si>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 xml:space="preserve">회사는 청구일로부터 </t>
    </r>
    <r>
      <rPr>
        <sz val="8"/>
        <color theme="1"/>
        <rFont val="DejaVu Sans"/>
        <family val="2"/>
        <charset val="1"/>
      </rPr>
      <t>5</t>
    </r>
    <r>
      <rPr>
        <sz val="8"/>
        <color theme="1"/>
        <rFont val="DejaVu Sans"/>
        <family val="2"/>
      </rPr>
      <t>일 이내에 지급한다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</si>
  <si>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이륜차의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사용수익권과 운행이익권을 가진다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본 계약이 해지</t>
    </r>
  </si>
  <si>
    <r>
      <rPr>
        <sz val="8"/>
        <color rgb="FF2B2B2B"/>
        <rFont val="DejaVu Sans"/>
        <family val="2"/>
      </rPr>
      <t>된 경우 즉시 운행을 중단하고 이륜차를 반환한다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</si>
  <si>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이륜차 반환 및 회수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</si>
  <si>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④ 계약자는 사용자의 보험연령 충족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면허 보유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음주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약물 미복용 여부 등 운행 자격을 확인할 의</t>
    </r>
  </si>
  <si>
    <r>
      <rPr>
        <sz val="8"/>
        <color rgb="FF2B2B2B"/>
        <rFont val="DejaVu Sans"/>
        <family val="2"/>
      </rPr>
      <t>① 본 계약이 해지되는 경우 계약자는 즉시 회사가 지정하는 장소로 이륜차를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</si>
  <si>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무가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위반으로 발생한 사고 손해 일체는 계약자가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</si>
  <si>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계약자가 반환을 지연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거부하는 경우 회사는 이륜차를 임의로 회수할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</t>
    </r>
  </si>
  <si>
    <r>
      <rPr>
        <sz val="8"/>
        <color rgb="FF2B2B2B"/>
        <rFont val="DejaVu Sans"/>
        <family val="2"/>
      </rPr>
      <t>⑤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이륜차에 대해 권리를 주장하거나 강제집행 등으로 회사 소유권을 침해할 위험이 있는</t>
    </r>
  </si>
  <si>
    <r>
      <rPr>
        <sz val="8"/>
        <color rgb="FF2B2B2B"/>
        <rFont val="DejaVu Sans"/>
        <family val="2"/>
      </rPr>
      <t>는 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형사상 어떠한 이의도 제기할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회수 비용 일체는 계약자가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</si>
  <si>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경우 계약자는 회사의 소유임을 주장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입증하고 즉시 회사에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</si>
  <si>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계약자는 계약 해지일부터 이륜차 최종 반환일까지의 손해배상금을 회사에 지급한다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</si>
  <si>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⑥ 계약자는 인도일부터 반환일까지 이륜차의 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훼손에 대한 책임을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자비로 원상</t>
    </r>
  </si>
  <si>
    <r>
      <rPr>
        <sz val="8"/>
        <color rgb="FF2B2B2B"/>
        <rFont val="DejaVu Sans"/>
        <family val="2"/>
      </rPr>
      <t>복구하거나 동일 모델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사양으로 교체한다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</si>
  <si>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계약만료 후 처리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</si>
  <si>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⑦ 이륜차의 등록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유지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사용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등록말소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폐차 등과 관련하여 렌트료에 포함되지 않은 비용 및 제세공</t>
    </r>
  </si>
  <si>
    <r>
      <rPr>
        <sz val="8"/>
        <color rgb="FF2B2B2B"/>
        <rFont val="DejaVu Sans"/>
        <family val="2"/>
      </rPr>
      <t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만료 후 임의 운행으로 발생</t>
    </r>
  </si>
  <si>
    <r>
      <rPr>
        <sz val="8"/>
        <color rgb="FF2B2B2B"/>
        <rFont val="DejaVu Sans"/>
        <family val="2"/>
      </rPr>
      <t>과금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범칙금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벌과금 등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은 전적으로 계약자가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</si>
  <si>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하는 사고에 회사는 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형사상 책임을 지지 않는다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</si>
  <si>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인수형 계약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>명의 이전 시 보험가입증명서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신분증 제출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>사용폐지 시 만료일 익일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</si>
  <si>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계약의 이관 및 승계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</si>
  <si>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에 번호판 등기 발송 중 하나를 선택한다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</si>
  <si>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계약자는 회사의 사전 승인 없이 본 계약상 권리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의무를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승계할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</si>
  <si>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인수형 계약에서 명의이전 시 취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등록세는 계약자가 부담하며 신고는 회사가 대행한다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</si>
  <si>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승계하고자 하는 경우 인적사항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신용상태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영업상황 등 필요 정보를 제공하</t>
    </r>
  </si>
  <si>
    <r>
      <rPr>
        <sz val="8"/>
        <color rgb="FF2B2B2B"/>
        <rFont val="DejaVu Sans"/>
        <family val="2"/>
      </rPr>
      <t>④ 인수형 계약에 미납금이 있는 경우 만료일까지 전액 완납되어야 인수가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만료일</t>
    </r>
  </si>
  <si>
    <r>
      <rPr>
        <sz val="8"/>
        <color rgb="FF2B2B2B"/>
        <rFont val="DejaVu Sans"/>
        <family val="2"/>
      </rPr>
      <t>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심사기준에 부합하지 않으면 거절할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</si>
  <si>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DejaVu Sans"/>
        <family val="2"/>
        <charset val="1"/>
      </rPr>
      <t>D+3</t>
    </r>
    <r>
      <rPr>
        <sz val="8"/>
        <color rgb="FF2B2B2B"/>
        <rFont val="DejaVu Sans"/>
        <family val="2"/>
      </rPr>
      <t>일까지 미납 시 차량 회수가 진행되고</t>
    </r>
    <r>
      <rPr>
        <sz val="8"/>
        <color rgb="FF2B2B2B"/>
        <rFont val="DejaVu Sans"/>
        <family val="2"/>
        <charset val="1"/>
      </rPr>
      <t>, D+15</t>
    </r>
    <r>
      <rPr>
        <sz val="8"/>
        <color rgb="FF2B2B2B"/>
        <rFont val="DejaVu Sans"/>
        <family val="2"/>
      </rPr>
      <t>일까지 미완납 시 계약자는 기한이익</t>
    </r>
  </si>
  <si>
    <r>
      <rPr>
        <sz val="8"/>
        <color rgb="FF2B2B2B"/>
        <rFont val="DejaVu Sans"/>
        <family val="2"/>
      </rPr>
      <t>③ 회사의 승인 없이 계약자가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렌트료 지급의무 및 기타 채무를 계</t>
    </r>
  </si>
  <si>
    <r>
      <rPr>
        <sz val="8"/>
        <color rgb="FF2B2B2B"/>
        <rFont val="DejaVu Sans"/>
        <family val="2"/>
      </rPr>
      <t>을 상실하며 회사는 차량을 자체 처분할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처분대금은 미납금 상환에 우선 충당된다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</si>
  <si>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속 이행한다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</si>
  <si>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⑤ 반납형 계약은 만료일 익일에 이륜차를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회사는 수리견적을 작성하여 수리비를</t>
    </r>
  </si>
  <si>
    <r>
      <rPr>
        <sz val="8"/>
        <color rgb="FF2B2B2B"/>
        <rFont val="DejaVu Sans"/>
        <family val="2"/>
      </rPr>
      <t>④ 계약이관을 위해서는 렌트료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 등 일체의 미납금이 없어야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승계받을</t>
    </r>
  </si>
  <si>
    <r>
      <rPr>
        <sz val="8"/>
        <color rgb="FF2B2B2B"/>
        <rFont val="DejaVu Sans"/>
        <family val="2"/>
      </rPr>
      <t>보증금에서 차감 후 잔액을 계약자에게 지급하며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수리비가 보증금을 초과하는 경우 차액을</t>
    </r>
  </si>
  <si>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계약이관서에 서명함으로써 절차는 완료된 것으로 본다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</si>
  <si>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계약자가 납부한다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</si>
  <si>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⑥ 명의이전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폐지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반납에 필요한 서류 전달은 만료일 익일까지 완료되어야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지체 시 계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</si>
  <si>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차량 위치정보 등 제공 동의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</si>
  <si>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약자는 제</t>
    </r>
    <r>
      <rPr>
        <sz val="8"/>
        <color rgb="FF2B2B2B"/>
        <rFont val="DejaVu Sans"/>
        <family val="2"/>
        <charset val="1"/>
      </rPr>
      <t>7</t>
    </r>
    <r>
      <rPr>
        <sz val="8"/>
        <color rgb="FF2B2B2B"/>
        <rFont val="DejaVu Sans"/>
        <family val="2"/>
      </rPr>
      <t>조에 따른 손해배상금 및 부당사용이익을 회사에 납부한다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</si>
  <si>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본 차량에는 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분실 위험 방지를 위해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</t>
    </r>
  </si>
  <si>
    <r>
      <rPr>
        <sz val="8"/>
        <color rgb="FF2B2B2B"/>
        <rFont val="DejaVu Sans"/>
        <family val="2"/>
      </rPr>
      <t>이를 인지하고 동의한다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</si>
  <si>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변제충당 순서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</si>
  <si>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② 계약자는 사용자가 운행되는 전 기간에 대하여 위치정보 수집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이용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제공의 적법성을 확보할 책임</t>
    </r>
  </si>
  <si>
    <r>
      <rPr>
        <sz val="8"/>
        <color rgb="FF2B2B2B"/>
        <rFont val="DejaVu Sans"/>
        <family val="2"/>
      </rPr>
      <t>① 계약자가 납입한 금액이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납기일 기준으로</t>
    </r>
  </si>
  <si>
    <r>
      <rPr>
        <sz val="8"/>
        <color rgb="FF2B2B2B"/>
        <rFont val="DejaVu Sans"/>
        <family val="2"/>
      </rPr>
      <t>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이와 관련하여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자로부터 회사에 제기되는 일체의 청구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손해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과태료에 대해 계약자</t>
    </r>
  </si>
  <si>
    <r>
      <rPr>
        <sz val="8"/>
        <color rgb="FF2B2B2B"/>
        <rFont val="DejaVu Sans"/>
        <family val="2"/>
      </rPr>
      <t>먼저 도래한 채무액부터 우선 충당한다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</si>
  <si>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가 전적으로 책임진다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</si>
  <si>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원금의 순으로 충당한다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</si>
  <si>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계약자는 위치정보 장치를 임의로 변경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제거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훼손할 수 없으며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</t>
    </r>
  </si>
  <si>
    <r>
      <rPr>
        <sz val="8"/>
        <color rgb="FF2B2B2B"/>
        <rFont val="DejaVu Sans"/>
        <family val="2"/>
      </rPr>
      <t>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보험 처리 등 본 계약 이행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관리에 필요한 범위 내에서만 위치정보를 활용한다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</si>
  <si>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세금계산서 발급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</si>
  <si>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세금계산서는 본 계약서에 명시된 사업자등록번호를 기준으로 회사 명의로 발행한다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</si>
  <si>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금지행위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</si>
  <si>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계열사 미납 교차 적용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</si>
  <si>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>자에 대한 면책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</si>
  <si>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계약 기간 종료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해지 여부와 무관하게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이륜차 인수일부터 반환일까지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회사를 상대로 인</t>
    </r>
  </si>
  <si>
    <r>
      <rPr>
        <sz val="8"/>
        <color rgb="FF2B2B2B"/>
        <rFont val="DejaVu Sans"/>
        <family val="2"/>
      </rPr>
      <t>② 본 조 적용을 위하여 계약자는 회사와 계열사 간 미수금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계약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결제 관련 정보 공유에 동의한다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</si>
  <si>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적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물적 손해배상을 청구하는 경우 계약자는 자신의 비용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책임으로 회사를 면책시킨다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</si>
  <si>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준거법 및 관할</t>
    </r>
    <r>
      <rPr>
        <b/>
        <sz val="9"/>
        <color rgb="FF1F4E89"/>
        <rFont val="DejaVu Sans"/>
        <family val="2"/>
        <charset val="1"/>
      </rPr>
      <t>)</t>
    </r>
  </si>
  <si>
    <t>② 회사가 소유자라는 이유로 직접 손해배상한 경우 계약자는 회사가 지급한 금액과 관련 제비용을</t>
  </si>
  <si>
    <r>
      <rPr>
        <sz val="8"/>
        <color rgb="FF2B2B2B"/>
        <rFont val="DejaVu Sans"/>
        <family val="2"/>
      </rPr>
      <t>본 계약은 대한민국 법률에 따라 해석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 계약과 관련하여 분쟁이 발생하는 경우</t>
    </r>
  </si>
  <si>
    <r>
      <rPr>
        <sz val="8"/>
        <color rgb="FF2B2B2B"/>
        <rFont val="DejaVu Sans"/>
        <family val="2"/>
      </rPr>
      <t>즉시 상환한다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</si>
  <si>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수원지방법원을 전속 관할 법원으로 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</si>
  <si>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회사가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 청구에 방어를 한 경우 계약자는 방어 관련 지출된 소송비용 등 일체를 부담한다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</si>
  <si>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차량 평가 및 감가 기준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</si>
  <si>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계약자에 의한 중도 해지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</si>
  <si>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계약 만료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다음 기준에 따라 감가액을 산정한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</si>
  <si>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2"/>
        <charset val="1"/>
      </rPr>
      <t>10</t>
    </r>
    <r>
      <rPr>
        <sz val="8"/>
        <color rgb="FF2B2B2B"/>
        <rFont val="DejaVu Sans"/>
        <family val="2"/>
      </rPr>
      <t>일 전에 회사에 사전 통보한다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</si>
  <si>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>커버류 교체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4%, (2) </t>
    </r>
    <r>
      <rPr>
        <sz val="8"/>
        <color rgb="FF2B2B2B"/>
        <rFont val="DejaVu Sans"/>
        <family val="2"/>
      </rPr>
      <t>차대 교체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6%, (3) </t>
    </r>
    <r>
      <rPr>
        <sz val="8"/>
        <color rgb="FF2B2B2B"/>
        <rFont val="DejaVu Sans"/>
        <family val="2"/>
      </rPr>
      <t>도장</t>
    </r>
    <r>
      <rPr>
        <sz val="8"/>
        <color rgb="FF2B2B2B"/>
        <rFont val="DejaVu Sans"/>
        <family val="2"/>
        <charset val="1"/>
      </rPr>
      <t>·</t>
    </r>
  </si>
  <si>
    <r>
      <rPr>
        <sz val="8"/>
        <color rgb="FF2B2B2B"/>
        <rFont val="DejaVu Sans"/>
        <family val="2"/>
      </rPr>
      <t>② 회사의 중대한 귀책사유가 아닌 경우 계약자는 위약금을 회사에 지급한다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</si>
  <si>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 xml:space="preserve">판금 작업 필요 시 </t>
    </r>
    <r>
      <rPr>
        <sz val="8"/>
        <color rgb="FF2B2B2B"/>
        <rFont val="DejaVu Sans"/>
        <family val="2"/>
        <charset val="1"/>
      </rPr>
      <t>30~50</t>
    </r>
    <r>
      <rPr>
        <sz val="8"/>
        <color rgb="FF2B2B2B"/>
        <rFont val="DejaVu Sans"/>
        <family val="2"/>
      </rPr>
      <t>만원 범위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실제 수리비가 본 기준을 초과하는 경우 실비를 기준으</t>
    </r>
  </si>
  <si>
    <r>
      <rPr>
        <sz val="8"/>
        <color rgb="FF2B2B2B"/>
        <rFont val="DejaVu Sans"/>
        <family val="2"/>
      </rPr>
      <t>로 청구할 수 있다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</si>
  <si>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계약의 해지 사유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</si>
  <si>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다음 각 호에 해당하는 경우 계약자는 사전 통지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최고 없이 기한이익을 상실하며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본 </t>
    </r>
  </si>
  <si>
    <r>
      <rPr>
        <sz val="8"/>
        <color theme="1"/>
        <rFont val="DejaVu Sans"/>
        <family val="2"/>
      </rPr>
      <t>계약을 해지하고 차량 인도를 청구할 수 있다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>이륜차 무단 양도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전대 또는 보험 인정 사</t>
    </r>
  </si>
  <si>
    <r>
      <rPr>
        <sz val="8"/>
        <color theme="1"/>
        <rFont val="DejaVu Sans"/>
        <family val="2"/>
      </rPr>
      <t>용자 이외의 자에게 사용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>보험연령 미달자 운전 사실 발견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 xml:space="preserve">정해진 입금일에 렌트료 </t>
    </r>
  </si>
  <si>
    <r>
      <rPr>
        <b/>
        <sz val="9"/>
        <color rgb="FF1F3864"/>
        <rFont val="DejaVu Sans"/>
        <family val="2"/>
      </rPr>
      <t>이용약관의 내용에 대해서 설명을 듣고 확인하였습니다</t>
    </r>
    <r>
      <rPr>
        <b/>
        <sz val="9"/>
        <color rgb="FF1F3864"/>
        <rFont val="DejaVu Sans"/>
        <family val="2"/>
        <charset val="1"/>
      </rPr>
      <t>.</t>
    </r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</si>
  <si>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맑은 고딕"/>
        <family val="3"/>
        <charset val="129"/>
      </rPr>
      <t>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DejaVu Sans"/>
        <family val="2"/>
        <charset val="1"/>
      </rPr>
      <t>")</t>
    </r>
    <r>
      <rPr>
        <sz val="8"/>
        <color rgb="FF2B2B2B"/>
        <rFont val="맑은 고딕"/>
        <family val="3"/>
        <charset val="129"/>
      </rPr>
      <t>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관한 권</t>
    </r>
    <phoneticPr fontId="44" type="noConversion"/>
  </si>
  <si>
    <r>
      <rPr>
        <sz val="8"/>
        <color rgb="FF2B2B2B"/>
        <rFont val="맑은 고딕"/>
        <family val="3"/>
        <charset val="129"/>
      </rPr>
      <t>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</si>
  <si>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t>① "이륜차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계약"이란,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취득하여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사용하게 하고</t>
    </r>
    <phoneticPr fontId="44" type="noConversion"/>
  </si>
  <si>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정기적으로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지급받는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</si>
  <si>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t>④ "보증금"이란, 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금원을</t>
    </r>
    <phoneticPr fontId="44" type="noConversion"/>
  </si>
  <si>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</si>
  <si>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t>⑥ "연대보증인"은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1면에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계약자와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 부담</t>
    </r>
    <phoneticPr fontId="44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</si>
  <si>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</si>
  <si>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관리하는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</t>
    </r>
    <r>
      <rPr>
        <sz val="8"/>
        <color rgb="FF2B2B2B"/>
        <rFont val="DejaVu Sans"/>
        <family val="3"/>
        <charset val="129"/>
      </rPr>
      <t>용</t>
    </r>
    <phoneticPr fontId="44" type="noConversion"/>
  </si>
  <si>
    <r>
      <rPr>
        <sz val="8"/>
        <color rgb="FF2B2B2B"/>
        <rFont val="맑은 고딕"/>
        <family val="3"/>
        <charset val="129"/>
      </rPr>
      <t>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자격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연령을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</t>
    </r>
    <r>
      <rPr>
        <sz val="8"/>
        <color rgb="FF2B2B2B"/>
        <rFont val="DejaVu Sans"/>
        <family val="3"/>
        <charset val="129"/>
      </rPr>
      <t>할</t>
    </r>
    <phoneticPr fontId="44" type="noConversion"/>
  </si>
  <si>
    <r>
      <rPr>
        <sz val="8"/>
        <color rgb="FF2B2B2B"/>
        <rFont val="맑은 고딕"/>
        <family val="3"/>
        <charset val="129"/>
      </rPr>
      <t>의무가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</si>
  <si>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t>⑧ "보험연령"이란, 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운전자로서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최저연령을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본</t>
    </r>
    <phoneticPr fontId="44" type="noConversion"/>
  </si>
  <si>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나이를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</si>
  <si>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t>⑨ "위약금"이란, 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phoneticPr fontId="44" type="noConversion"/>
  </si>
  <si>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</si>
  <si>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t>⑩ "지연손해금"이란,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렌트료·위약금·과태료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phoneticPr fontId="44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</si>
  <si>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</si>
  <si>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t>⑫ "책임보험"이란, 자동차손해배상보장법에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의무보험으로서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대인배상Ⅰ과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대물배상을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보장하</t>
    </r>
    <phoneticPr fontId="44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</si>
  <si>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</si>
  <si>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DejaVu Sans"/>
        <family val="2"/>
      </rPr>
      <t xml:space="preserve"> 이후</t>
    </r>
    <phoneticPr fontId="44" type="noConversion"/>
  </si>
  <si>
    <r>
      <rPr>
        <sz val="8"/>
        <color rgb="FF2B2B2B"/>
        <rFont val="맑은 고딕"/>
        <family val="3"/>
        <charset val="129"/>
      </rPr>
      <t>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</si>
  <si>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DejaVu Sans"/>
        <family val="2"/>
      </rPr>
      <t xml:space="preserve"> 따라</t>
    </r>
    <phoneticPr fontId="44" type="noConversion"/>
  </si>
  <si>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</si>
  <si>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DejaVu Sans"/>
        <family val="2"/>
      </rPr>
      <t>을</t>
    </r>
    <phoneticPr fontId="44" type="noConversion"/>
  </si>
  <si>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</si>
  <si>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사</t>
    </r>
    <r>
      <rPr>
        <sz val="8"/>
        <color rgb="FF2B2B2B"/>
        <rFont val="DejaVu Sans"/>
        <family val="2"/>
      </rPr>
      <t>전</t>
    </r>
    <phoneticPr fontId="44" type="noConversion"/>
  </si>
  <si>
    <r>
      <rPr>
        <sz val="8"/>
        <color rgb="FF2B2B2B"/>
        <rFont val="맑은 고딕"/>
        <family val="3"/>
        <charset val="129"/>
      </rPr>
      <t>동의를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7</t>
    </r>
    <r>
      <rPr>
        <sz val="8"/>
        <color rgb="FF2B2B2B"/>
        <rFont val="맑은 고딕"/>
        <family val="3"/>
        <charset val="129"/>
      </rPr>
      <t>일의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</si>
  <si>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미지급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</t>
    </r>
    <r>
      <rPr>
        <sz val="8"/>
        <color rgb="FF2B2B2B"/>
        <rFont val="DejaVu Sans"/>
        <family val="2"/>
      </rPr>
      <t>시에</t>
    </r>
    <phoneticPr fontId="44" type="noConversion"/>
  </si>
  <si>
    <r>
      <t xml:space="preserve">(1)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맑은 고딕"/>
        <family val="3"/>
        <charset val="129"/>
      </rPr>
      <t>감가손실액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</t>
    </r>
    <r>
      <rPr>
        <sz val="8"/>
        <color rgb="FF2B2B2B"/>
        <rFont val="DejaVu Sans"/>
        <family val="2"/>
        <charset val="1"/>
      </rPr>
      <t>사가 이</t>
    </r>
    <phoneticPr fontId="44" type="noConversion"/>
  </si>
  <si>
    <r>
      <rPr>
        <sz val="8"/>
        <color rgb="FF2B2B2B"/>
        <rFont val="맑은 고딕"/>
        <family val="3"/>
        <charset val="129"/>
      </rPr>
      <t>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</si>
  <si>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DejaVu Sans"/>
        <family val="2"/>
      </rPr>
      <t xml:space="preserve"> 등</t>
    </r>
    <phoneticPr fontId="44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</si>
  <si>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맑은 고딕"/>
        <family val="3"/>
        <charset val="129"/>
      </rPr>
      <t>개월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</si>
  <si>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DejaVu Sans"/>
        <family val="2"/>
      </rPr>
      <t>로</t>
    </r>
    <phoneticPr fontId="44" type="noConversion"/>
  </si>
  <si>
    <r>
      <rPr>
        <sz val="8"/>
        <color rgb="FF2B2B2B"/>
        <rFont val="맑은 고딕"/>
        <family val="3"/>
        <charset val="129"/>
      </rPr>
      <t>청구한다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</si>
  <si>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</t>
    </r>
    <r>
      <rPr>
        <sz val="8"/>
        <color rgb="FF2B2B2B"/>
        <rFont val="DejaVu Sans"/>
        <family val="2"/>
      </rPr>
      <t>부</t>
    </r>
    <phoneticPr fontId="4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</si>
  <si>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</t>
    </r>
    <r>
      <rPr>
        <sz val="8"/>
        <color rgb="FF2B2B2B"/>
        <rFont val="DejaVu Sans"/>
        <family val="2"/>
      </rPr>
      <t>사는</t>
    </r>
    <phoneticPr fontId="44" type="noConversion"/>
  </si>
  <si>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</si>
  <si>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</t>
    </r>
    <r>
      <rPr>
        <sz val="8"/>
        <color rgb="FF2B2B2B"/>
        <rFont val="DejaVu Sans"/>
        <family val="2"/>
      </rPr>
      <t>무를</t>
    </r>
    <phoneticPr fontId="44" type="noConversion"/>
  </si>
  <si>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</si>
  <si>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DejaVu Sans"/>
        <family val="2"/>
      </rPr>
      <t>이내</t>
    </r>
    <phoneticPr fontId="44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</si>
  <si>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</si>
  <si>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보증하며, 계</t>
    </r>
    <phoneticPr fontId="44" type="noConversion"/>
  </si>
  <si>
    <r>
      <rPr>
        <sz val="8"/>
        <color rgb="FF2B2B2B"/>
        <rFont val="맑은 고딕"/>
        <family val="3"/>
        <charset val="129"/>
      </rPr>
      <t>약자와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</si>
  <si>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DejaVu Sans"/>
        <family val="2"/>
      </rPr>
      <t xml:space="preserve"> 채무</t>
    </r>
    <phoneticPr fontId="44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</si>
  <si>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</si>
  <si>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</t>
    </r>
    <r>
      <rPr>
        <sz val="8"/>
        <color rgb="FF2B2B2B"/>
        <rFont val="DejaVu Sans"/>
        <family val="2"/>
      </rPr>
      <t xml:space="preserve"> 받을</t>
    </r>
    <phoneticPr fontId="44" type="noConversion"/>
  </si>
  <si>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</si>
  <si>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날인하지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</t>
    </r>
    <r>
      <rPr>
        <sz val="8"/>
        <color rgb="FF2B2B2B"/>
        <rFont val="DejaVu Sans"/>
        <family val="2"/>
      </rPr>
      <t xml:space="preserve"> 것으</t>
    </r>
    <phoneticPr fontId="44" type="noConversion"/>
  </si>
  <si>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2"/>
        <charset val="1"/>
      </rPr>
      <t>, 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DejaVu Sans"/>
        <family val="3"/>
        <charset val="129"/>
      </rPr>
      <t xml:space="preserve"> 이의</t>
    </r>
    <phoneticPr fontId="44" type="noConversion"/>
  </si>
  <si>
    <r>
      <rPr>
        <sz val="8"/>
        <color rgb="FF2B2B2B"/>
        <rFont val="맑은 고딕"/>
        <family val="3"/>
        <charset val="129"/>
      </rPr>
      <t>제기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교체를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</si>
  <si>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적용된다.</t>
    </r>
    <phoneticPr fontId="44" type="noConversion"/>
  </si>
  <si>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수취하는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DejaVu Sans"/>
        <family val="3"/>
        <charset val="129"/>
      </rPr>
      <t xml:space="preserve"> 적용될</t>
    </r>
    <phoneticPr fontId="44" type="noConversion"/>
  </si>
  <si>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</si>
  <si>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보험환급금은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44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</si>
  <si>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환급을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</si>
  <si>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계약자이며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인적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맑은 고딕"/>
        <family val="3"/>
        <charset val="129"/>
      </rPr>
      <t>물적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</t>
    </r>
    <r>
      <rPr>
        <sz val="8"/>
        <color theme="1"/>
        <rFont val="DejaVu Sans"/>
        <family val="2"/>
      </rPr>
      <t>임</t>
    </r>
    <phoneticPr fontId="44" type="noConversion"/>
  </si>
  <si>
    <r>
      <rPr>
        <sz val="8"/>
        <color theme="1"/>
        <rFont val="맑은 고딕"/>
        <family val="3"/>
        <charset val="129"/>
      </rPr>
      <t>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전적으로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운행하게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경우에도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운행자성은</t>
    </r>
    <r>
      <rPr>
        <sz val="8"/>
        <color theme="1"/>
        <rFont val="DejaVu Sans"/>
        <family val="3"/>
        <charset val="129"/>
      </rPr>
      <t xml:space="preserve"> 여</t>
    </r>
    <phoneticPr fontId="44" type="noConversion"/>
  </si>
  <si>
    <r>
      <rPr>
        <sz val="8"/>
        <color theme="1"/>
        <rFont val="맑은 고딕"/>
        <family val="3"/>
        <charset val="129"/>
      </rPr>
      <t>전히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있다</t>
    </r>
    <r>
      <rPr>
        <sz val="8"/>
        <color theme="1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</si>
  <si>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계열사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맑은 고딕"/>
        <family val="3"/>
        <charset val="129"/>
      </rPr>
      <t>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44" type="noConversion"/>
  </si>
  <si>
    <r>
      <rPr>
        <sz val="8"/>
        <color rgb="FF2B2B2B"/>
        <rFont val="맑은 고딕"/>
        <family val="3"/>
        <charset val="129"/>
      </rPr>
      <t>약은 미수금이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양방향으로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작용한다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계열사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phoneticPr fontId="44" type="noConversion"/>
  </si>
  <si>
    <r>
      <rPr>
        <sz val="8"/>
        <color rgb="FF2B2B2B"/>
        <rFont val="맑은 고딕"/>
        <family val="3"/>
        <charset val="129"/>
      </rPr>
      <t xml:space="preserve"> 발생한 미수금은 계열사 계약에 동일하게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작용하여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미수금이</t>
    </r>
    <r>
      <rPr>
        <sz val="8"/>
        <color rgb="FF2B2B2B"/>
        <rFont val="Arial"/>
        <family val="2"/>
      </rPr>
      <t xml:space="preserve"> 7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지속되는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회사든</t>
    </r>
    <phoneticPr fontId="44" type="noConversion"/>
  </si>
  <si>
    <t>자사 계약을 해지하고 차량을 즉시 회수할 수 있다.</t>
    <phoneticPr fontId="44" type="noConversion"/>
  </si>
  <si>
    <t>② 발행 대상이 변경되는 경우 계약자는 익월 5일까지 회사에 통지한다.</t>
  </si>
  <si>
    <t>③ 세금계산서 또는 현금영수증 발행에 영향을 미치는 사항에 변경이 발생한 경우 즉시 회사에 통지</t>
  </si>
  <si>
    <t>하며, 통지의무 해태로 발생하는 불이익은 계약자가 부담한다.</t>
  </si>
  <si>
    <r>
      <rPr>
        <sz val="8"/>
        <color theme="1"/>
        <rFont val="맑은 고딕"/>
        <family val="3"/>
        <charset val="129"/>
      </rPr>
      <t>미납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7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지체</t>
    </r>
    <r>
      <rPr>
        <sz val="8"/>
        <color theme="1"/>
        <rFont val="DejaVu Sans"/>
        <family val="2"/>
        <charset val="1"/>
      </rPr>
      <t xml:space="preserve">, (4) </t>
    </r>
    <r>
      <rPr>
        <sz val="8"/>
        <color theme="1"/>
        <rFont val="맑은 고딕"/>
        <family val="3"/>
        <charset val="129"/>
      </rPr>
      <t>통지받은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수리비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맑은 고딕"/>
        <family val="3"/>
        <charset val="129"/>
      </rPr>
      <t>과태료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맑은 고딕"/>
        <family val="3"/>
        <charset val="129"/>
      </rPr>
      <t>구상금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등을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정당한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없이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DejaVu Sans"/>
        <family val="2"/>
        <charset val="1"/>
      </rPr>
      <t>5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이내</t>
    </r>
    <r>
      <rPr>
        <sz val="8"/>
        <color theme="1"/>
        <rFont val="Arial"/>
        <family val="2"/>
      </rPr>
      <t xml:space="preserve"> </t>
    </r>
    <phoneticPr fontId="44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</si>
  <si>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해고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교육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관리를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사용자가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일으킨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범칙</t>
    </r>
    <phoneticPr fontId="44" type="noConversion"/>
  </si>
  <si>
    <t>금·구상금에 대해 관리 해태 여부를 불문하고 전적으로 책임진다. 회사에 대해 사용자의 행위를 이유</t>
    <phoneticPr fontId="44" type="noConversion"/>
  </si>
  <si>
    <t>로 책임을 면할 수 없다.</t>
    <phoneticPr fontId="44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</si>
  <si>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DejaVu Sans"/>
        <family val="2"/>
        <charset val="1"/>
      </rPr>
      <t>12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맑은 고딕"/>
        <family val="3"/>
        <charset val="129"/>
      </rPr>
      <t>보험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면책사고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구상금</t>
    </r>
    <r>
      <rPr>
        <b/>
        <sz val="9"/>
        <color rgb="FF1F4E89"/>
        <rFont val="DejaVu Sans"/>
        <family val="2"/>
        <charset val="1"/>
      </rPr>
      <t>)</t>
    </r>
    <phoneticPr fontId="44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</si>
  <si>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DejaVu Sans"/>
        <family val="2"/>
        <charset val="1"/>
      </rPr>
      <t>13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맑은 고딕"/>
        <family val="3"/>
        <charset val="129"/>
      </rPr>
      <t>보험연령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미달자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운전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책임</t>
    </r>
    <r>
      <rPr>
        <b/>
        <sz val="9"/>
        <color rgb="FF1F4E89"/>
        <rFont val="DejaVu Sans"/>
        <family val="2"/>
        <charset val="1"/>
      </rPr>
      <t>)</t>
    </r>
    <phoneticPr fontId="44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</si>
  <si>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</t>
    </r>
    <phoneticPr fontId="44" type="noConversion"/>
  </si>
  <si>
    <r>
      <rPr>
        <sz val="8"/>
        <color rgb="FF2B2B2B"/>
        <rFont val="맑은 고딕"/>
        <family val="3"/>
        <charset val="129"/>
      </rPr>
      <t>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미달자에게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맑은 고딕"/>
        <family val="3"/>
        <charset val="129"/>
      </rPr>
      <t>이륜</t>
    </r>
    <r>
      <rPr>
        <sz val="8"/>
        <color rgb="FF2B2B2B"/>
        <rFont val="DejaVu Sans"/>
        <family val="3"/>
        <charset val="129"/>
      </rPr>
      <t>차</t>
    </r>
    <phoneticPr fontId="44" type="noConversion"/>
  </si>
  <si>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성능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기능의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DejaVu Sans"/>
        <family val="2"/>
        <charset val="1"/>
      </rPr>
      <t xml:space="preserve">, (4)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</t>
    </r>
    <r>
      <rPr>
        <sz val="8"/>
        <color rgb="FF2B2B2B"/>
        <rFont val="DejaVu Sans"/>
        <family val="3"/>
        <charset val="129"/>
      </rPr>
      <t>권 침</t>
    </r>
    <phoneticPr fontId="44" type="noConversion"/>
  </si>
  <si>
    <r>
      <rPr>
        <sz val="8"/>
        <color rgb="FF2B2B2B"/>
        <rFont val="맑은 고딕"/>
        <family val="3"/>
        <charset val="129"/>
      </rPr>
      <t>침해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2"/>
        <charset val="1"/>
      </rPr>
      <t xml:space="preserve">, (5)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은닉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위치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효용</t>
    </r>
    <r>
      <rPr>
        <sz val="8"/>
        <color rgb="FF2B2B2B"/>
        <rFont val="DejaVu Sans"/>
        <family val="3"/>
        <charset val="129"/>
      </rPr>
      <t>을 해</t>
    </r>
    <phoneticPr fontId="44" type="noConversion"/>
  </si>
  <si>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2"/>
        <charset val="1"/>
      </rPr>
      <t>.</t>
    </r>
    <phoneticPr fontId="4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</si>
  <si>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4" type="noConversion"/>
  </si>
  <si>
    <t>사업자 본인이 연대보증인이 된다.</t>
    <phoneticPr fontId="4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</si>
  <si>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법인대표가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개인사업자인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phoneticPr fontId="4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</si>
  <si>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운행자성은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</t>
    </r>
    <phoneticPr fontId="44" type="noConversion"/>
  </si>
  <si>
    <r>
      <rPr>
        <sz val="8"/>
        <color theme="1"/>
        <rFont val="맑은 고딕"/>
        <family val="3"/>
        <charset val="129"/>
      </rPr>
      <t>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사용자가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일으킨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손해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구상금은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행위라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하더라도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관리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감독을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해태한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</t>
    </r>
    <phoneticPr fontId="44" type="noConversion"/>
  </si>
  <si>
    <t>적으로 책임진다.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</si>
</sst>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8"/>
      <color rgb="FFC00000"/>
      <name val="DejaVu Sans"/>
      <family val="2"/>
      <charset val="1"/>
    </font>
    <font>
      <i/>
      <sz val="8"/>
      <color rgb="FF595959"/>
      <name val="DejaVu Sans"/>
      <family val="2"/>
    </font>
    <font>
      <i/>
      <sz val="8"/>
      <color rgb="FF595959"/>
      <name val="DejaVu Sans"/>
      <family val="2"/>
      <charset val="1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b/>
      <sz val="9"/>
      <color rgb="FFC00000"/>
      <name val="DejaVu Sans"/>
      <family val="2"/>
      <charset val="1"/>
    </font>
    <font>
      <b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/>
      <sz val="9"/>
      <color rgb="FF1F3864"/>
      <name val="맑은 고딕"/>
      <family val="3"/>
      <charset val="129"/>
    </font>
    <font>
      <b/>
      <sz val="14"/>
      <color rgb="FFFFFFFF"/>
      <name val="DejaVu Sans"/>
      <family val="2"/>
    </font>
    <font>
      <b/>
      <sz val="9"/>
      <color rgb="FF1F4E89"/>
      <name val="DejaVu Sans"/>
      <family val="2"/>
    </font>
    <font>
      <b/>
      <sz val="9"/>
      <color rgb="FF1F4E89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DejaVu Sans"/>
      <family val="2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1"/>
      <charset val="129"/>
    </font>
    <font>
      <sz val="8"/>
      <color theme="1"/>
      <name val="DejaVu Sans"/>
      <family val="2"/>
      <charset val="1"/>
    </font>
    <font>
      <sz val="8"/>
      <color rgb="FFC00000"/>
      <name val="맑은 고딕"/>
      <family val="3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color theme="1"/>
      <name val="Arial"/>
      <family val="2"/>
    </font>
    <font>
      <sz val="8"/>
      <color theme="1"/>
      <name val="Segoe UI Symbol"/>
      <family val="1"/>
    </font>
    <font>
      <sz val="8"/>
      <color theme="1"/>
      <name val="DejaVu Sans"/>
      <family val="1"/>
    </font>
    <font>
      <sz val="8"/>
      <color theme="1"/>
      <name val="DejaVu Sans"/>
      <family val="3"/>
      <charset val="129"/>
    </font>
    <font>
      <b/>
      <sz val="9"/>
      <color rgb="FF1F4E89"/>
      <name val="맑은 고딕"/>
      <family val="3"/>
      <charset val="129"/>
    </font>
    <font>
      <b/>
      <sz val="9"/>
      <color rgb="FF1F4E89"/>
      <name val="Arial"/>
      <family val="2"/>
    </font>
    <font>
      <b/>
      <sz val="9"/>
      <color rgb="FF1F4E89"/>
      <name val="DejaVu Sans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0E2E5C"/>
      </patternFill>
    </fill>
    <fill>
      <patternFill patternType="solid">
        <fgColor rgb="FFEAF0F8"/>
        <bgColor rgb="FFE8EE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3" fillId="7" borderId="1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left" vertical="center" wrapText="1" indent="1"/>
    </xf>
    <xf numFmtId="0" fontId="14" fillId="4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right" vertical="center" wrapText="1"/>
    </xf>
    <xf numFmtId="0" fontId="9" fillId="5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28" fillId="11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left" vertical="center" wrapText="1" indent="1"/>
    </xf>
    <xf numFmtId="0" fontId="29" fillId="6" borderId="0" xfId="0" applyFont="1" applyFill="1" applyAlignment="1">
      <alignment horizontal="left" vertical="center" wrapText="1" indent="1"/>
    </xf>
    <xf numFmtId="0" fontId="31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0" fontId="34" fillId="0" borderId="0" xfId="0" applyFont="1" applyAlignment="1">
      <alignment horizontal="left" vertical="top" wrapText="1" indent="1"/>
    </xf>
    <xf numFmtId="0" fontId="36" fillId="0" borderId="0" xfId="0" applyFont="1" applyAlignment="1">
      <alignment horizontal="left" vertical="top" wrapText="1" indent="1"/>
    </xf>
    <xf numFmtId="0" fontId="37" fillId="0" borderId="0" xfId="0" applyFont="1" applyAlignment="1">
      <alignment horizontal="left" vertical="top" wrapText="1" indent="1"/>
    </xf>
    <xf numFmtId="0" fontId="35" fillId="0" borderId="0" xfId="0" applyFont="1" applyAlignment="1">
      <alignment horizontal="left" vertical="top" wrapText="1" indent="1"/>
    </xf>
    <xf numFmtId="0" fontId="39" fillId="0" borderId="0" xfId="0" applyFont="1" applyAlignment="1">
      <alignment horizontal="left" vertical="top" wrapText="1" indent="1"/>
    </xf>
    <xf numFmtId="0" fontId="40" fillId="0" borderId="0" xfId="0" applyFont="1" applyAlignment="1">
      <alignment horizontal="left" vertical="center" indent="1"/>
    </xf>
    <xf numFmtId="0" fontId="41" fillId="0" borderId="0" xfId="0" applyFont="1" applyAlignment="1">
      <alignment horizontal="left" vertical="center" indent="1"/>
    </xf>
    <xf numFmtId="0" fontId="10" fillId="12" borderId="0" xfId="0" applyFont="1" applyFill="1" applyAlignment="1">
      <alignment horizontal="left" vertical="center" wrapText="1"/>
    </xf>
    <xf numFmtId="0" fontId="42" fillId="0" borderId="0" xfId="0" applyFont="1" applyAlignment="1">
      <alignment vertical="center"/>
    </xf>
    <xf numFmtId="0" fontId="22" fillId="0" borderId="0" xfId="0" applyFont="1" applyAlignment="1">
      <alignment horizontal="left" vertical="center" wrapText="1" indent="1"/>
    </xf>
    <xf numFmtId="0" fontId="43" fillId="0" borderId="0" xfId="0" applyFont="1"/>
    <xf numFmtId="0" fontId="22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 indent="1"/>
    </xf>
    <xf numFmtId="0" fontId="10" fillId="10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left" vertical="center" wrapText="1" indent="1"/>
    </xf>
    <xf numFmtId="0" fontId="10" fillId="10" borderId="4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left" vertical="top" wrapText="1" indent="1"/>
    </xf>
    <xf numFmtId="0" fontId="32" fillId="0" borderId="0" xfId="0" applyFont="1" applyAlignment="1">
      <alignment horizontal="left" vertical="top" wrapText="1" indent="1"/>
    </xf>
    <xf numFmtId="0" fontId="50" fillId="0" borderId="0" xfId="0" applyFont="1" applyAlignment="1">
      <alignment horizontal="left" vertical="top" wrapText="1" indent="1"/>
    </xf>
    <xf numFmtId="0" fontId="51" fillId="0" borderId="0" xfId="0" applyFont="1" applyAlignment="1">
      <alignment horizontal="left" vertical="top" wrapText="1" indent="1"/>
    </xf>
    <xf numFmtId="0" fontId="54" fillId="6" borderId="0" xfId="0" applyFont="1" applyFill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25" width="18" customWidth="1"/>
    <col min="26" max="26" width="14" customWidth="1"/>
    <col min="27" max="27" width="18" customWidth="1"/>
    <col min="28" max="28" width="22" customWidth="1"/>
  </cols>
  <sheetData>
    <row r="1" spans="1:28" ht="30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</row>
    <row r="2" spans="1:28" ht="46.5" customHeight="1">
      <c r="A2" s="16">
        <v>1</v>
      </c>
      <c r="B2" s="16" t="s">
        <v>28</v>
      </c>
      <c r="C2" s="16" t="s">
        <v>29</v>
      </c>
      <c r="D2" s="16" t="s">
        <v>30</v>
      </c>
      <c r="E2" s="16" t="s">
        <v>31</v>
      </c>
      <c r="F2" s="17" t="s">
        <v>32</v>
      </c>
      <c r="G2" s="17" t="s">
        <v>33</v>
      </c>
      <c r="H2" s="17" t="s">
        <v>34</v>
      </c>
      <c r="I2" s="16">
        <v>26400</v>
      </c>
      <c r="J2" s="16">
        <v>365</v>
      </c>
      <c r="K2" s="16">
        <v>300000</v>
      </c>
      <c r="L2" s="17" t="s">
        <v>35</v>
      </c>
      <c r="M2" s="16" t="s">
        <v>36</v>
      </c>
      <c r="N2" s="17" t="s">
        <v>37</v>
      </c>
      <c r="O2" s="17" t="s">
        <v>38</v>
      </c>
      <c r="P2" s="16" t="s">
        <v>39</v>
      </c>
      <c r="Q2" s="16" t="s">
        <v>40</v>
      </c>
      <c r="R2" s="16" t="s">
        <v>41</v>
      </c>
      <c r="S2" s="16" t="s">
        <v>39</v>
      </c>
      <c r="T2" s="17" t="s">
        <v>42</v>
      </c>
      <c r="U2" s="17" t="s">
        <v>43</v>
      </c>
      <c r="V2" s="17" t="s">
        <v>44</v>
      </c>
      <c r="W2" s="17" t="s">
        <v>45</v>
      </c>
      <c r="X2" s="17" t="s">
        <v>46</v>
      </c>
      <c r="Y2" s="17" t="s">
        <v>47</v>
      </c>
      <c r="Z2" s="17" t="s">
        <v>48</v>
      </c>
      <c r="AA2" s="16"/>
      <c r="AB2" s="16" t="str">
        <f>IF(Y2="월2회(15일,말일)","월2회 (15일·말일)",IF(Y2="","","월1회 (말일)"))</f>
        <v>월2회 (15일·말일)</v>
      </c>
    </row>
  </sheetData>
  <phoneticPr fontId="44" type="noConversion"/>
  <dataValidations count="1">
    <dataValidation type="list" allowBlank="1" errorTitle="사업자유형 선택" error="개인사업자 또는 법인만 선택" sqref="Z2:Z1002" xr:uid="{00000000-0002-0000-0000-000000000000}">
      <formula1>"개인사업자,법인"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9"/>
  <sheetViews>
    <sheetView view="pageBreakPreview" topLeftCell="A34" zoomScaleNormal="100" workbookViewId="0">
      <selection activeCell="B49" sqref="B49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18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19"/>
      <c r="B1" s="19"/>
      <c r="C1" s="19"/>
      <c r="D1" s="19"/>
      <c r="E1" s="20"/>
      <c r="F1" s="19"/>
      <c r="G1" s="19"/>
      <c r="H1" s="19"/>
      <c r="I1" s="19"/>
      <c r="J1" s="19"/>
      <c r="K1" s="19"/>
      <c r="L1" s="21" t="s">
        <v>49</v>
      </c>
    </row>
    <row r="2" spans="1:12" ht="48" customHeight="1">
      <c r="A2" s="19"/>
      <c r="B2" s="13" t="s">
        <v>50</v>
      </c>
      <c r="C2" s="13"/>
      <c r="D2" s="13"/>
      <c r="E2" s="13"/>
      <c r="F2" s="13"/>
      <c r="G2" s="13"/>
      <c r="H2" s="13"/>
      <c r="I2" s="13"/>
      <c r="J2" s="13"/>
      <c r="K2" s="19"/>
      <c r="L2" s="22">
        <v>1</v>
      </c>
    </row>
    <row r="3" spans="1:12" ht="24" customHeight="1">
      <c r="A3" s="19"/>
      <c r="B3" s="12" t="s">
        <v>51</v>
      </c>
      <c r="C3" s="12"/>
      <c r="D3" s="12"/>
      <c r="E3" s="12"/>
      <c r="F3" s="11" t="s">
        <v>0</v>
      </c>
      <c r="G3" s="11"/>
      <c r="H3" s="11"/>
      <c r="I3" s="10" t="str">
        <f>IFERROR(TEXT($L$2,"0000"),"")</f>
        <v>0001</v>
      </c>
      <c r="J3" s="10"/>
      <c r="K3" s="19"/>
      <c r="L3" s="19"/>
    </row>
    <row r="4" spans="1:12" ht="7.5" customHeight="1">
      <c r="A4" s="19"/>
      <c r="B4" s="19"/>
      <c r="C4" s="19"/>
      <c r="D4" s="19"/>
      <c r="E4" s="20"/>
      <c r="F4" s="19"/>
      <c r="G4" s="19"/>
      <c r="H4" s="19"/>
      <c r="I4" s="19"/>
      <c r="J4" s="19"/>
      <c r="K4" s="19"/>
      <c r="L4" s="19"/>
    </row>
    <row r="5" spans="1:12" ht="25.5" customHeight="1">
      <c r="A5" s="19"/>
      <c r="B5" s="9" t="s">
        <v>52</v>
      </c>
      <c r="C5" s="9"/>
      <c r="D5" s="9"/>
      <c r="E5" s="9"/>
      <c r="F5" s="9"/>
      <c r="G5" s="9"/>
      <c r="H5" s="9"/>
      <c r="I5" s="9"/>
      <c r="J5" s="9"/>
      <c r="K5" s="19"/>
      <c r="L5" s="19"/>
    </row>
    <row r="6" spans="1:12" ht="21.75" customHeight="1">
      <c r="A6" s="19"/>
      <c r="B6" s="23" t="s">
        <v>2</v>
      </c>
      <c r="C6" s="8" t="str">
        <f>IFERROR(IF(VLOOKUP($L$2,계약리스트!$A$2:$AD$10000,3,0)="","",VLOOKUP($L$2,계약리스트!$A$2:$AD$10000,3,0)),"")</f>
        <v>UHR150</v>
      </c>
      <c r="D6" s="8"/>
      <c r="E6" s="23" t="s">
        <v>4</v>
      </c>
      <c r="F6" s="8" t="str">
        <f>IFERROR(IF(VLOOKUP($L$2,계약리스트!$A$2:$AD$10000,5,0)="","",VLOOKUP($L$2,계약리스트!$A$2:$AD$10000,5,0)),"")</f>
        <v>1나88370</v>
      </c>
      <c r="G6" s="8"/>
      <c r="H6" s="23" t="s">
        <v>5</v>
      </c>
      <c r="I6" s="8" t="str">
        <f>IFERROR(IF(VLOOKUP($L$2,계약리스트!$A$2:$AD$10000,6,0)="","",VLOOKUP($L$2,계약리스트!$A$2:$AD$10000,6,0)),"")</f>
        <v>화이트</v>
      </c>
      <c r="J6" s="8"/>
      <c r="K6" s="19"/>
      <c r="L6" s="19"/>
    </row>
    <row r="7" spans="1:12" ht="21.75" customHeight="1">
      <c r="A7" s="19"/>
      <c r="B7" s="23" t="s">
        <v>3</v>
      </c>
      <c r="C7" s="8" t="str">
        <f>IFERROR(IF(VLOOKUP($L$2,계약리스트!$A$2:$AD$10000,4,0)="","",VLOOKUP($L$2,계약리스트!$A$2:$AD$10000,4,0)),"")</f>
        <v>LWMTDKH95THJ00467</v>
      </c>
      <c r="D7" s="8"/>
      <c r="E7" s="23" t="s">
        <v>6</v>
      </c>
      <c r="F7" s="8" t="str">
        <f>IFERROR(IF(VLOOKUP($L$2,계약리스트!$A$2:$AD$10000,7,0)="","",VLOOKUP($L$2,계약리스트!$A$2:$AD$10000,7,0)),"")</f>
        <v>비포함</v>
      </c>
      <c r="G7" s="8"/>
      <c r="H7" s="23" t="s">
        <v>53</v>
      </c>
      <c r="I7" s="8" t="str">
        <f>IFERROR(IF(VLOOKUP($L$2,계약리스트!$A$2:$AD$10000,2,0)="","",VLOOKUP($L$2,계약리스트!$A$2:$AD$10000,2,0)),"")</f>
        <v>2026-04-24</v>
      </c>
      <c r="J7" s="8"/>
      <c r="K7" s="19"/>
      <c r="L7" s="19"/>
    </row>
    <row r="8" spans="1:12" ht="25.5" customHeight="1">
      <c r="A8" s="19"/>
      <c r="B8" s="24" t="s">
        <v>7</v>
      </c>
      <c r="C8" s="7" t="str">
        <f>IFERROR(IF(VLOOKUP($L$2,계약리스트!$A$2:$AD$10000,8,0)="","",VLOOKUP($L$2,계약리스트!$A$2:$AD$10000,8,0)),"")</f>
        <v>만30세</v>
      </c>
      <c r="D8" s="7"/>
      <c r="E8" s="6" t="s">
        <v>54</v>
      </c>
      <c r="F8" s="6"/>
      <c r="G8" s="6"/>
      <c r="H8" s="6"/>
      <c r="I8" s="6"/>
      <c r="J8" s="6"/>
      <c r="K8" s="19"/>
      <c r="L8" s="19"/>
    </row>
    <row r="9" spans="1:12" ht="7.5" customHeight="1">
      <c r="A9" s="19"/>
      <c r="B9" s="19"/>
      <c r="C9" s="19"/>
      <c r="D9" s="19"/>
      <c r="E9" s="20"/>
      <c r="F9" s="19"/>
      <c r="G9" s="19"/>
      <c r="H9" s="19"/>
      <c r="I9" s="19"/>
      <c r="J9" s="19"/>
      <c r="K9" s="19"/>
      <c r="L9" s="19"/>
    </row>
    <row r="10" spans="1:12" ht="25.5" customHeight="1">
      <c r="A10" s="19"/>
      <c r="B10" s="9" t="str">
        <f>"■ 계약자    [사업자유형: " &amp; IFERROR(IF(VLOOKUP($L$2,계약리스트!$A$2:$AD$10000,26,0)="","미입력",VLOOKUP($L$2,계약리스트!$A$2:$AD$10000,26,0)),"미입력") &amp; "]"</f>
        <v>■ 계약자    [사업자유형: 개인사업자]</v>
      </c>
      <c r="C10" s="9"/>
      <c r="D10" s="9"/>
      <c r="E10" s="9"/>
      <c r="F10" s="9"/>
      <c r="G10" s="9"/>
      <c r="H10" s="9"/>
      <c r="I10" s="9"/>
      <c r="J10" s="9"/>
      <c r="K10" s="19"/>
      <c r="L10" s="19"/>
    </row>
    <row r="11" spans="1:12" ht="21.75" customHeight="1">
      <c r="A11" s="19"/>
      <c r="B11" s="23" t="s">
        <v>55</v>
      </c>
      <c r="C11" s="8" t="str">
        <f>IFERROR(IF(VLOOKUP($L$2,계약리스트!$A$2:$AD$10000,12,0)="","",VLOOKUP($L$2,계약리스트!$A$2:$AD$10000,12,0)),"")</f>
        <v>중앙 오토바이 가수점</v>
      </c>
      <c r="D11" s="8"/>
      <c r="E11" s="23" t="s">
        <v>12</v>
      </c>
      <c r="F11" s="8" t="str">
        <f>IFERROR(IF(VLOOKUP($L$2,계약리스트!$A$2:$AD$10000,13,0)="","",VLOOKUP($L$2,계약리스트!$A$2:$AD$10000,13,0)),"")</f>
        <v>737-55-00719</v>
      </c>
      <c r="G11" s="8"/>
      <c r="H11" s="23" t="s">
        <v>13</v>
      </c>
      <c r="I11" s="8" t="str">
        <f>IFERROR(IF(VLOOKUP($L$2,계약리스트!$A$2:$AD$10000,14,0)="","",VLOOKUP($L$2,계약리스트!$A$2:$AD$10000,14,0)),"")</f>
        <v>안종식</v>
      </c>
      <c r="J11" s="8"/>
      <c r="K11" s="19"/>
      <c r="L11" s="19"/>
    </row>
    <row r="12" spans="1:12" ht="21.75" customHeight="1">
      <c r="A12" s="19"/>
      <c r="B12" s="23" t="s">
        <v>56</v>
      </c>
      <c r="C12" s="8" t="str">
        <f>IFERROR(IF(VLOOKUP($L$2,계약리스트!$A$2:$AD$10000,16,0)="","",VLOOKUP($L$2,계약리스트!$A$2:$AD$10000,16,0)),"")</f>
        <v>010-5813-7336</v>
      </c>
      <c r="D12" s="8"/>
      <c r="E12" s="23" t="s">
        <v>14</v>
      </c>
      <c r="F12" s="5" t="str">
        <f>IFERROR(IF(VLOOKUP($L$2,계약리스트!$A$2:$AD$10000,15,0)="","",VLOOKUP($L$2,계약리스트!$A$2:$AD$10000,15,0)),"")</f>
        <v>경기도 오산시 가장로 763, 1층 5,6호(가수동)</v>
      </c>
      <c r="G12" s="5"/>
      <c r="H12" s="5"/>
      <c r="I12" s="5"/>
      <c r="J12" s="5"/>
      <c r="K12" s="19"/>
      <c r="L12" s="19"/>
    </row>
    <row r="13" spans="1:12" ht="19.5" customHeight="1">
      <c r="A13" s="19"/>
      <c r="B13" s="4" t="s">
        <v>57</v>
      </c>
      <c r="C13" s="4"/>
      <c r="D13" s="4"/>
      <c r="E13" s="4"/>
      <c r="F13" s="4"/>
      <c r="G13" s="4"/>
      <c r="H13" s="4"/>
      <c r="I13" s="4"/>
      <c r="J13" s="4"/>
      <c r="K13" s="19"/>
      <c r="L13" s="19"/>
    </row>
    <row r="14" spans="1:12" ht="7.5" customHeight="1">
      <c r="A14" s="19"/>
      <c r="B14" s="19"/>
      <c r="C14" s="19"/>
      <c r="D14" s="19"/>
      <c r="E14" s="20"/>
      <c r="F14" s="19"/>
      <c r="G14" s="19"/>
      <c r="H14" s="19"/>
      <c r="I14" s="19"/>
      <c r="J14" s="19"/>
      <c r="K14" s="19"/>
      <c r="L14" s="19"/>
    </row>
    <row r="15" spans="1:12" ht="25.5" customHeight="1">
      <c r="A15" s="19"/>
      <c r="B15" s="9" t="s">
        <v>58</v>
      </c>
      <c r="C15" s="9"/>
      <c r="D15" s="9"/>
      <c r="E15" s="9"/>
      <c r="F15" s="9"/>
      <c r="G15" s="9"/>
      <c r="H15" s="9"/>
      <c r="I15" s="9"/>
      <c r="J15" s="9"/>
      <c r="K15" s="19"/>
      <c r="L15" s="19"/>
    </row>
    <row r="16" spans="1:12" ht="21.75" customHeight="1">
      <c r="A16" s="19"/>
      <c r="B16" s="23" t="s">
        <v>59</v>
      </c>
      <c r="C16" s="8" t="str">
        <f>IFERROR(IF(VLOOKUP($L$2,계약리스트!$A$2:$AD$10000,14,0)="","",VLOOKUP($L$2,계약리스트!$A$2:$AD$10000,14,0)),"")</f>
        <v>안종식</v>
      </c>
      <c r="D16" s="8"/>
      <c r="E16" s="23" t="s">
        <v>60</v>
      </c>
      <c r="F16" s="8" t="str">
        <f>IFERROR(IF(VLOOKUP($L$2,계약리스트!$A$2:$AD$10000,18,0)="","",VLOOKUP($L$2,계약리스트!$A$2:$AD$10000,18,0)),"")</f>
        <v>820530-1046518</v>
      </c>
      <c r="G16" s="8"/>
      <c r="H16" s="23" t="s">
        <v>56</v>
      </c>
      <c r="I16" s="8" t="str">
        <f>IFERROR(IF(VLOOKUP($L$2,계약리스트!$A$2:$AD$10000,19,0)="","",VLOOKUP($L$2,계약리스트!$A$2:$AD$10000,19,0)),"")</f>
        <v>010-5813-7336</v>
      </c>
      <c r="J16" s="8"/>
      <c r="K16" s="19"/>
      <c r="L16" s="19"/>
    </row>
    <row r="17" spans="1:12" ht="21.75" customHeight="1">
      <c r="A17" s="19"/>
      <c r="B17" s="23" t="s">
        <v>61</v>
      </c>
      <c r="C17" s="5" t="str">
        <f>IFERROR(IF(VLOOKUP($L$2,계약리스트!$A$2:$AD$10000,20,0)="","",VLOOKUP($L$2,계약리스트!$A$2:$AD$10000,20,0)),"")</f>
        <v>경기도 오산시 궐동로 77, 1층(궐동)</v>
      </c>
      <c r="D17" s="5"/>
      <c r="E17" s="5"/>
      <c r="F17" s="5"/>
      <c r="G17" s="5"/>
      <c r="H17" s="5"/>
      <c r="I17" s="5"/>
      <c r="J17" s="5"/>
      <c r="K17" s="19"/>
      <c r="L17" s="19"/>
    </row>
    <row r="18" spans="1:12" ht="19.5" customHeight="1">
      <c r="A18" s="19"/>
      <c r="B18" s="4" t="s">
        <v>62</v>
      </c>
      <c r="C18" s="4"/>
      <c r="D18" s="4"/>
      <c r="E18" s="4"/>
      <c r="F18" s="4"/>
      <c r="G18" s="4"/>
      <c r="H18" s="4"/>
      <c r="I18" s="4"/>
      <c r="J18" s="4"/>
      <c r="K18" s="19"/>
      <c r="L18" s="19"/>
    </row>
    <row r="19" spans="1:12" ht="7.5" customHeight="1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</row>
    <row r="20" spans="1:12" ht="25.5" customHeight="1">
      <c r="A20" s="19"/>
      <c r="B20" s="3" t="s">
        <v>63</v>
      </c>
      <c r="C20" s="3"/>
      <c r="D20" s="3"/>
      <c r="E20" s="3"/>
      <c r="F20" s="3"/>
      <c r="G20" s="3"/>
      <c r="H20" s="3"/>
      <c r="I20" s="3"/>
      <c r="J20" s="3"/>
      <c r="K20" s="19"/>
      <c r="L20" s="19"/>
    </row>
    <row r="21" spans="1:12" ht="21.75" customHeight="1">
      <c r="A21" s="19"/>
      <c r="B21" s="23" t="s">
        <v>20</v>
      </c>
      <c r="C21" s="8" t="str">
        <f>IFERROR(IF(VLOOKUP($L$2,계약리스트!$A$2:$AD$10000,21,0)="","",VLOOKUP($L$2,계약리스트!$A$2:$AD$10000,21,0)),"")</f>
        <v>렌트</v>
      </c>
      <c r="D21" s="8"/>
      <c r="E21" s="23" t="s">
        <v>21</v>
      </c>
      <c r="F21" s="8" t="str">
        <f>IFERROR(IF(VLOOKUP($L$2,계약리스트!$A$2:$AD$10000,22,0)="","",VLOOKUP($L$2,계약리스트!$A$2:$AD$10000,22,0)),"")</f>
        <v>인수형</v>
      </c>
      <c r="G21" s="8"/>
      <c r="H21" s="23" t="s">
        <v>64</v>
      </c>
      <c r="I21" s="8" t="str">
        <f>IFERROR(VLOOKUP($L$2,계약리스트!$A$2:$AD$10000,10,0)&amp;"일","")</f>
        <v>365일</v>
      </c>
      <c r="J21" s="8"/>
      <c r="K21" s="19"/>
      <c r="L21" s="19"/>
    </row>
    <row r="22" spans="1:12" ht="21.75" customHeight="1">
      <c r="A22" s="19"/>
      <c r="B22" s="23" t="s">
        <v>65</v>
      </c>
      <c r="C22" s="8" t="str">
        <f>IFERROR(TEXT(VLOOKUP($L$2,계약리스트!$A$2:$AD$10000,9,0),"#,##0")&amp;" 원","")</f>
        <v>26,400 원</v>
      </c>
      <c r="D22" s="8"/>
      <c r="E22" s="23" t="s">
        <v>10</v>
      </c>
      <c r="F22" s="8" t="str">
        <f>IFERROR(TEXT(VLOOKUP($L$2,계약리스트!$A$2:$AD$10000,11,0),"#,##0")&amp;" 원","")</f>
        <v>300,000 원</v>
      </c>
      <c r="G22" s="8"/>
      <c r="H22" s="23" t="s">
        <v>24</v>
      </c>
      <c r="I22" s="8" t="str">
        <f>IFERROR(IF(VLOOKUP($L$2,계약리스트!$A$2:$AD$10000,25,0)="","",VLOOKUP($L$2,계약리스트!$A$2:$AD$10000,25,0)),"")</f>
        <v>월2회(15일,말일)</v>
      </c>
      <c r="J22" s="8"/>
      <c r="K22" s="19"/>
      <c r="L22" s="19"/>
    </row>
    <row r="23" spans="1:12" ht="21.75" customHeight="1">
      <c r="A23" s="19"/>
      <c r="B23" s="23" t="s">
        <v>22</v>
      </c>
      <c r="C23" s="8" t="str">
        <f>IFERROR(IF(VLOOKUP($L$2,계약리스트!$A$2:$AD$10000,23,0)="","",VLOOKUP($L$2,계약리스트!$A$2:$AD$10000,23,0)),"")</f>
        <v>계좌이체</v>
      </c>
      <c r="D23" s="8"/>
      <c r="E23" s="23" t="s">
        <v>66</v>
      </c>
      <c r="F23" s="5" t="str">
        <f>TEXT(_xlfn.XLOOKUP(L2,계약리스트!A:A,계약리스트!B:B),"yyyy년 mm월 dd일")</f>
        <v>2026년 04월 24일</v>
      </c>
      <c r="G23" s="5"/>
      <c r="H23" s="5"/>
      <c r="I23" s="5"/>
      <c r="J23" s="5"/>
      <c r="K23" s="19"/>
      <c r="L23" s="19"/>
    </row>
    <row r="24" spans="1:12" ht="21.75" customHeight="1">
      <c r="A24" s="19"/>
      <c r="B24" s="23" t="s">
        <v>23</v>
      </c>
      <c r="C24" s="5" t="str">
        <f>IFERROR(IF(VLOOKUP($L$2,계약리스트!$A$2:$AD$10000,24,0)="","",VLOOKUP($L$2,계약리스트!$A$2:$AD$10000,24,0)),"")</f>
        <v>기업은행 929-028075-04-011 포어스바이크(유)</v>
      </c>
      <c r="D24" s="5"/>
      <c r="E24" s="5"/>
      <c r="F24" s="5"/>
      <c r="G24" s="5"/>
      <c r="H24" s="5"/>
      <c r="I24" s="5"/>
      <c r="J24" s="5"/>
      <c r="K24" s="19"/>
      <c r="L24" s="19"/>
    </row>
    <row r="25" spans="1:12" ht="7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</row>
    <row r="26" spans="1:12" ht="25.5" customHeight="1">
      <c r="A26" s="19"/>
      <c r="B26" s="9" t="s">
        <v>67</v>
      </c>
      <c r="C26" s="9"/>
      <c r="D26" s="9"/>
      <c r="E26" s="9"/>
      <c r="F26" s="9"/>
      <c r="G26" s="9"/>
      <c r="H26" s="9"/>
      <c r="I26" s="9"/>
      <c r="J26" s="9"/>
      <c r="K26" s="19"/>
      <c r="L26" s="19"/>
    </row>
    <row r="27" spans="1:12" ht="21.75" customHeight="1">
      <c r="A27" s="19"/>
      <c r="B27" s="23" t="s">
        <v>68</v>
      </c>
      <c r="C27" s="5" t="s">
        <v>51</v>
      </c>
      <c r="D27" s="5"/>
      <c r="E27" s="23" t="s">
        <v>12</v>
      </c>
      <c r="F27" s="8" t="s">
        <v>69</v>
      </c>
      <c r="G27" s="8"/>
      <c r="H27" s="23" t="s">
        <v>70</v>
      </c>
      <c r="I27" s="5" t="s">
        <v>71</v>
      </c>
      <c r="J27" s="5"/>
      <c r="K27" s="19"/>
      <c r="L27" s="19"/>
    </row>
    <row r="28" spans="1:12" ht="21.75" customHeight="1">
      <c r="A28" s="19"/>
      <c r="B28" s="23" t="s">
        <v>61</v>
      </c>
      <c r="C28" s="5" t="s">
        <v>72</v>
      </c>
      <c r="D28" s="5"/>
      <c r="E28" s="5"/>
      <c r="F28" s="5"/>
      <c r="G28" s="23" t="s">
        <v>73</v>
      </c>
      <c r="H28" s="8" t="s">
        <v>74</v>
      </c>
      <c r="I28" s="8"/>
      <c r="J28" s="8"/>
      <c r="K28" s="19"/>
      <c r="L28" s="19"/>
    </row>
    <row r="29" spans="1:12" ht="7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</row>
    <row r="30" spans="1:12" ht="25.5" customHeight="1">
      <c r="A30" s="19"/>
      <c r="B30" s="2" t="s">
        <v>75</v>
      </c>
      <c r="C30" s="2"/>
      <c r="D30" s="2"/>
      <c r="E30" s="2"/>
      <c r="F30" s="2"/>
      <c r="G30" s="2"/>
      <c r="H30" s="2"/>
      <c r="I30" s="2"/>
      <c r="J30" s="2"/>
      <c r="K30" s="19"/>
      <c r="L30" s="19"/>
    </row>
    <row r="31" spans="1:12" ht="31.5" customHeight="1">
      <c r="A31" s="19"/>
      <c r="B31" s="1" t="s">
        <v>76</v>
      </c>
      <c r="C31" s="1"/>
      <c r="D31" s="6" t="s">
        <v>77</v>
      </c>
      <c r="E31" s="6"/>
      <c r="F31" s="6"/>
      <c r="G31" s="6"/>
      <c r="H31" s="6"/>
      <c r="I31" s="6"/>
      <c r="J31" s="6"/>
      <c r="K31" s="19"/>
      <c r="L31" s="19"/>
    </row>
    <row r="32" spans="1:12" ht="31.5" customHeight="1">
      <c r="A32" s="19"/>
      <c r="B32" s="1" t="s">
        <v>78</v>
      </c>
      <c r="C32" s="1"/>
      <c r="D32" s="6" t="s">
        <v>79</v>
      </c>
      <c r="E32" s="6"/>
      <c r="F32" s="6"/>
      <c r="G32" s="6"/>
      <c r="H32" s="6"/>
      <c r="I32" s="6"/>
      <c r="J32" s="6"/>
      <c r="K32" s="19"/>
      <c r="L32" s="19"/>
    </row>
    <row r="33" spans="1:12" ht="31.5" customHeight="1">
      <c r="A33" s="19"/>
      <c r="B33" s="1" t="s">
        <v>80</v>
      </c>
      <c r="C33" s="1"/>
      <c r="D33" s="6" t="s">
        <v>81</v>
      </c>
      <c r="E33" s="6"/>
      <c r="F33" s="6"/>
      <c r="G33" s="6"/>
      <c r="H33" s="6"/>
      <c r="I33" s="6"/>
      <c r="J33" s="6"/>
      <c r="K33" s="19"/>
      <c r="L33" s="19"/>
    </row>
    <row r="34" spans="1:12" ht="31.5" customHeight="1">
      <c r="A34" s="19"/>
      <c r="B34" s="41" t="s">
        <v>82</v>
      </c>
      <c r="C34" s="41"/>
      <c r="D34" s="6" t="s">
        <v>83</v>
      </c>
      <c r="E34" s="6"/>
      <c r="F34" s="6"/>
      <c r="G34" s="6"/>
      <c r="H34" s="6"/>
      <c r="I34" s="6"/>
      <c r="J34" s="6"/>
      <c r="K34" s="19"/>
      <c r="L34" s="19"/>
    </row>
    <row r="35" spans="1:12" ht="31.5" customHeight="1">
      <c r="A35" s="19"/>
      <c r="B35" s="1" t="s">
        <v>84</v>
      </c>
      <c r="C35" s="1"/>
      <c r="D35" s="6" t="s">
        <v>85</v>
      </c>
      <c r="E35" s="6"/>
      <c r="F35" s="6"/>
      <c r="G35" s="6"/>
      <c r="H35" s="6"/>
      <c r="I35" s="6"/>
      <c r="J35" s="6"/>
      <c r="K35" s="19"/>
      <c r="L35" s="19"/>
    </row>
    <row r="36" spans="1:12" ht="31.5" customHeight="1">
      <c r="A36" s="19"/>
      <c r="B36" s="42" t="s">
        <v>86</v>
      </c>
      <c r="C36" s="42"/>
      <c r="D36" s="43" t="s">
        <v>87</v>
      </c>
      <c r="E36" s="43"/>
      <c r="F36" s="43"/>
      <c r="G36" s="43"/>
      <c r="H36" s="43"/>
      <c r="I36" s="43"/>
      <c r="J36" s="43"/>
      <c r="K36" s="19"/>
      <c r="L36" s="19"/>
    </row>
    <row r="37" spans="1:12" ht="31.5" customHeight="1">
      <c r="A37" s="19"/>
      <c r="B37" s="42" t="s">
        <v>88</v>
      </c>
      <c r="C37" s="42"/>
      <c r="D37" s="43" t="s">
        <v>89</v>
      </c>
      <c r="E37" s="43"/>
      <c r="F37" s="43"/>
      <c r="G37" s="43"/>
      <c r="H37" s="43"/>
      <c r="I37" s="43"/>
      <c r="J37" s="43"/>
      <c r="K37" s="19"/>
      <c r="L37" s="19"/>
    </row>
    <row r="38" spans="1:12" ht="31.5" customHeight="1">
      <c r="A38" s="19"/>
      <c r="B38" s="42" t="s">
        <v>90</v>
      </c>
      <c r="C38" s="42"/>
      <c r="D38" s="43" t="s">
        <v>91</v>
      </c>
      <c r="E38" s="43"/>
      <c r="F38" s="43"/>
      <c r="G38" s="43"/>
      <c r="H38" s="43"/>
      <c r="I38" s="43"/>
      <c r="J38" s="43"/>
      <c r="K38" s="19"/>
      <c r="L38" s="19"/>
    </row>
    <row r="39" spans="1:12" ht="7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</row>
    <row r="40" spans="1:12" ht="25.5" customHeight="1">
      <c r="A40" s="19"/>
      <c r="B40" s="9" t="s">
        <v>92</v>
      </c>
      <c r="C40" s="9"/>
      <c r="D40" s="9"/>
      <c r="E40" s="9"/>
      <c r="F40" s="9"/>
      <c r="G40" s="9"/>
      <c r="H40" s="9"/>
      <c r="I40" s="9"/>
      <c r="J40" s="9"/>
      <c r="K40" s="19"/>
      <c r="L40" s="19"/>
    </row>
    <row r="41" spans="1:12" ht="25.5" customHeight="1">
      <c r="A41" s="19"/>
      <c r="B41" s="44" t="s">
        <v>93</v>
      </c>
      <c r="C41" s="44"/>
      <c r="D41" s="45" t="s">
        <v>94</v>
      </c>
      <c r="E41" s="45"/>
      <c r="F41" s="45"/>
      <c r="G41" s="45"/>
      <c r="H41" s="45"/>
      <c r="I41" s="45"/>
      <c r="J41" s="45"/>
      <c r="K41" s="19"/>
      <c r="L41" s="19"/>
    </row>
    <row r="42" spans="1:12" ht="25.5" customHeight="1">
      <c r="A42" s="19"/>
      <c r="B42" s="44" t="s">
        <v>95</v>
      </c>
      <c r="C42" s="44"/>
      <c r="D42" s="45" t="s">
        <v>96</v>
      </c>
      <c r="E42" s="45"/>
      <c r="F42" s="45"/>
      <c r="G42" s="45"/>
      <c r="H42" s="45"/>
      <c r="I42" s="45"/>
      <c r="J42" s="45"/>
      <c r="K42" s="19"/>
      <c r="L42" s="19"/>
    </row>
    <row r="43" spans="1:12" ht="25.5" customHeight="1">
      <c r="A43" s="19"/>
      <c r="B43" s="44" t="s">
        <v>97</v>
      </c>
      <c r="C43" s="44"/>
      <c r="D43" s="45" t="s">
        <v>98</v>
      </c>
      <c r="E43" s="45"/>
      <c r="F43" s="45"/>
      <c r="G43" s="45"/>
      <c r="H43" s="45"/>
      <c r="I43" s="45"/>
      <c r="J43" s="45"/>
      <c r="K43" s="19"/>
      <c r="L43" s="19"/>
    </row>
    <row r="44" spans="1:12" ht="25.5" customHeight="1">
      <c r="A44" s="19"/>
      <c r="B44" s="44" t="s">
        <v>99</v>
      </c>
      <c r="C44" s="44"/>
      <c r="D44" s="45" t="s">
        <v>100</v>
      </c>
      <c r="E44" s="45"/>
      <c r="F44" s="45"/>
      <c r="G44" s="45"/>
      <c r="H44" s="45"/>
      <c r="I44" s="45"/>
      <c r="J44" s="45"/>
      <c r="K44" s="19"/>
      <c r="L44" s="19"/>
    </row>
    <row r="45" spans="1:12" ht="25.5" customHeight="1">
      <c r="A45" s="19"/>
      <c r="B45" s="44" t="s">
        <v>101</v>
      </c>
      <c r="C45" s="44"/>
      <c r="D45" s="45" t="s">
        <v>102</v>
      </c>
      <c r="E45" s="45"/>
      <c r="F45" s="45"/>
      <c r="G45" s="45"/>
      <c r="H45" s="45"/>
      <c r="I45" s="45"/>
      <c r="J45" s="45"/>
      <c r="K45" s="19"/>
      <c r="L45" s="19"/>
    </row>
    <row r="46" spans="1:12" ht="25.5" customHeight="1">
      <c r="A46" s="19"/>
      <c r="B46" s="44" t="s">
        <v>103</v>
      </c>
      <c r="C46" s="44"/>
      <c r="D46" s="45" t="s">
        <v>104</v>
      </c>
      <c r="E46" s="45"/>
      <c r="F46" s="45"/>
      <c r="G46" s="45"/>
      <c r="H46" s="45"/>
      <c r="I46" s="45"/>
      <c r="J46" s="45"/>
      <c r="K46" s="19"/>
      <c r="L46" s="19"/>
    </row>
    <row r="47" spans="1:12" ht="25.5" customHeight="1">
      <c r="A47" s="19"/>
      <c r="B47" s="46" t="s">
        <v>105</v>
      </c>
      <c r="C47" s="46"/>
      <c r="D47" s="46"/>
      <c r="E47" s="46"/>
      <c r="F47" s="46"/>
      <c r="G47" s="46"/>
      <c r="H47" s="46"/>
      <c r="I47" s="46"/>
      <c r="J47" s="46"/>
      <c r="K47" s="19"/>
      <c r="L47" s="19"/>
    </row>
    <row r="48" spans="1:12" ht="12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</row>
    <row r="49" spans="1:12" ht="25.5" customHeight="1">
      <c r="A49" s="19"/>
      <c r="B49" s="9" t="s">
        <v>106</v>
      </c>
      <c r="C49" s="9"/>
      <c r="D49" s="9"/>
      <c r="E49" s="9"/>
      <c r="F49" s="9"/>
      <c r="G49" s="9"/>
      <c r="H49" s="9"/>
      <c r="I49" s="9"/>
      <c r="J49" s="9"/>
      <c r="K49" s="19"/>
      <c r="L49" s="19"/>
    </row>
    <row r="50" spans="1:12" ht="36" customHeight="1">
      <c r="A50" s="19"/>
      <c r="B50" s="47" t="s">
        <v>107</v>
      </c>
      <c r="C50" s="47"/>
      <c r="D50" s="47"/>
      <c r="E50" s="47"/>
      <c r="F50" s="47"/>
      <c r="G50" s="47"/>
      <c r="H50" s="47"/>
      <c r="I50" s="47"/>
      <c r="J50" s="47"/>
      <c r="K50" s="19"/>
      <c r="L50" s="19"/>
    </row>
    <row r="51" spans="1:12" ht="48" customHeight="1">
      <c r="A51" s="19"/>
      <c r="B51" s="23" t="s">
        <v>108</v>
      </c>
      <c r="C51" s="8" t="str">
        <f>IFERROR(IF(VLOOKUP($L$2,계약리스트!$A$2:$AD$10000,12,0)="","",VLOOKUP($L$2,계약리스트!$A$2:$AD$10000,12,0)),"")</f>
        <v>중앙 오토바이 가수점</v>
      </c>
      <c r="D51" s="8"/>
      <c r="E51" s="8"/>
      <c r="F51" s="25" t="s">
        <v>109</v>
      </c>
      <c r="G51" s="23" t="s">
        <v>110</v>
      </c>
      <c r="H51" s="8" t="str">
        <f>IFERROR(IF(VLOOKUP($L$2,계약리스트!$A$2:$AD$10000,14,0)="","",VLOOKUP($L$2,계약리스트!$A$2:$AD$10000,14,0)),"")</f>
        <v>안종식</v>
      </c>
      <c r="I51" s="8"/>
      <c r="J51" s="25" t="s">
        <v>109</v>
      </c>
      <c r="K51" s="19"/>
      <c r="L51" s="19"/>
    </row>
    <row r="52" spans="1:12" ht="24" customHeight="1">
      <c r="A52" s="19"/>
      <c r="B52" s="23" t="s">
        <v>111</v>
      </c>
      <c r="C52" s="48" t="s">
        <v>112</v>
      </c>
      <c r="D52" s="48"/>
      <c r="E52" s="48"/>
      <c r="F52" s="48"/>
      <c r="G52" s="48"/>
      <c r="H52" s="48"/>
      <c r="I52" s="48"/>
      <c r="J52" s="25" t="s">
        <v>109</v>
      </c>
      <c r="K52" s="19"/>
      <c r="L52" s="19"/>
    </row>
    <row r="53" spans="1:12" ht="1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</row>
    <row r="54" spans="1:12" ht="1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</row>
    <row r="55" spans="1:12" ht="1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</row>
    <row r="56" spans="1:12" ht="1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</row>
    <row r="57" spans="1:12" ht="1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</row>
    <row r="58" spans="1:12" ht="1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</row>
    <row r="59" spans="1:12" ht="1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</row>
    <row r="60" spans="1:12" ht="1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</row>
    <row r="61" spans="1:12" ht="1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</row>
    <row r="62" spans="1:12" ht="1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</row>
    <row r="63" spans="1:12" ht="1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</row>
    <row r="64" spans="1:12" ht="1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</row>
    <row r="65" spans="1:12" ht="1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</row>
    <row r="66" spans="1:12" ht="1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</row>
    <row r="67" spans="1:12" ht="1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</row>
    <row r="68" spans="1:12" ht="1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</row>
    <row r="69" spans="1:12" ht="1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</row>
    <row r="70" spans="1:12" ht="1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</row>
    <row r="71" spans="1:12" ht="1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</row>
    <row r="72" spans="1:12" ht="1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</row>
    <row r="73" spans="1:12" ht="1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</row>
    <row r="74" spans="1:12" ht="1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</row>
    <row r="75" spans="1:12" ht="1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</row>
    <row r="76" spans="1:12" ht="1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</row>
    <row r="77" spans="1:12" ht="1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</row>
    <row r="78" spans="1:12" ht="1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</row>
    <row r="79" spans="1:12" ht="1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</row>
    <row r="80" spans="1:12" ht="1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</row>
    <row r="81" spans="1:12" ht="1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</row>
    <row r="82" spans="1:12" ht="1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</row>
    <row r="83" spans="1:12" ht="1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</row>
    <row r="84" spans="1:12" ht="1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</row>
    <row r="85" spans="1:12" ht="1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</row>
    <row r="86" spans="1:12" ht="1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</row>
    <row r="87" spans="1:12" ht="1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</row>
    <row r="88" spans="1:12" ht="1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</row>
    <row r="89" spans="1:12" ht="1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</row>
    <row r="90" spans="1:12" ht="1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</row>
    <row r="91" spans="1:12" ht="1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</row>
    <row r="92" spans="1:12" ht="1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</row>
    <row r="93" spans="1:12" ht="1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</row>
    <row r="94" spans="1:12" ht="1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</row>
    <row r="95" spans="1:12" ht="1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</row>
    <row r="96" spans="1:12" ht="1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</row>
    <row r="97" spans="1:12" ht="1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</row>
    <row r="98" spans="1:12" ht="1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</row>
    <row r="99" spans="1:12" ht="1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</row>
    <row r="100" spans="1:12" ht="1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</row>
    <row r="101" spans="1:12" ht="1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</row>
    <row r="102" spans="1:12" ht="1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</row>
    <row r="103" spans="1:12" ht="1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</row>
    <row r="104" spans="1:12" ht="1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</row>
    <row r="105" spans="1:12" ht="1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</row>
    <row r="106" spans="1:12" ht="1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</row>
    <row r="107" spans="1:12" ht="1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</row>
    <row r="108" spans="1:12" ht="1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</row>
    <row r="109" spans="1:12" ht="1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</row>
  </sheetData>
  <mergeCells count="78">
    <mergeCell ref="B49:J49"/>
    <mergeCell ref="B50:J50"/>
    <mergeCell ref="C51:E51"/>
    <mergeCell ref="H51:I51"/>
    <mergeCell ref="C52:I52"/>
    <mergeCell ref="B45:C45"/>
    <mergeCell ref="D45:J45"/>
    <mergeCell ref="B46:C46"/>
    <mergeCell ref="D46:J46"/>
    <mergeCell ref="B47:J47"/>
    <mergeCell ref="B42:C42"/>
    <mergeCell ref="D42:J42"/>
    <mergeCell ref="B43:C43"/>
    <mergeCell ref="D43:J43"/>
    <mergeCell ref="B44:C44"/>
    <mergeCell ref="D44:J44"/>
    <mergeCell ref="B38:C38"/>
    <mergeCell ref="D38:J38"/>
    <mergeCell ref="B40:J40"/>
    <mergeCell ref="B41:C41"/>
    <mergeCell ref="D41:J41"/>
    <mergeCell ref="B35:C35"/>
    <mergeCell ref="D35:J35"/>
    <mergeCell ref="B36:C36"/>
    <mergeCell ref="D36:J36"/>
    <mergeCell ref="B37:C37"/>
    <mergeCell ref="D37:J37"/>
    <mergeCell ref="B32:C32"/>
    <mergeCell ref="D32:J32"/>
    <mergeCell ref="B33:C33"/>
    <mergeCell ref="D33:J33"/>
    <mergeCell ref="B34:C34"/>
    <mergeCell ref="D34:J34"/>
    <mergeCell ref="C28:F28"/>
    <mergeCell ref="H28:J28"/>
    <mergeCell ref="B30:J30"/>
    <mergeCell ref="B31:C31"/>
    <mergeCell ref="D31:J31"/>
    <mergeCell ref="C24:J24"/>
    <mergeCell ref="B26:J26"/>
    <mergeCell ref="C27:D27"/>
    <mergeCell ref="F27:G27"/>
    <mergeCell ref="I27:J27"/>
    <mergeCell ref="C22:D22"/>
    <mergeCell ref="F22:G22"/>
    <mergeCell ref="I22:J22"/>
    <mergeCell ref="C23:D23"/>
    <mergeCell ref="F23:J23"/>
    <mergeCell ref="C17:J17"/>
    <mergeCell ref="B18:J18"/>
    <mergeCell ref="B20:J20"/>
    <mergeCell ref="C21:D21"/>
    <mergeCell ref="F21:G21"/>
    <mergeCell ref="I21:J21"/>
    <mergeCell ref="C12:D12"/>
    <mergeCell ref="F12:J12"/>
    <mergeCell ref="B13:J13"/>
    <mergeCell ref="B15:J15"/>
    <mergeCell ref="C16:D16"/>
    <mergeCell ref="F16:G16"/>
    <mergeCell ref="I16:J16"/>
    <mergeCell ref="C8:D8"/>
    <mergeCell ref="E8:J8"/>
    <mergeCell ref="B10:J10"/>
    <mergeCell ref="C11:D11"/>
    <mergeCell ref="F11:G11"/>
    <mergeCell ref="I11:J11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44" type="noConversion"/>
  <printOptions horizontalCentered="1"/>
  <pageMargins left="0.3" right="0.3" top="0.4" bottom="0.4" header="0.511811023622047" footer="0.511811023622047"/>
  <pageSetup paperSize="9" scale="6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216"/>
  <sheetViews>
    <sheetView showGridLines="0" tabSelected="1" view="pageBreakPreview" topLeftCell="A2" zoomScale="115" zoomScaleNormal="115" zoomScalePageLayoutView="115" workbookViewId="0">
      <selection activeCell="D21" sqref="D21"/>
    </sheetView>
  </sheetViews>
  <sheetFormatPr defaultColWidth="8.6640625" defaultRowHeight="14.4"/>
  <cols>
    <col min="1" max="1" width="2" customWidth="1"/>
    <col min="2" max="2" width="66.44140625" customWidth="1"/>
    <col min="3" max="3" width="1.5546875" customWidth="1"/>
    <col min="4" max="4" width="65.6640625" customWidth="1"/>
    <col min="5" max="5" width="2" customWidth="1"/>
  </cols>
  <sheetData>
    <row r="1" spans="2:4" ht="31.5" customHeight="1">
      <c r="B1" s="14" t="s">
        <v>113</v>
      </c>
      <c r="C1" s="14"/>
      <c r="D1" s="14"/>
    </row>
    <row r="3" spans="2:4" ht="14.25" customHeight="1">
      <c r="B3" s="26" t="s">
        <v>114</v>
      </c>
      <c r="D3" s="27" t="s">
        <v>115</v>
      </c>
    </row>
    <row r="4" spans="2:4" ht="14.25" customHeight="1">
      <c r="B4" s="31" t="s">
        <v>279</v>
      </c>
      <c r="D4" s="49" t="s">
        <v>320</v>
      </c>
    </row>
    <row r="5" spans="2:4" ht="14.25" customHeight="1">
      <c r="B5" s="31" t="s">
        <v>280</v>
      </c>
      <c r="D5" s="31" t="s">
        <v>321</v>
      </c>
    </row>
    <row r="6" spans="2:4" ht="14.25" customHeight="1">
      <c r="B6" s="28"/>
      <c r="D6" s="49" t="s">
        <v>322</v>
      </c>
    </row>
    <row r="7" spans="2:4" ht="14.25" customHeight="1">
      <c r="B7" s="26" t="s">
        <v>116</v>
      </c>
      <c r="D7" s="31" t="s">
        <v>323</v>
      </c>
    </row>
    <row r="8" spans="2:4" ht="14.25" customHeight="1">
      <c r="B8" s="29" t="s">
        <v>281</v>
      </c>
      <c r="D8" s="49" t="s">
        <v>324</v>
      </c>
    </row>
    <row r="9" spans="2:4" ht="14.25" customHeight="1">
      <c r="B9" s="31" t="s">
        <v>282</v>
      </c>
      <c r="D9" s="31" t="s">
        <v>325</v>
      </c>
    </row>
    <row r="10" spans="2:4" ht="14.25" customHeight="1">
      <c r="B10" s="29" t="s">
        <v>117</v>
      </c>
      <c r="D10" s="49" t="s">
        <v>326</v>
      </c>
    </row>
    <row r="11" spans="2:4" ht="14.25" customHeight="1">
      <c r="B11" s="29" t="s">
        <v>118</v>
      </c>
      <c r="D11" s="31" t="s">
        <v>327</v>
      </c>
    </row>
    <row r="12" spans="2:4" ht="14.25" customHeight="1">
      <c r="B12" s="29" t="s">
        <v>283</v>
      </c>
      <c r="D12" s="31" t="s">
        <v>328</v>
      </c>
    </row>
    <row r="13" spans="2:4" ht="14.25" customHeight="1">
      <c r="B13" s="31" t="s">
        <v>284</v>
      </c>
      <c r="D13" s="49" t="s">
        <v>357</v>
      </c>
    </row>
    <row r="14" spans="2:4" ht="14.25" customHeight="1">
      <c r="B14" s="30" t="s">
        <v>119</v>
      </c>
      <c r="D14" s="29" t="s">
        <v>356</v>
      </c>
    </row>
    <row r="15" spans="2:4" ht="14.25" customHeight="1">
      <c r="B15" s="29" t="s">
        <v>285</v>
      </c>
    </row>
    <row r="16" spans="2:4" ht="14.25" customHeight="1">
      <c r="B16" s="31" t="s">
        <v>286</v>
      </c>
      <c r="D16" s="27" t="s">
        <v>120</v>
      </c>
    </row>
    <row r="17" spans="2:4" ht="14.25" customHeight="1">
      <c r="B17" s="32" t="s">
        <v>287</v>
      </c>
      <c r="D17" s="28" t="s">
        <v>121</v>
      </c>
    </row>
    <row r="18" spans="2:4" ht="14.25" customHeight="1">
      <c r="B18" s="31" t="s">
        <v>288</v>
      </c>
      <c r="D18" s="28" t="s">
        <v>122</v>
      </c>
    </row>
    <row r="19" spans="2:4" ht="14.25" customHeight="1">
      <c r="B19" s="31" t="s">
        <v>289</v>
      </c>
      <c r="D19" s="28" t="s">
        <v>123</v>
      </c>
    </row>
    <row r="20" spans="2:4" ht="14.25" customHeight="1">
      <c r="B20" s="29" t="s">
        <v>290</v>
      </c>
      <c r="D20" s="28" t="s">
        <v>124</v>
      </c>
    </row>
    <row r="21" spans="2:4" ht="14.25" customHeight="1">
      <c r="B21" s="31" t="s">
        <v>291</v>
      </c>
      <c r="D21" s="28" t="s">
        <v>125</v>
      </c>
    </row>
    <row r="22" spans="2:4" ht="14.25" customHeight="1">
      <c r="B22" s="29" t="s">
        <v>292</v>
      </c>
      <c r="D22" s="49" t="s">
        <v>329</v>
      </c>
    </row>
    <row r="23" spans="2:4" ht="14.25" customHeight="1">
      <c r="B23" s="31" t="s">
        <v>293</v>
      </c>
      <c r="D23" s="31" t="s">
        <v>330</v>
      </c>
    </row>
    <row r="24" spans="2:4" ht="14.25" customHeight="1">
      <c r="B24" s="29" t="s">
        <v>294</v>
      </c>
      <c r="D24" s="31" t="s">
        <v>331</v>
      </c>
    </row>
    <row r="25" spans="2:4" ht="14.25" customHeight="1">
      <c r="B25" s="31" t="s">
        <v>295</v>
      </c>
      <c r="D25" s="49" t="s">
        <v>332</v>
      </c>
    </row>
    <row r="26" spans="2:4" ht="14.25" customHeight="1">
      <c r="B26" s="32" t="s">
        <v>127</v>
      </c>
      <c r="D26" s="31" t="s">
        <v>333</v>
      </c>
    </row>
    <row r="27" spans="2:4" ht="14.25" customHeight="1">
      <c r="B27" s="29" t="s">
        <v>296</v>
      </c>
      <c r="D27" s="28" t="s">
        <v>126</v>
      </c>
    </row>
    <row r="28" spans="2:4" ht="14.25" customHeight="1">
      <c r="B28" s="31" t="s">
        <v>297</v>
      </c>
      <c r="D28" s="28" t="s">
        <v>128</v>
      </c>
    </row>
    <row r="29" spans="2:4" ht="14.25" customHeight="1">
      <c r="B29" s="29" t="s">
        <v>130</v>
      </c>
    </row>
    <row r="30" spans="2:4" ht="14.25" customHeight="1">
      <c r="D30" s="27" t="s">
        <v>129</v>
      </c>
    </row>
    <row r="31" spans="2:4" ht="14.25" customHeight="1">
      <c r="B31" s="27" t="s">
        <v>133</v>
      </c>
      <c r="D31" s="33" t="s">
        <v>131</v>
      </c>
    </row>
    <row r="32" spans="2:4" ht="14.25" customHeight="1">
      <c r="B32" s="28" t="s">
        <v>135</v>
      </c>
      <c r="D32" s="33" t="s">
        <v>132</v>
      </c>
    </row>
    <row r="33" spans="2:4" ht="14.25" customHeight="1">
      <c r="B33" s="28" t="s">
        <v>136</v>
      </c>
      <c r="D33" s="33" t="s">
        <v>134</v>
      </c>
    </row>
    <row r="34" spans="2:4" ht="14.25" customHeight="1">
      <c r="B34" s="49" t="s">
        <v>298</v>
      </c>
      <c r="D34" s="51" t="s">
        <v>334</v>
      </c>
    </row>
    <row r="35" spans="2:4" ht="14.25" customHeight="1">
      <c r="B35" s="31" t="s">
        <v>299</v>
      </c>
      <c r="D35" s="52" t="s">
        <v>335</v>
      </c>
    </row>
    <row r="36" spans="2:4" ht="14.25" customHeight="1">
      <c r="D36" s="52" t="s">
        <v>336</v>
      </c>
    </row>
    <row r="37" spans="2:4" ht="14.25" customHeight="1">
      <c r="B37" s="27" t="s">
        <v>139</v>
      </c>
      <c r="D37" s="33" t="s">
        <v>137</v>
      </c>
    </row>
    <row r="38" spans="2:4" ht="14.25" customHeight="1">
      <c r="B38" s="28" t="s">
        <v>140</v>
      </c>
      <c r="D38" s="33" t="s">
        <v>138</v>
      </c>
    </row>
    <row r="39" spans="2:4" ht="14.25" customHeight="1">
      <c r="B39" s="49" t="s">
        <v>300</v>
      </c>
      <c r="D39" s="49" t="s">
        <v>358</v>
      </c>
    </row>
    <row r="40" spans="2:4" ht="14.25" customHeight="1">
      <c r="B40" s="31" t="s">
        <v>301</v>
      </c>
      <c r="D40" s="52" t="s">
        <v>359</v>
      </c>
    </row>
    <row r="41" spans="2:4" ht="14.25" customHeight="1">
      <c r="B41" s="28" t="s">
        <v>144</v>
      </c>
      <c r="D41" s="30" t="s">
        <v>360</v>
      </c>
    </row>
    <row r="42" spans="2:4" ht="14.25" customHeight="1">
      <c r="B42" s="49" t="s">
        <v>302</v>
      </c>
    </row>
    <row r="43" spans="2:4" ht="14.25" customHeight="1">
      <c r="B43" s="31" t="s">
        <v>303</v>
      </c>
      <c r="D43" s="27" t="s">
        <v>141</v>
      </c>
    </row>
    <row r="44" spans="2:4" ht="14.25" customHeight="1">
      <c r="D44" s="33" t="s">
        <v>142</v>
      </c>
    </row>
    <row r="45" spans="2:4" ht="14.25" customHeight="1">
      <c r="B45" s="27" t="s">
        <v>149</v>
      </c>
      <c r="D45" s="33" t="s">
        <v>143</v>
      </c>
    </row>
    <row r="46" spans="2:4" ht="14.25" customHeight="1">
      <c r="B46" s="49" t="s">
        <v>304</v>
      </c>
      <c r="D46" s="33" t="s">
        <v>145</v>
      </c>
    </row>
    <row r="47" spans="2:4" ht="14.25" customHeight="1">
      <c r="B47" s="31" t="s">
        <v>305</v>
      </c>
      <c r="D47" s="33" t="s">
        <v>146</v>
      </c>
    </row>
    <row r="48" spans="2:4" ht="14.25" customHeight="1">
      <c r="B48" s="49" t="s">
        <v>306</v>
      </c>
      <c r="D48" s="33" t="s">
        <v>147</v>
      </c>
    </row>
    <row r="49" spans="2:4" ht="14.25" customHeight="1">
      <c r="B49" s="50" t="s">
        <v>307</v>
      </c>
      <c r="D49" s="33" t="s">
        <v>148</v>
      </c>
    </row>
    <row r="50" spans="2:4" ht="14.25" customHeight="1">
      <c r="B50" s="31" t="s">
        <v>308</v>
      </c>
      <c r="D50" s="33" t="s">
        <v>150</v>
      </c>
    </row>
    <row r="51" spans="2:4" ht="14.25" customHeight="1">
      <c r="B51" s="49" t="s">
        <v>309</v>
      </c>
      <c r="D51" s="33" t="s">
        <v>151</v>
      </c>
    </row>
    <row r="52" spans="2:4" ht="14.25" customHeight="1">
      <c r="B52" s="31" t="s">
        <v>310</v>
      </c>
      <c r="D52" s="30" t="s">
        <v>152</v>
      </c>
    </row>
    <row r="53" spans="2:4" ht="14.25" customHeight="1">
      <c r="B53" s="28" t="s">
        <v>157</v>
      </c>
      <c r="D53" s="33" t="s">
        <v>153</v>
      </c>
    </row>
    <row r="54" spans="2:4" ht="14.25" customHeight="1">
      <c r="B54" s="49" t="s">
        <v>311</v>
      </c>
      <c r="D54" s="33" t="s">
        <v>154</v>
      </c>
    </row>
    <row r="55" spans="2:4" ht="14.25" customHeight="1">
      <c r="B55" s="31" t="s">
        <v>312</v>
      </c>
      <c r="D55" s="33" t="s">
        <v>155</v>
      </c>
    </row>
    <row r="56" spans="2:4" ht="14.25" customHeight="1">
      <c r="D56" s="33" t="s">
        <v>156</v>
      </c>
    </row>
    <row r="57" spans="2:4" ht="14.25" customHeight="1">
      <c r="B57" s="27" t="s">
        <v>161</v>
      </c>
    </row>
    <row r="58" spans="2:4" ht="14.25" customHeight="1">
      <c r="B58" s="49" t="s">
        <v>313</v>
      </c>
      <c r="D58" s="53" t="s">
        <v>348</v>
      </c>
    </row>
    <row r="59" spans="2:4" ht="14.25" customHeight="1">
      <c r="B59" s="28" t="s">
        <v>164</v>
      </c>
      <c r="D59" s="33" t="s">
        <v>165</v>
      </c>
    </row>
    <row r="60" spans="2:4" ht="14.25" customHeight="1">
      <c r="B60" s="49" t="s">
        <v>314</v>
      </c>
      <c r="D60" s="33" t="s">
        <v>166</v>
      </c>
    </row>
    <row r="61" spans="2:4" ht="14.25" customHeight="1">
      <c r="B61" s="31" t="s">
        <v>315</v>
      </c>
      <c r="D61" s="33" t="s">
        <v>167</v>
      </c>
    </row>
    <row r="62" spans="2:4" ht="14.25" customHeight="1">
      <c r="B62" s="49" t="s">
        <v>316</v>
      </c>
      <c r="D62" s="33" t="s">
        <v>169</v>
      </c>
    </row>
    <row r="63" spans="2:4" ht="14.25" customHeight="1">
      <c r="B63" s="31" t="s">
        <v>317</v>
      </c>
      <c r="D63" s="33" t="s">
        <v>170</v>
      </c>
    </row>
    <row r="64" spans="2:4" ht="14.25" customHeight="1">
      <c r="B64" s="28" t="s">
        <v>168</v>
      </c>
      <c r="D64" s="33" t="s">
        <v>172</v>
      </c>
    </row>
    <row r="65" spans="2:4" ht="14.25" customHeight="1">
      <c r="B65" s="28"/>
      <c r="D65" s="33" t="s">
        <v>173</v>
      </c>
    </row>
    <row r="66" spans="2:4" ht="14.25" customHeight="1">
      <c r="B66" s="27" t="s">
        <v>171</v>
      </c>
      <c r="D66" s="33" t="s">
        <v>174</v>
      </c>
    </row>
    <row r="67" spans="2:4" ht="14.25" customHeight="1">
      <c r="B67" s="49" t="s">
        <v>318</v>
      </c>
      <c r="D67" s="33" t="s">
        <v>176</v>
      </c>
    </row>
    <row r="68" spans="2:4" ht="14.25" customHeight="1">
      <c r="B68" s="31" t="s">
        <v>319</v>
      </c>
      <c r="D68" s="30" t="s">
        <v>178</v>
      </c>
    </row>
    <row r="69" spans="2:4" ht="14.25" customHeight="1">
      <c r="B69" s="28" t="s">
        <v>175</v>
      </c>
      <c r="D69" s="33" t="s">
        <v>180</v>
      </c>
    </row>
    <row r="70" spans="2:4" ht="14.25" customHeight="1">
      <c r="B70" s="28" t="s">
        <v>177</v>
      </c>
      <c r="D70" s="33" t="s">
        <v>182</v>
      </c>
    </row>
    <row r="71" spans="2:4" ht="14.25" customHeight="1">
      <c r="B71" s="28" t="s">
        <v>179</v>
      </c>
      <c r="D71" s="33" t="s">
        <v>183</v>
      </c>
    </row>
    <row r="72" spans="2:4" ht="14.25" customHeight="1">
      <c r="B72" s="28" t="s">
        <v>181</v>
      </c>
    </row>
    <row r="73" spans="2:4" ht="14.25" customHeight="1">
      <c r="B73" s="28"/>
    </row>
    <row r="74" spans="2:4" ht="14.25" customHeight="1">
      <c r="B74" s="53" t="s">
        <v>349</v>
      </c>
      <c r="D74" s="27" t="s">
        <v>274</v>
      </c>
    </row>
    <row r="75" spans="2:4" ht="14.25" customHeight="1">
      <c r="B75" s="33" t="s">
        <v>158</v>
      </c>
      <c r="D75" s="33" t="s">
        <v>275</v>
      </c>
    </row>
    <row r="76" spans="2:4" ht="14.25" customHeight="1">
      <c r="B76" s="30" t="s">
        <v>159</v>
      </c>
      <c r="D76" s="33" t="s">
        <v>276</v>
      </c>
    </row>
    <row r="77" spans="2:4" ht="14.25" customHeight="1">
      <c r="B77" s="33" t="s">
        <v>160</v>
      </c>
      <c r="D77" s="33" t="s">
        <v>277</v>
      </c>
    </row>
    <row r="78" spans="2:4" ht="14.25" customHeight="1">
      <c r="B78" s="33" t="s">
        <v>162</v>
      </c>
      <c r="D78" s="52" t="s">
        <v>344</v>
      </c>
    </row>
    <row r="79" spans="2:4" ht="14.25" customHeight="1">
      <c r="B79" s="33" t="s">
        <v>163</v>
      </c>
      <c r="D79" s="33" t="s">
        <v>186</v>
      </c>
    </row>
    <row r="80" spans="2:4" ht="14.25" customHeight="1">
      <c r="D80" s="33" t="s">
        <v>188</v>
      </c>
    </row>
    <row r="81" spans="2:4" ht="14.25" customHeight="1">
      <c r="B81" s="27" t="s">
        <v>184</v>
      </c>
      <c r="D81" s="33" t="s">
        <v>190</v>
      </c>
    </row>
    <row r="82" spans="2:4" ht="14.25" customHeight="1">
      <c r="B82" s="28" t="s">
        <v>185</v>
      </c>
    </row>
    <row r="83" spans="2:4" ht="14.25" customHeight="1">
      <c r="B83" s="28" t="s">
        <v>187</v>
      </c>
      <c r="D83" s="27" t="s">
        <v>193</v>
      </c>
    </row>
    <row r="84" spans="2:4" ht="14.25" customHeight="1">
      <c r="B84" s="28" t="s">
        <v>189</v>
      </c>
      <c r="D84" s="33" t="s">
        <v>194</v>
      </c>
    </row>
    <row r="85" spans="2:4" ht="14.25" customHeight="1">
      <c r="B85" s="28" t="s">
        <v>191</v>
      </c>
      <c r="D85" s="33" t="s">
        <v>196</v>
      </c>
    </row>
    <row r="86" spans="2:4" ht="14.25" customHeight="1">
      <c r="B86" s="28" t="s">
        <v>192</v>
      </c>
      <c r="D86" s="33" t="s">
        <v>198</v>
      </c>
    </row>
    <row r="87" spans="2:4" ht="14.25" customHeight="1">
      <c r="B87" s="34"/>
      <c r="D87" s="33" t="s">
        <v>200</v>
      </c>
    </row>
    <row r="88" spans="2:4" ht="14.25" customHeight="1">
      <c r="B88" s="27" t="s">
        <v>195</v>
      </c>
      <c r="D88" s="33" t="s">
        <v>202</v>
      </c>
    </row>
    <row r="89" spans="2:4" ht="14.25" customHeight="1">
      <c r="B89" s="28" t="s">
        <v>197</v>
      </c>
      <c r="D89" s="34"/>
    </row>
    <row r="90" spans="2:4" ht="14.25" customHeight="1">
      <c r="B90" s="28" t="s">
        <v>199</v>
      </c>
      <c r="D90" s="27" t="s">
        <v>205</v>
      </c>
    </row>
    <row r="91" spans="2:4" ht="14.25" customHeight="1">
      <c r="B91" s="28" t="s">
        <v>201</v>
      </c>
      <c r="D91" s="28" t="s">
        <v>207</v>
      </c>
    </row>
    <row r="92" spans="2:4" ht="14.25" customHeight="1">
      <c r="B92" s="28" t="s">
        <v>203</v>
      </c>
      <c r="D92" s="28" t="s">
        <v>209</v>
      </c>
    </row>
    <row r="93" spans="2:4" ht="14.25" customHeight="1">
      <c r="B93" s="28" t="s">
        <v>204</v>
      </c>
      <c r="D93" s="28" t="s">
        <v>211</v>
      </c>
    </row>
    <row r="94" spans="2:4" ht="14.25" customHeight="1">
      <c r="B94" s="28" t="s">
        <v>206</v>
      </c>
      <c r="D94" s="28" t="s">
        <v>213</v>
      </c>
    </row>
    <row r="95" spans="2:4" ht="14.25" customHeight="1">
      <c r="B95" s="28" t="s">
        <v>208</v>
      </c>
    </row>
    <row r="96" spans="2:4" ht="14.25" customHeight="1">
      <c r="B96" s="28" t="s">
        <v>210</v>
      </c>
      <c r="D96" s="27" t="s">
        <v>216</v>
      </c>
    </row>
    <row r="97" spans="2:4" ht="14.25" customHeight="1">
      <c r="B97" s="28" t="s">
        <v>212</v>
      </c>
      <c r="D97" s="28" t="s">
        <v>218</v>
      </c>
    </row>
    <row r="98" spans="2:4" ht="14.25" customHeight="1">
      <c r="B98" s="28" t="s">
        <v>214</v>
      </c>
      <c r="D98" s="28" t="s">
        <v>220</v>
      </c>
    </row>
    <row r="99" spans="2:4" ht="14.25" customHeight="1">
      <c r="B99" s="28" t="s">
        <v>215</v>
      </c>
      <c r="D99" s="28" t="s">
        <v>221</v>
      </c>
    </row>
    <row r="100" spans="2:4" ht="14.25" customHeight="1">
      <c r="B100" s="28" t="s">
        <v>217</v>
      </c>
      <c r="D100" s="28" t="s">
        <v>223</v>
      </c>
    </row>
    <row r="101" spans="2:4" ht="14.25" customHeight="1">
      <c r="B101" s="28" t="s">
        <v>219</v>
      </c>
      <c r="D101" s="28" t="s">
        <v>225</v>
      </c>
    </row>
    <row r="102" spans="2:4" ht="14.25" customHeight="1">
      <c r="B102" s="49" t="s">
        <v>345</v>
      </c>
      <c r="D102" s="28" t="s">
        <v>227</v>
      </c>
    </row>
    <row r="103" spans="2:4" ht="14.25" customHeight="1">
      <c r="B103" s="29" t="s">
        <v>346</v>
      </c>
      <c r="D103" s="28" t="s">
        <v>229</v>
      </c>
    </row>
    <row r="104" spans="2:4" ht="14.25" customHeight="1">
      <c r="B104" s="29" t="s">
        <v>347</v>
      </c>
      <c r="D104" s="28" t="s">
        <v>231</v>
      </c>
    </row>
    <row r="105" spans="2:4" ht="14.25" customHeight="1">
      <c r="D105" s="28" t="s">
        <v>233</v>
      </c>
    </row>
    <row r="106" spans="2:4" ht="13.5" customHeight="1">
      <c r="B106" s="27" t="s">
        <v>222</v>
      </c>
      <c r="D106" s="28" t="s">
        <v>235</v>
      </c>
    </row>
    <row r="107" spans="2:4" ht="13.5" customHeight="1">
      <c r="B107" s="28" t="s">
        <v>224</v>
      </c>
      <c r="D107" s="28" t="s">
        <v>237</v>
      </c>
    </row>
    <row r="108" spans="2:4" ht="13.5" customHeight="1">
      <c r="B108" s="28" t="s">
        <v>226</v>
      </c>
      <c r="D108" s="28" t="s">
        <v>238</v>
      </c>
    </row>
    <row r="109" spans="2:4" ht="14.25" customHeight="1">
      <c r="B109" s="28" t="s">
        <v>228</v>
      </c>
      <c r="D109" s="28" t="s">
        <v>240</v>
      </c>
    </row>
    <row r="110" spans="2:4" ht="14.25" customHeight="1">
      <c r="B110" s="28" t="s">
        <v>230</v>
      </c>
      <c r="D110" s="28"/>
    </row>
    <row r="111" spans="2:4" ht="14.25" customHeight="1">
      <c r="B111" s="28" t="s">
        <v>232</v>
      </c>
      <c r="D111" s="27" t="s">
        <v>243</v>
      </c>
    </row>
    <row r="112" spans="2:4" ht="14.25" customHeight="1">
      <c r="B112" s="28" t="s">
        <v>234</v>
      </c>
      <c r="D112" s="28" t="s">
        <v>245</v>
      </c>
    </row>
    <row r="113" spans="2:4" ht="14.25" customHeight="1">
      <c r="B113" s="28" t="s">
        <v>236</v>
      </c>
      <c r="D113" s="28" t="s">
        <v>247</v>
      </c>
    </row>
    <row r="114" spans="2:4" ht="14.25" customHeight="1">
      <c r="B114" s="28"/>
      <c r="D114" s="28" t="s">
        <v>249</v>
      </c>
    </row>
    <row r="115" spans="2:4" ht="14.25" customHeight="1">
      <c r="B115" s="27" t="s">
        <v>239</v>
      </c>
    </row>
    <row r="116" spans="2:4" ht="14.25" customHeight="1">
      <c r="B116" s="28" t="s">
        <v>241</v>
      </c>
      <c r="D116" s="27" t="s">
        <v>252</v>
      </c>
    </row>
    <row r="117" spans="2:4" ht="14.25" customHeight="1">
      <c r="B117" s="28" t="s">
        <v>242</v>
      </c>
      <c r="D117" s="28" t="s">
        <v>253</v>
      </c>
    </row>
    <row r="118" spans="2:4" ht="14.25" customHeight="1">
      <c r="B118" s="28" t="s">
        <v>244</v>
      </c>
      <c r="D118" s="32" t="s">
        <v>341</v>
      </c>
    </row>
    <row r="119" spans="2:4" ht="14.25" customHeight="1">
      <c r="B119" s="28" t="s">
        <v>246</v>
      </c>
      <c r="D119" s="31" t="s">
        <v>342</v>
      </c>
    </row>
    <row r="120" spans="2:4" ht="14.25" customHeight="1">
      <c r="B120" s="28" t="s">
        <v>248</v>
      </c>
      <c r="D120" s="31" t="s">
        <v>343</v>
      </c>
    </row>
    <row r="121" spans="2:4" ht="14.25" customHeight="1">
      <c r="B121" s="28" t="s">
        <v>250</v>
      </c>
    </row>
    <row r="122" spans="2:4" ht="14.25" customHeight="1">
      <c r="B122" s="28" t="s">
        <v>251</v>
      </c>
      <c r="D122" s="27" t="s">
        <v>255</v>
      </c>
    </row>
    <row r="123" spans="2:4" ht="14.25" customHeight="1">
      <c r="B123" s="28"/>
      <c r="D123" s="49" t="s">
        <v>337</v>
      </c>
    </row>
    <row r="124" spans="2:4" ht="14.25" customHeight="1">
      <c r="B124" s="27" t="s">
        <v>254</v>
      </c>
      <c r="D124" s="31" t="s">
        <v>338</v>
      </c>
    </row>
    <row r="125" spans="2:4" ht="14.25" customHeight="1">
      <c r="B125" s="31" t="s">
        <v>350</v>
      </c>
      <c r="D125" s="31" t="s">
        <v>339</v>
      </c>
    </row>
    <row r="126" spans="2:4" ht="14.25" customHeight="1">
      <c r="B126" s="31" t="s">
        <v>351</v>
      </c>
      <c r="D126" s="29" t="s">
        <v>340</v>
      </c>
    </row>
    <row r="127" spans="2:4" ht="14.25" customHeight="1">
      <c r="B127" s="31" t="s">
        <v>352</v>
      </c>
      <c r="D127" s="28" t="s">
        <v>258</v>
      </c>
    </row>
    <row r="128" spans="2:4" ht="14.25" customHeight="1">
      <c r="B128" s="31" t="s">
        <v>353</v>
      </c>
    </row>
    <row r="129" spans="2:4" ht="14.25" customHeight="1">
      <c r="B129" s="31" t="s">
        <v>354</v>
      </c>
      <c r="D129" s="27" t="s">
        <v>260</v>
      </c>
    </row>
    <row r="130" spans="2:4" ht="14.25" customHeight="1">
      <c r="B130" s="28"/>
      <c r="D130" s="28" t="s">
        <v>262</v>
      </c>
    </row>
    <row r="131" spans="2:4" ht="14.25" customHeight="1">
      <c r="B131" s="27" t="s">
        <v>256</v>
      </c>
      <c r="D131" s="28" t="s">
        <v>264</v>
      </c>
    </row>
    <row r="132" spans="2:4" ht="14.25" customHeight="1">
      <c r="B132" s="28" t="s">
        <v>257</v>
      </c>
      <c r="D132" s="28"/>
    </row>
    <row r="133" spans="2:4" ht="14.25" customHeight="1">
      <c r="B133" s="28" t="s">
        <v>259</v>
      </c>
      <c r="D133" s="27" t="s">
        <v>266</v>
      </c>
    </row>
    <row r="134" spans="2:4" ht="14.25" customHeight="1">
      <c r="B134" s="28" t="s">
        <v>261</v>
      </c>
      <c r="D134" s="28" t="s">
        <v>268</v>
      </c>
    </row>
    <row r="135" spans="2:4" ht="14.25" customHeight="1">
      <c r="B135" s="28" t="s">
        <v>263</v>
      </c>
      <c r="D135" s="28" t="s">
        <v>270</v>
      </c>
    </row>
    <row r="136" spans="2:4" ht="14.25" customHeight="1">
      <c r="B136" s="28" t="s">
        <v>265</v>
      </c>
      <c r="D136" s="28" t="s">
        <v>272</v>
      </c>
    </row>
    <row r="137" spans="2:4" ht="14.25" customHeight="1">
      <c r="B137" s="28"/>
      <c r="D137" s="28" t="s">
        <v>273</v>
      </c>
    </row>
    <row r="138" spans="2:4" ht="14.25" customHeight="1">
      <c r="B138" s="27" t="s">
        <v>267</v>
      </c>
    </row>
    <row r="139" spans="2:4" ht="14.25" customHeight="1">
      <c r="B139" s="28" t="s">
        <v>269</v>
      </c>
    </row>
    <row r="140" spans="2:4" ht="14.25" customHeight="1">
      <c r="B140" s="28" t="s">
        <v>271</v>
      </c>
    </row>
    <row r="141" spans="2:4" ht="14.25" customHeight="1">
      <c r="B141" s="49" t="s">
        <v>355</v>
      </c>
      <c r="C141" s="35"/>
    </row>
    <row r="142" spans="2:4" ht="14.25" customHeight="1">
      <c r="B142" s="28"/>
      <c r="C142" s="36"/>
      <c r="D142" s="28"/>
    </row>
    <row r="143" spans="2:4" ht="14.25" customHeight="1">
      <c r="B143" s="37" t="s">
        <v>278</v>
      </c>
      <c r="C143" s="37"/>
      <c r="D143" s="37"/>
    </row>
    <row r="144" spans="2:4" ht="14.25" customHeight="1">
      <c r="B144" s="38" t="str">
        <f>"계약자             "&amp;계약서!C11&amp;"                       서명 또는 인"</f>
        <v>계약자             중앙 오토바이 가수점                       서명 또는 인</v>
      </c>
      <c r="C144" s="28"/>
      <c r="D144" s="38" t="str">
        <f>"연대보증인                 "&amp;계약서!C16&amp;"                 서명 또는 인"</f>
        <v>연대보증인                 안종식                 서명 또는 인</v>
      </c>
    </row>
    <row r="145" spans="2:4" ht="14.25" customHeight="1">
      <c r="B145" s="36"/>
      <c r="D145" s="39"/>
    </row>
    <row r="146" spans="2:4" ht="13.5" customHeight="1">
      <c r="B146" s="28"/>
      <c r="C146" s="28"/>
      <c r="D146" s="28"/>
    </row>
    <row r="147" spans="2:4" ht="13.5" customHeight="1">
      <c r="B147" s="28"/>
      <c r="C147" s="28"/>
      <c r="D147" s="28"/>
    </row>
    <row r="148" spans="2:4" ht="13.5" customHeight="1">
      <c r="B148" s="28"/>
      <c r="C148" s="28"/>
      <c r="D148" s="28"/>
    </row>
    <row r="149" spans="2:4" ht="13.5" customHeight="1">
      <c r="B149" s="28"/>
      <c r="C149" s="28"/>
      <c r="D149" s="28"/>
    </row>
    <row r="150" spans="2:4" ht="13.5" customHeight="1">
      <c r="B150" s="28"/>
      <c r="C150" s="28"/>
      <c r="D150" s="28"/>
    </row>
    <row r="151" spans="2:4" ht="13.5" customHeight="1">
      <c r="B151" s="28"/>
      <c r="C151" s="28"/>
      <c r="D151" s="28"/>
    </row>
    <row r="152" spans="2:4" ht="13.5" customHeight="1">
      <c r="B152" s="28"/>
      <c r="C152" s="28"/>
      <c r="D152" s="28"/>
    </row>
    <row r="153" spans="2:4" ht="13.5" customHeight="1">
      <c r="B153" s="28"/>
      <c r="C153" s="28"/>
      <c r="D153" s="28"/>
    </row>
    <row r="154" spans="2:4" ht="13.5" customHeight="1">
      <c r="B154" s="28"/>
      <c r="C154" s="28"/>
      <c r="D154" s="28"/>
    </row>
    <row r="155" spans="2:4" ht="13.5" customHeight="1">
      <c r="B155" s="28"/>
      <c r="C155" s="28"/>
      <c r="D155" s="28"/>
    </row>
    <row r="156" spans="2:4" ht="13.5" customHeight="1">
      <c r="B156" s="28"/>
      <c r="C156" s="28"/>
      <c r="D156" s="28"/>
    </row>
    <row r="157" spans="2:4" s="40" customFormat="1" ht="13.5" customHeight="1">
      <c r="B157" s="28"/>
      <c r="C157" s="28"/>
      <c r="D157" s="28"/>
    </row>
    <row r="158" spans="2:4" ht="13.5" customHeight="1">
      <c r="B158" s="28"/>
      <c r="C158" s="28"/>
      <c r="D158" s="28"/>
    </row>
    <row r="159" spans="2:4" ht="13.5" customHeight="1">
      <c r="B159" s="28"/>
      <c r="C159" s="28"/>
      <c r="D159" s="28"/>
    </row>
    <row r="160" spans="2:4" ht="13.5" customHeight="1">
      <c r="B160" s="28"/>
      <c r="C160" s="28"/>
      <c r="D160" s="28"/>
    </row>
    <row r="161" spans="2:4" ht="13.5" customHeight="1">
      <c r="B161" s="28"/>
      <c r="C161" s="28"/>
      <c r="D161" s="28"/>
    </row>
    <row r="162" spans="2:4" ht="13.5" customHeight="1">
      <c r="B162" s="28"/>
      <c r="C162" s="28"/>
      <c r="D162" s="28"/>
    </row>
    <row r="163" spans="2:4" ht="13.5" customHeight="1">
      <c r="B163" s="28"/>
      <c r="C163" s="28"/>
      <c r="D163" s="28"/>
    </row>
    <row r="164" spans="2:4" ht="13.5" customHeight="1">
      <c r="B164" s="28"/>
      <c r="C164" s="28"/>
      <c r="D164" s="28"/>
    </row>
    <row r="165" spans="2:4" ht="13.5" customHeight="1">
      <c r="B165" s="28"/>
      <c r="C165" s="28"/>
      <c r="D165" s="28"/>
    </row>
    <row r="166" spans="2:4" ht="13.5" customHeight="1">
      <c r="B166" s="28"/>
      <c r="C166" s="28"/>
      <c r="D166" s="28"/>
    </row>
    <row r="167" spans="2:4" ht="13.5" customHeight="1">
      <c r="B167" s="28"/>
      <c r="C167" s="28"/>
      <c r="D167" s="28"/>
    </row>
    <row r="168" spans="2:4" ht="13.5" customHeight="1">
      <c r="B168" s="28"/>
      <c r="C168" s="28"/>
      <c r="D168" s="28"/>
    </row>
    <row r="169" spans="2:4" ht="13.5" customHeight="1">
      <c r="B169" s="28"/>
      <c r="C169" s="28"/>
      <c r="D169" s="28"/>
    </row>
    <row r="170" spans="2:4" ht="13.5" customHeight="1">
      <c r="B170" s="28"/>
      <c r="C170" s="28"/>
      <c r="D170" s="28"/>
    </row>
    <row r="171" spans="2:4" ht="13.5" customHeight="1">
      <c r="B171" s="28"/>
      <c r="C171" s="28"/>
      <c r="D171" s="28"/>
    </row>
    <row r="172" spans="2:4" ht="13.5" customHeight="1">
      <c r="B172" s="28"/>
      <c r="C172" s="28"/>
      <c r="D172" s="28"/>
    </row>
    <row r="173" spans="2:4" ht="13.5" customHeight="1">
      <c r="B173" s="28"/>
      <c r="C173" s="28"/>
      <c r="D173" s="28"/>
    </row>
    <row r="174" spans="2:4" ht="13.5" customHeight="1">
      <c r="B174" s="28"/>
      <c r="C174" s="28"/>
      <c r="D174" s="28"/>
    </row>
    <row r="175" spans="2:4" ht="13.5" customHeight="1">
      <c r="B175" s="28"/>
      <c r="C175" s="28"/>
      <c r="D175" s="28"/>
    </row>
    <row r="176" spans="2:4" ht="13.5" customHeight="1">
      <c r="B176" s="28"/>
      <c r="C176" s="28"/>
      <c r="D176" s="28"/>
    </row>
    <row r="177" spans="2:4" ht="13.5" customHeight="1">
      <c r="B177" s="28"/>
      <c r="C177" s="28"/>
      <c r="D177" s="28"/>
    </row>
    <row r="178" spans="2:4" ht="13.5" customHeight="1">
      <c r="B178" s="28"/>
      <c r="C178" s="28"/>
      <c r="D178" s="28"/>
    </row>
    <row r="179" spans="2:4" ht="13.5" customHeight="1">
      <c r="B179" s="28"/>
      <c r="C179" s="28"/>
      <c r="D179" s="28"/>
    </row>
    <row r="180" spans="2:4" ht="13.5" customHeight="1">
      <c r="B180" s="28"/>
      <c r="C180" s="28"/>
      <c r="D180" s="28"/>
    </row>
    <row r="181" spans="2:4" ht="13.5" customHeight="1">
      <c r="B181" s="28"/>
      <c r="C181" s="28"/>
      <c r="D181" s="28"/>
    </row>
    <row r="182" spans="2:4" ht="13.5" customHeight="1">
      <c r="B182" s="28"/>
      <c r="C182" s="28"/>
      <c r="D182" s="28"/>
    </row>
    <row r="183" spans="2:4" ht="13.5" customHeight="1">
      <c r="B183" s="28"/>
      <c r="C183" s="28"/>
      <c r="D183" s="28"/>
    </row>
    <row r="184" spans="2:4" ht="13.5" customHeight="1">
      <c r="B184" s="28"/>
      <c r="C184" s="28"/>
      <c r="D184" s="28"/>
    </row>
    <row r="185" spans="2:4" ht="13.5" customHeight="1">
      <c r="B185" s="28"/>
      <c r="C185" s="28"/>
      <c r="D185" s="28"/>
    </row>
    <row r="186" spans="2:4" ht="13.5" customHeight="1">
      <c r="B186" s="28"/>
      <c r="C186" s="28"/>
      <c r="D186" s="28"/>
    </row>
    <row r="187" spans="2:4" ht="13.5" customHeight="1">
      <c r="B187" s="28"/>
      <c r="C187" s="28"/>
      <c r="D187" s="28"/>
    </row>
    <row r="188" spans="2:4" ht="13.5" customHeight="1">
      <c r="B188" s="28"/>
      <c r="C188" s="28"/>
      <c r="D188" s="28"/>
    </row>
    <row r="189" spans="2:4" ht="13.5" customHeight="1"/>
    <row r="190" spans="2:4" ht="13.5" customHeight="1"/>
    <row r="191" spans="2:4" ht="13.5" customHeight="1"/>
    <row r="192" spans="2:4" ht="13.5" customHeight="1"/>
    <row r="193" spans="2:4" ht="13.5" customHeight="1">
      <c r="B193" s="28"/>
      <c r="C193" s="28"/>
      <c r="D193" s="28"/>
    </row>
    <row r="194" spans="2:4" ht="13.5" customHeight="1">
      <c r="B194" s="28"/>
      <c r="C194" s="28"/>
      <c r="D194" s="28"/>
    </row>
    <row r="195" spans="2:4" ht="13.5" customHeight="1">
      <c r="B195" s="28"/>
      <c r="D195" s="28"/>
    </row>
    <row r="196" spans="2:4" ht="14.25" customHeight="1">
      <c r="B196" s="28"/>
      <c r="D196" s="28"/>
    </row>
    <row r="197" spans="2:4" ht="14.25" customHeight="1">
      <c r="B197" s="28"/>
      <c r="D197" s="28"/>
    </row>
    <row r="198" spans="2:4" ht="21.75" customHeight="1">
      <c r="B198" s="28"/>
      <c r="D198" s="28"/>
    </row>
    <row r="199" spans="2:4" ht="15.75" customHeight="1">
      <c r="B199" s="28"/>
      <c r="D199" s="28"/>
    </row>
    <row r="200" spans="2:4" ht="15.75" customHeight="1">
      <c r="B200" s="28"/>
      <c r="D200" s="28"/>
    </row>
    <row r="201" spans="2:4" ht="15.75" customHeight="1">
      <c r="B201" s="28"/>
      <c r="D201" s="28"/>
    </row>
    <row r="202" spans="2:4" ht="15.75" customHeight="1">
      <c r="B202" s="28"/>
      <c r="D202" s="28"/>
    </row>
    <row r="203" spans="2:4" ht="14.25" customHeight="1">
      <c r="B203" s="28"/>
      <c r="D203" s="28"/>
    </row>
    <row r="204" spans="2:4" ht="21.75" customHeight="1">
      <c r="B204" s="28"/>
      <c r="D204" s="28"/>
    </row>
    <row r="205" spans="2:4" ht="48" customHeight="1">
      <c r="B205" s="28"/>
      <c r="D205" s="28"/>
    </row>
    <row r="206" spans="2:4" ht="48" customHeight="1">
      <c r="B206" s="28"/>
      <c r="D206" s="28"/>
    </row>
    <row r="207" spans="2:4" ht="48" customHeight="1">
      <c r="B207" s="28"/>
      <c r="D207" s="28"/>
    </row>
    <row r="208" spans="2:4" ht="31.5" customHeight="1">
      <c r="B208" s="28"/>
      <c r="D208" s="28"/>
    </row>
    <row r="209" spans="2:4" ht="31.5" customHeight="1">
      <c r="B209" s="28"/>
      <c r="D209" s="28"/>
    </row>
    <row r="210" spans="2:4" ht="31.5" customHeight="1">
      <c r="B210" s="28"/>
      <c r="D210" s="28"/>
    </row>
    <row r="211" spans="2:4" ht="31.5" customHeight="1">
      <c r="B211" s="28"/>
      <c r="C211" s="35"/>
    </row>
    <row r="212" spans="2:4" ht="15.75" customHeight="1">
      <c r="B212" s="28"/>
      <c r="C212" s="36"/>
    </row>
    <row r="213" spans="2:4" ht="14.25" customHeight="1">
      <c r="B213" s="28"/>
      <c r="D213" s="28"/>
    </row>
    <row r="214" spans="2:4" ht="14.25" customHeight="1">
      <c r="B214" s="36"/>
      <c r="D214" s="28"/>
    </row>
    <row r="215" spans="2:4" ht="21.75" customHeight="1">
      <c r="B215" s="36"/>
      <c r="D215" s="39"/>
    </row>
    <row r="216" spans="2:4" ht="31.5" customHeight="1"/>
  </sheetData>
  <mergeCells count="1">
    <mergeCell ref="B1:D1"/>
  </mergeCells>
  <phoneticPr fontId="44" type="noConversion"/>
  <pageMargins left="0.3" right="0.3" top="0.4" bottom="0.4" header="0.511811023622047" footer="0.511811023622047"/>
  <pageSetup paperSize="9" scale="71" fitToHeight="0" orientation="portrait" horizontalDpi="300" verticalDpi="300" r:id="rId1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2026-04-30T07:13:36Z</cp:lastPrinted>
  <dcterms:created xsi:type="dcterms:W3CDTF">2026-04-27T06:03:32Z</dcterms:created>
  <dcterms:modified xsi:type="dcterms:W3CDTF">2026-05-06T11:21:46Z</dcterms:modified>
  <dc:language>en-US</dc:language>
</cp:coreProperties>
</file>