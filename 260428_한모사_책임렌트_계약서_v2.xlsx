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DEE0833F-7436-4DBF-91C7-9AE3767EA736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계약서!$A$1:$K$52</definedName>
    <definedName name="_xlnm.Print_Area" localSheetId="2">이용약관!$A$1:$D$140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1" i="2" l="1"/>
  <c r="C51" i="2"/>
  <c r="C24" i="2"/>
  <c r="C23" i="2"/>
  <c r="I22" i="2"/>
  <c r="F22" i="2"/>
  <c r="C22" i="2"/>
  <c r="I21" i="2"/>
  <c r="F21" i="2"/>
  <c r="C21" i="2"/>
  <c r="C17" i="2"/>
  <c r="I16" i="2"/>
  <c r="F16" i="2"/>
  <c r="C16" i="2"/>
  <c r="D140" i="3" s="1"/>
  <c r="F12" i="2"/>
  <c r="C12" i="2"/>
  <c r="I11" i="2"/>
  <c r="F11" i="2"/>
  <c r="C11" i="2"/>
  <c r="B140" i="3" s="1"/>
  <c r="C8" i="2"/>
  <c r="I7" i="2"/>
  <c r="F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<sst xmlns="http://schemas.openxmlformats.org/spreadsheetml/2006/main" count="377" uniqueCount="352">
  <si>
    <t>계약번호</t>
  </si>
  <si>
    <t>계약일자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</si>
  <si>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</si>
  <si>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</si>
  <si>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</si>
  <si>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</si>
  <si>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</si>
  <si>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</si>
  <si>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</si>
  <si>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</si>
  <si>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</si>
  <si>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</si>
  <si>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</si>
  <si>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</si>
  <si>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</si>
  <si>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</si>
  <si>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</si>
  <si>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</si>
  <si>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</si>
  <si>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</si>
  <si>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</si>
  <si>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</si>
  <si>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</si>
  <si>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</si>
  <si>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</si>
  <si>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</si>
  <si>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</si>
  <si>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</si>
  <si>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</si>
  <si>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</si>
  <si>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</si>
  <si>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DejaVu Sans"/>
        <family val="2"/>
        <charset val="1"/>
      </rPr>
      <t>30</t>
    </r>
    <r>
      <rPr>
        <sz val="10"/>
        <color rgb="FF000000"/>
        <rFont val="DejaVu Sans"/>
        <family val="2"/>
      </rPr>
      <t>세</t>
    </r>
  </si>
  <si>
    <t>중앙 오토바이 가수점</t>
  </si>
  <si>
    <t>737-55-00719</t>
  </si>
  <si>
    <t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</si>
  <si>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DejaVu Sans"/>
        <family val="2"/>
        <charset val="1"/>
      </rPr>
      <t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DejaVu Sans"/>
        <family val="2"/>
        <charset val="1"/>
      </rPr>
      <t>5,6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가수동</t>
    </r>
    <r>
      <rPr>
        <sz val="10"/>
        <color rgb="FF000000"/>
        <rFont val="DejaVu Sans"/>
        <family val="2"/>
        <charset val="1"/>
      </rPr>
      <t>)</t>
    </r>
  </si>
  <si>
    <t>010-5813-7336</t>
  </si>
  <si>
    <t>jungang@example.com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</si>
  <si>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</si>
  <si>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DejaVu Sans"/>
        <family val="2"/>
        <charset val="1"/>
      </rPr>
      <t>)</t>
    </r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</si>
  <si>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</si>
  <si>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</si>
  <si>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</si>
  <si>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DejaVu Sans"/>
        <family val="2"/>
        <charset val="1"/>
      </rPr>
      <t>)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</si>
  <si>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</si>
  <si>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</si>
  <si>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한국모터사이클리스 유한회사</t>
  </si>
  <si>
    <t>■ 차량 정보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</si>
  <si>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DejaVu Sans"/>
        <family val="2"/>
        <charset val="1"/>
      </rPr>
      <t>.</t>
    </r>
  </si>
  <si>
    <t>■ 계약자</t>
  </si>
  <si>
    <t>업체명</t>
  </si>
  <si>
    <t>연락처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</si>
  <si>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>사업자등록증 사본</t>
    </r>
    <r>
      <rPr>
        <i/>
        <sz val="8"/>
        <color rgb="FF595959"/>
        <rFont val="DejaVu Sans"/>
        <family val="3"/>
        <charset val="129"/>
      </rPr>
      <t xml:space="preserve">, </t>
    </r>
    <r>
      <rPr>
        <i/>
        <sz val="8"/>
        <color rgb="FF595959"/>
        <rFont val="DejaVu Sans"/>
        <family val="2"/>
      </rPr>
      <t>대표자 신분증 사본</t>
    </r>
  </si>
  <si>
    <t>■ 연대보증인</t>
  </si>
  <si>
    <t>성명</t>
  </si>
  <si>
    <t>주민등록번호</t>
  </si>
  <si>
    <t>주소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</si>
  <si>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대표자 신분증 사본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 xml:space="preserve">보증 기한 </t>
    </r>
    <r>
      <rPr>
        <i/>
        <sz val="8"/>
        <color rgb="FF595959"/>
        <rFont val="DejaVu Sans"/>
        <family val="2"/>
        <charset val="1"/>
      </rPr>
      <t>: 2</t>
    </r>
    <r>
      <rPr>
        <i/>
        <sz val="8"/>
        <color rgb="FF595959"/>
        <rFont val="DejaVu Sans"/>
        <family val="2"/>
      </rPr>
      <t xml:space="preserve">년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 xml:space="preserve">보증 한도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전체 이용료의 </t>
    </r>
    <r>
      <rPr>
        <i/>
        <sz val="8"/>
        <color rgb="FF595959"/>
        <rFont val="DejaVu Sans"/>
        <family val="2"/>
        <charset val="1"/>
      </rPr>
      <t>130%</t>
    </r>
  </si>
  <si>
    <t>■ 계약 조건</t>
  </si>
  <si>
    <t>렌트 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</si>
  <si>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</si>
  <si>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청구시작일</t>
  </si>
  <si>
    <t>차량 인도일부터</t>
  </si>
  <si>
    <t>■ 회사 정보</t>
  </si>
  <si>
    <t>상호</t>
  </si>
  <si>
    <t>647-86-03800</t>
  </si>
  <si>
    <t>대표이사</t>
  </si>
  <si>
    <t>김현수</t>
  </si>
  <si>
    <r>
      <rPr>
        <sz val="10"/>
        <color rgb="FF000000"/>
        <rFont val="DejaVu Sans"/>
        <family val="2"/>
      </rPr>
      <t>경기도 수원시 권선구 입북로</t>
    </r>
    <r>
      <rPr>
        <sz val="10"/>
        <color rgb="FF000000"/>
        <rFont val="DejaVu Sans"/>
        <family val="3"/>
        <charset val="129"/>
      </rPr>
      <t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3"/>
        <charset val="129"/>
      </rPr>
      <t>15</t>
    </r>
  </si>
  <si>
    <t>고객센터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</si>
  <si>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</si>
  <si>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t>운행자성</t>
  </si>
  <si>
    <r>
      <rPr>
        <b/>
        <sz val="8"/>
        <color rgb="FFC00000"/>
        <rFont val="DejaVu Sans"/>
        <family val="2"/>
      </rPr>
      <t xml:space="preserve">회사는 본 차량의 소유자이나 자동차손해배상보장법상 </t>
    </r>
    <r>
      <rPr>
        <b/>
        <sz val="8"/>
        <color rgb="FFC00000"/>
        <rFont val="DejaVu Sans"/>
        <family val="2"/>
        <charset val="1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DejaVu Sans"/>
        <family val="2"/>
        <charset val="1"/>
      </rPr>
      <t>"</t>
    </r>
    <r>
      <rPr>
        <b/>
        <sz val="8"/>
        <color rgb="FFC00000"/>
        <rFont val="DejaVu Sans"/>
        <family val="2"/>
      </rPr>
      <t>가 아니며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운행지배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운행이익</t>
    </r>
    <r>
      <rPr>
        <b/>
        <sz val="8"/>
        <color rgb="FFC00000"/>
        <rFont val="DejaVu Sans"/>
        <family val="2"/>
        <charset val="1"/>
      </rPr>
      <t>)</t>
    </r>
    <r>
      <rPr>
        <b/>
        <sz val="8"/>
        <color rgb="FFC00000"/>
        <rFont val="DejaVu Sans"/>
        <family val="2"/>
      </rPr>
      <t>은 전적으로 계약자에게 있습니다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따라서 운행 중 발생하는 모든 인적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물적 손해의 운행자 책임은 계약자가 부담합니다</t>
    </r>
    <r>
      <rPr>
        <b/>
        <sz val="8"/>
        <color rgb="FFC00000"/>
        <rFont val="DejaVu Sans"/>
        <family val="2"/>
        <charset val="1"/>
      </rPr>
      <t>.</t>
    </r>
  </si>
  <si>
    <t>사고 즉시 고지 의무</t>
  </si>
  <si>
    <r>
      <rPr>
        <b/>
        <sz val="8"/>
        <color rgb="FFC00000"/>
        <rFont val="DejaVu Sans"/>
        <family val="2"/>
      </rPr>
      <t>회사는 운행자가 아니므로 사고 발생 사실을 직접 인지할 수 없습니다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사고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인적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물적 손해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단독사고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차량 파손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멸실 등 일체</t>
    </r>
    <r>
      <rPr>
        <b/>
        <sz val="8"/>
        <color rgb="FFC00000"/>
        <rFont val="DejaVu Sans"/>
        <family val="2"/>
        <charset val="1"/>
      </rPr>
      <t xml:space="preserve">) </t>
    </r>
    <r>
      <rPr>
        <b/>
        <sz val="8"/>
        <color rgb="FFC00000"/>
        <rFont val="DejaVu Sans"/>
        <family val="2"/>
      </rPr>
      <t>발생 시 계약자는 즉시 회사에 고지하여야 하며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지연 고지로 발생하는 모든 손해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보험 미보장분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회사 추가 부담 비용 등</t>
    </r>
    <r>
      <rPr>
        <b/>
        <sz val="8"/>
        <color rgb="FFC00000"/>
        <rFont val="DejaVu Sans"/>
        <family val="2"/>
        <charset val="1"/>
      </rPr>
      <t>)</t>
    </r>
    <r>
      <rPr>
        <b/>
        <sz val="8"/>
        <color rgb="FFC00000"/>
        <rFont val="DejaVu Sans"/>
        <family val="2"/>
      </rPr>
      <t>는 계약자가 전적으로 책임지며 회사는 본 계약을 즉시 해지하고 차량을 회수할 수 있습니다</t>
    </r>
    <r>
      <rPr>
        <b/>
        <sz val="8"/>
        <color rgb="FFC00000"/>
        <rFont val="DejaVu Sans"/>
        <family val="2"/>
        <charset val="1"/>
      </rPr>
      <t>.</t>
    </r>
  </si>
  <si>
    <t>보험연령 미달자 운전</t>
  </si>
  <si>
    <r>
      <rPr>
        <b/>
        <sz val="8"/>
        <color rgb="FFC00000"/>
        <rFont val="DejaVu Sans"/>
        <family val="2"/>
      </rPr>
      <t>본 차량은 보험연령 이상의 운전자만이 운행해야 합니다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보험연령 미달자가 운행하여 발생한 사고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손해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보험사 구상금은 회사의 라이더 신원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연령 확인 여부와 관계없이 계약자가 전적으로 책임집니다</t>
    </r>
    <r>
      <rPr>
        <b/>
        <sz val="8"/>
        <color rgb="FFC00000"/>
        <rFont val="DejaVu Sans"/>
        <family val="2"/>
        <charset val="1"/>
      </rPr>
      <t>.</t>
    </r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</si>
  <si>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</si>
  <si>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r>
      <rPr>
        <b/>
        <sz val="8"/>
        <color rgb="FFC00000"/>
        <rFont val="DejaVu Sans"/>
        <family val="2"/>
      </rPr>
      <t>신호위반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중앙선침범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 xml:space="preserve">음주운전 등 </t>
    </r>
    <r>
      <rPr>
        <b/>
        <sz val="8"/>
        <color rgb="FFC00000"/>
        <rFont val="DejaVu Sans"/>
        <family val="2"/>
        <charset val="1"/>
      </rPr>
      <t>12</t>
    </r>
    <r>
      <rPr>
        <b/>
        <sz val="8"/>
        <color rgb="FFC00000"/>
        <rFont val="DejaVu Sans"/>
        <family val="2"/>
      </rPr>
      <t>대 중과실 또는 보험약관상 면책사항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고의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약물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범죄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운행자 범위 외 운전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도난중 운행 등</t>
    </r>
    <r>
      <rPr>
        <b/>
        <sz val="8"/>
        <color rgb="FFC00000"/>
        <rFont val="DejaVu Sans"/>
        <family val="2"/>
        <charset val="1"/>
      </rPr>
      <t>)</t>
    </r>
    <r>
      <rPr>
        <b/>
        <sz val="8"/>
        <color rgb="FFC00000"/>
        <rFont val="DejaVu Sans"/>
        <family val="2"/>
      </rPr>
      <t>에 해당하는 사고로 회사에 보험사 구상금이 청구되는 경우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 xml:space="preserve">계약자는 통보 후 </t>
    </r>
    <r>
      <rPr>
        <b/>
        <sz val="8"/>
        <color rgb="FFC00000"/>
        <rFont val="DejaVu Sans"/>
        <family val="2"/>
        <charset val="1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DejaVu Sans"/>
        <family val="2"/>
        <charset val="1"/>
      </rPr>
      <t>.</t>
    </r>
  </si>
  <si>
    <t>미변제 시 즉시 처리</t>
  </si>
  <si>
    <r>
      <rPr>
        <b/>
        <sz val="8"/>
        <color rgb="FFC00000"/>
        <rFont val="DejaVu Sans"/>
        <family val="2"/>
      </rPr>
      <t xml:space="preserve">위 구상금을 </t>
    </r>
    <r>
      <rPr>
        <b/>
        <sz val="8"/>
        <color rgb="FFC00000"/>
        <rFont val="DejaVu Sans"/>
        <family val="2"/>
        <charset val="1"/>
      </rPr>
      <t>7</t>
    </r>
    <r>
      <rPr>
        <b/>
        <sz val="8"/>
        <color rgb="FFC00000"/>
        <rFont val="DejaVu Sans"/>
        <family val="2"/>
      </rPr>
      <t>일 이내 변제하지 아니하는 경우 본 계약은 자동 해지되고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회사는 차량을 즉시 회수하며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보증금은 반환하지 아니합니다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위약금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손해배상금은 별도 청구</t>
    </r>
    <r>
      <rPr>
        <b/>
        <sz val="8"/>
        <color rgb="FFC00000"/>
        <rFont val="DejaVu Sans"/>
        <family val="2"/>
        <charset val="1"/>
      </rPr>
      <t>).</t>
    </r>
  </si>
  <si>
    <t>계열사 미납 교차 적용</t>
  </si>
  <si>
    <t>보증금 처리</t>
  </si>
  <si>
    <t>수납 방식</t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</si>
  <si>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</si>
  <si>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</si>
  <si>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t>수집 항목</t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</si>
  <si>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</si>
  <si>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t>금융거래정보 제공</t>
  </si>
  <si>
    <t>자동이체 동의</t>
  </si>
  <si>
    <t>업무위탁 내역</t>
  </si>
  <si>
    <t>■ 계약 체결</t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</si>
  <si>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</si>
  <si>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</si>
  <si>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연대보증인</t>
  </si>
  <si>
    <t>공급자</t>
  </si>
  <si>
    <t>이륜차 책임렌트 계약 이용약관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</si>
  <si>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</si>
  <si>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</si>
  <si>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</si>
  <si>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용하게 하고 그 대가를 정기적으로 지급받는 계약을 말한다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</si>
  <si>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연대보증인의 책임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</si>
  <si>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</si>
  <si>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</si>
  <si>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DejaVu Sans"/>
        <family val="2"/>
        <charset val="1"/>
      </rPr>
      <t>10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DejaVu Sans"/>
        <family val="2"/>
        <charset val="1"/>
      </rPr>
      <t>(</t>
    </r>
    <r>
      <rPr>
        <b/>
        <sz val="9"/>
        <color rgb="FFC00000"/>
        <rFont val="DejaVu Sans"/>
        <family val="2"/>
      </rPr>
      <t>운행자성 및 운행지배</t>
    </r>
    <r>
      <rPr>
        <b/>
        <sz val="9"/>
        <color rgb="FFC00000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</si>
  <si>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</si>
  <si>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</si>
  <si>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DejaVu Sans"/>
        <family val="2"/>
        <charset val="1"/>
      </rPr>
      <t>11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DejaVu Sans"/>
        <family val="2"/>
        <charset val="1"/>
      </rPr>
      <t>(</t>
    </r>
    <r>
      <rPr>
        <b/>
        <sz val="9"/>
        <color rgb="FFC00000"/>
        <rFont val="DejaVu Sans"/>
        <family val="2"/>
      </rPr>
      <t>사고 발생 시 고지 의무</t>
    </r>
    <r>
      <rPr>
        <b/>
        <sz val="9"/>
        <color rgb="FFC00000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</si>
  <si>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</si>
  <si>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DejaVu Sans"/>
        <family val="2"/>
        <charset val="1"/>
      </rPr>
      <t>12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DejaVu Sans"/>
        <family val="2"/>
        <charset val="1"/>
      </rPr>
      <t>(</t>
    </r>
    <r>
      <rPr>
        <b/>
        <sz val="9"/>
        <color rgb="FFC00000"/>
        <rFont val="DejaVu Sans"/>
        <family val="2"/>
      </rPr>
      <t>보험연령 미달자 운전 책임</t>
    </r>
    <r>
      <rPr>
        <b/>
        <sz val="9"/>
        <color rgb="FFC00000"/>
        <rFont val="DejaVu Sans"/>
        <family val="2"/>
        <charset val="1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</si>
  <si>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DejaVu Sans"/>
        <family val="2"/>
        <charset val="1"/>
      </rPr>
      <t>13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DejaVu Sans"/>
        <family val="2"/>
        <charset val="1"/>
      </rPr>
      <t>(</t>
    </r>
    <r>
      <rPr>
        <b/>
        <sz val="9"/>
        <color rgb="FFC00000"/>
        <rFont val="DejaVu Sans"/>
        <family val="2"/>
      </rPr>
      <t>보험 면책사고 및 구상금</t>
    </r>
    <r>
      <rPr>
        <b/>
        <sz val="9"/>
        <color rgb="FFC00000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</si>
  <si>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계약자에 의한 중도 해지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</si>
  <si>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DejaVu Sans"/>
        <family val="3"/>
        <charset val="129"/>
      </rPr>
      <t>21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DejaVu Sans"/>
        <family val="3"/>
        <charset val="129"/>
      </rPr>
      <t>(</t>
    </r>
    <r>
      <rPr>
        <b/>
        <sz val="9"/>
        <color rgb="FFC00000"/>
        <rFont val="DejaVu Sans"/>
        <family val="2"/>
      </rPr>
      <t>계약의 해지 사유</t>
    </r>
    <r>
      <rPr>
        <b/>
        <sz val="9"/>
        <color rgb="FFC00000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</si>
  <si>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</si>
  <si>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DejaVu Sans"/>
        <family val="3"/>
        <charset val="129"/>
      </rPr>
      <t>22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DejaVu Sans"/>
        <family val="3"/>
        <charset val="129"/>
      </rPr>
      <t>(</t>
    </r>
    <r>
      <rPr>
        <b/>
        <sz val="9"/>
        <color rgb="FFC00000"/>
        <rFont val="DejaVu Sans"/>
        <family val="2"/>
      </rPr>
      <t>해지위약금 등의 부과방법</t>
    </r>
    <r>
      <rPr>
        <b/>
        <sz val="9"/>
        <color rgb="FFC00000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</si>
  <si>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 및 사용자의 책임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</si>
  <si>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이륜차 반환 및 회수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</si>
  <si>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계약만료 후 처리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</si>
  <si>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</si>
  <si>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변제충당 순서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</si>
  <si>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</si>
  <si>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세금계산서 발급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</si>
  <si>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DejaVu Sans"/>
        <family val="3"/>
        <charset val="129"/>
      </rPr>
      <t>27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DejaVu Sans"/>
        <family val="3"/>
        <charset val="129"/>
      </rPr>
      <t>(</t>
    </r>
    <r>
      <rPr>
        <b/>
        <sz val="9"/>
        <color rgb="FFC00000"/>
        <rFont val="DejaVu Sans"/>
        <family val="2"/>
      </rPr>
      <t>계열사 미납 교차 적용</t>
    </r>
    <r>
      <rPr>
        <b/>
        <sz val="9"/>
        <color rgb="FFC00000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</si>
  <si>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준거법 및 관할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</si>
  <si>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19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3</t>
    </r>
    <r>
      <rPr>
        <b/>
        <sz val="9"/>
        <color rgb="FF1F4E89"/>
        <rFont val="DejaVu Sans"/>
        <family val="2"/>
      </rPr>
      <t>자에 대한 면책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</si>
  <si>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차량 평가 및 감가 기준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</si>
  <si>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이용약관의 내용에 대해서 설명을 듣고 확인하였습니다</t>
    </r>
    <r>
      <rPr>
        <b/>
        <sz val="9"/>
        <color rgb="FF1F3864"/>
        <rFont val="DejaVu Sans"/>
        <family val="3"/>
        <charset val="129"/>
      </rPr>
      <t>.</t>
    </r>
  </si>
  <si>
    <t>010-2730-7845</t>
    <phoneticPr fontId="53" type="noConversion"/>
  </si>
  <si>
    <r>
      <t>① "이륜차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계약"이란,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취득하여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</t>
    </r>
    <phoneticPr fontId="53" type="noConversion"/>
  </si>
  <si>
    <r>
      <t>② "이륜차"란,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특정한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장착물을</t>
    </r>
    <phoneticPr fontId="53" type="noConversion"/>
  </si>
  <si>
    <t>포함한다.</t>
    <phoneticPr fontId="53" type="noConversion"/>
  </si>
  <si>
    <r>
      <t>③ "계약기간"이란,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53" type="noConversion"/>
  </si>
  <si>
    <r>
      <t>④ "보증금"이란, 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</t>
    </r>
    <phoneticPr fontId="53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</si>
  <si>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반환한다.</t>
    </r>
    <phoneticPr fontId="53" type="noConversion"/>
  </si>
  <si>
    <r>
      <t>⑤ "계약자"는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"계약자"로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사업장(법인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개인사업자)을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</t>
    </r>
    <phoneticPr fontId="53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</si>
  <si>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53" type="noConversion"/>
  </si>
  <si>
    <r>
      <t>⑥ "연대보증인"은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계약자와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phoneticPr fontId="53" type="noConversion"/>
  </si>
  <si>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53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</si>
  <si>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관리하는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계약</t>
    </r>
    <phoneticPr fontId="53" type="noConversion"/>
  </si>
  <si>
    <r>
      <rPr>
        <sz val="8"/>
        <color rgb="FF2B2B2B"/>
        <rFont val="맑은 고딕"/>
        <family val="3"/>
        <charset val="129"/>
      </rPr>
      <t>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신원·자격·연령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신원</t>
    </r>
    <phoneticPr fontId="53" type="noConversion"/>
  </si>
  <si>
    <r>
      <t>·</t>
    </r>
    <r>
      <rPr>
        <sz val="8"/>
        <color rgb="FF2B2B2B"/>
        <rFont val="맑은 고딕"/>
        <family val="3"/>
        <charset val="129"/>
      </rPr>
      <t>연령을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29"/>
      </rPr>
      <t>.</t>
    </r>
    <phoneticPr fontId="53" type="noConversion"/>
  </si>
  <si>
    <r>
      <t>⑧ "보험연령"이란, 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운전자로서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최저연령을</t>
    </r>
    <phoneticPr fontId="53" type="noConversion"/>
  </si>
  <si>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DejaVu Sans"/>
        <family val="3"/>
        <charset val="129"/>
      </rPr>
      <t>.</t>
    </r>
    <phoneticPr fontId="53" type="noConversion"/>
  </si>
  <si>
    <r>
      <t>⑨ "위약금"이란, 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</t>
    </r>
    <phoneticPr fontId="53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</si>
  <si>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53" type="noConversion"/>
  </si>
  <si>
    <r>
      <t>⑩ "지연손해금"이란,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</t>
    </r>
    <phoneticPr fontId="53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</si>
  <si>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53" type="noConversion"/>
  </si>
  <si>
    <r>
      <t>⑪ "구상금"이란, 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phoneticPr fontId="53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</si>
  <si>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</si>
  <si>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</t>
    </r>
    <phoneticPr fontId="53" type="noConversion"/>
  </si>
  <si>
    <r>
      <rPr>
        <sz val="8"/>
        <color rgb="FF2B2B2B"/>
        <rFont val="맑은 고딕"/>
        <family val="3"/>
        <charset val="129"/>
      </rPr>
      <t>보된다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</si>
  <si>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</t>
    </r>
    <phoneticPr fontId="53" type="noConversion"/>
  </si>
  <si>
    <r>
      <rPr>
        <sz val="8"/>
        <color rgb="FF2B2B2B"/>
        <rFont val="맑은 고딕"/>
        <family val="3"/>
        <charset val="129"/>
      </rPr>
      <t>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</si>
  <si>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phoneticPr fontId="53" type="noConversion"/>
  </si>
  <si>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</si>
  <si>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</si>
  <si>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</si>
  <si>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지정된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대행사</t>
    </r>
    <r>
      <rPr>
        <sz val="8"/>
        <color rgb="FF2B2B2B"/>
        <rFont val="DejaVu Sans"/>
        <family val="1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1"/>
      </rPr>
      <t xml:space="preserve">)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DejaVu Sans"/>
        <family val="1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사전</t>
    </r>
    <phoneticPr fontId="53" type="noConversion"/>
  </si>
  <si>
    <t>동의 시 최대 7일까지 납부를 유예할 수 있다.</t>
    <phoneticPr fontId="53" type="noConversion"/>
  </si>
  <si>
    <r>
      <rPr>
        <sz val="8"/>
        <color rgb="FF2B2B2B"/>
        <rFont val="맑은 고딕"/>
        <family val="3"/>
        <charset val="129"/>
      </rPr>
      <t>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1"/>
        <charset val="129"/>
      </rPr>
      <t xml:space="preserve">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맑은 고딕"/>
        <family val="1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맑은 고딕"/>
        <family val="1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맑은 고딕"/>
        <family val="1"/>
        <charset val="129"/>
      </rPr>
      <t>·</t>
    </r>
    <phoneticPr fontId="53" type="noConversion"/>
  </si>
  <si>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</si>
  <si>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반환한다. 다만, 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과태료·수리비·</t>
    </r>
    <phoneticPr fontId="53" type="noConversion"/>
  </si>
  <si>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1개월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반환한다.</t>
    </r>
    <phoneticPr fontId="5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</si>
  <si>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과태료·범칙금은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반환하며, 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</t>
    </r>
    <phoneticPr fontId="53" type="noConversion"/>
  </si>
  <si>
    <t>부한다.</t>
    <phoneticPr fontId="5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</si>
  <si>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아니하며, 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</t>
    </r>
    <phoneticPr fontId="53" type="noConversion"/>
  </si>
  <si>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</si>
  <si>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phoneticPr fontId="53" type="noConversion"/>
  </si>
  <si>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납부한다.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입금하며, 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</t>
    </r>
    <phoneticPr fontId="53" type="noConversion"/>
  </si>
  <si>
    <r>
      <rPr>
        <sz val="8"/>
        <color rgb="FF2B2B2B"/>
        <rFont val="맑은 고딕"/>
        <family val="3"/>
        <charset val="129"/>
      </rPr>
      <t>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</si>
  <si>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인상, 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정책, 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phoneticPr fontId="53" type="noConversion"/>
  </si>
  <si>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</si>
  <si>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</t>
    </r>
    <phoneticPr fontId="53" type="noConversion"/>
  </si>
  <si>
    <r>
      <rPr>
        <sz val="8"/>
        <color rgb="FF2B2B2B"/>
        <rFont val="맑은 고딕"/>
        <family val="3"/>
        <charset val="129"/>
      </rPr>
      <t>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5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</si>
  <si>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phoneticPr fontId="53" type="noConversion"/>
  </si>
  <si>
    <t>산정한다.</t>
    <phoneticPr fontId="53" type="noConversion"/>
  </si>
  <si>
    <r>
      <rPr>
        <sz val="8"/>
        <color rgb="FFC00000"/>
        <rFont val="Segoe UI Symbol"/>
        <family val="1"/>
      </rPr>
      <t>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보험사가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면책하거나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구상금을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사고로서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다음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호에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해당하는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경우,</t>
    </r>
    <phoneticPr fontId="53" type="noConversion"/>
  </si>
  <si>
    <r>
      <rPr>
        <sz val="8"/>
        <color rgb="FFC00000"/>
        <rFont val="맑은 고딕"/>
        <family val="3"/>
        <charset val="129"/>
      </rPr>
      <t>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부담한다: (1) 고의·범죄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목적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도난·무단이용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중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 xml:space="preserve">사고, (2) </t>
    </r>
    <phoneticPr fontId="53" type="noConversion"/>
  </si>
  <si>
    <r>
      <rPr>
        <sz val="8"/>
        <color rgb="FFC00000"/>
        <rFont val="맑은 고딕"/>
        <family val="3"/>
        <charset val="129"/>
      </rPr>
      <t>무면허·음주·약물·보험연령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미달자·운전자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자격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미충족자의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운전, (3) 12대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중과실(교통사고처</t>
    </r>
    <phoneticPr fontId="53" type="noConversion"/>
  </si>
  <si>
    <r>
      <rPr>
        <sz val="8"/>
        <color rgb="FFC00000"/>
        <rFont val="맑은 고딕"/>
        <family val="3"/>
        <charset val="129"/>
      </rPr>
      <t>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특례법상)에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해당하는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사고, (4) 운전자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범위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요금·대가를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받고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이용, (5) 경기·시</t>
    </r>
    <phoneticPr fontId="53" type="noConversion"/>
  </si>
  <si>
    <r>
      <rPr>
        <sz val="8"/>
        <color rgb="FFC00000"/>
        <rFont val="Segoe UI Symbol"/>
        <family val="1"/>
      </rPr>
      <t>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사유로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보험사가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구상금을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경우, 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사실을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계약자에게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통보하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</si>
  <si>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발생하며, 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</t>
    </r>
    <phoneticPr fontId="53" type="noConversion"/>
  </si>
  <si>
    <r>
      <rPr>
        <sz val="8"/>
        <color rgb="FF2B2B2B"/>
        <rFont val="맑은 고딕"/>
        <family val="3"/>
        <charset val="129"/>
      </rPr>
      <t>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5일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</si>
  <si>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지연손해금: [지연손해금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= 연체금액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× 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× 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15%].</t>
    </r>
    <phoneticPr fontId="53" type="noConversion"/>
  </si>
  <si>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처리절차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손해배상금: [손해배상금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= 1만원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× 지체일수].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</si>
  <si>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지연손해금·손해배상금은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손해배상청구와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연체·미납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</t>
    </r>
    <phoneticPr fontId="53" type="noConversion"/>
  </si>
  <si>
    <r>
      <rPr>
        <sz val="8"/>
        <color rgb="FF2B2B2B"/>
        <rFont val="맑은 고딕"/>
        <family val="3"/>
        <charset val="129"/>
      </rPr>
      <t>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신용정보집중기관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채권추심을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</si>
  <si>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</t>
    </r>
    <phoneticPr fontId="53" type="noConversion"/>
  </si>
  <si>
    <r>
      <rPr>
        <sz val="8"/>
        <color rgb="FF2B2B2B"/>
        <rFont val="맑은 고딕"/>
        <family val="3"/>
        <charset val="129"/>
      </rPr>
      <t>증하며, 계약자와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</si>
  <si>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인수·승계시킨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</t>
    </r>
    <phoneticPr fontId="53" type="noConversion"/>
  </si>
  <si>
    <r>
      <rPr>
        <sz val="8"/>
        <color rgb="FF2B2B2B"/>
        <rFont val="맑은 고딕"/>
        <family val="3"/>
        <charset val="129"/>
      </rPr>
      <t>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</si>
  <si>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</t>
    </r>
    <phoneticPr fontId="53" type="noConversion"/>
  </si>
  <si>
    <r>
      <rPr>
        <sz val="8"/>
        <color rgb="FF2B2B2B"/>
        <rFont val="맑은 고딕"/>
        <family val="3"/>
        <charset val="129"/>
      </rPr>
      <t>제받을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5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</si>
  <si>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서명·날인하지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</t>
    </r>
    <phoneticPr fontId="53" type="noConversion"/>
  </si>
  <si>
    <r>
      <rPr>
        <sz val="8"/>
        <color rgb="FF2B2B2B"/>
        <rFont val="맑은 고딕"/>
        <family val="3"/>
        <charset val="129"/>
      </rPr>
      <t>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본다. 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</t>
    </r>
    <phoneticPr fontId="53" type="noConversion"/>
  </si>
  <si>
    <r>
      <rPr>
        <sz val="8"/>
        <color rgb="FF2B2B2B"/>
        <rFont val="맑은 고딕"/>
        <family val="3"/>
        <charset val="129"/>
      </rPr>
      <t>며, 7일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추가·교체를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</si>
  <si>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책임보험(대인배상Ⅰ·대물배상)에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</si>
  <si>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불가하다. 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phoneticPr fontId="53" type="noConversion"/>
  </si>
  <si>
    <r>
      <rPr>
        <sz val="8"/>
        <color rgb="FF2B2B2B"/>
        <rFont val="맑은 고딕"/>
        <family val="3"/>
        <charset val="129"/>
      </rPr>
      <t>입하며, 종합보험(대인배상Ⅱ)은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아니한다. 보험료는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53" type="noConversion"/>
  </si>
  <si>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</si>
  <si>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phoneticPr fontId="53" type="noConversion"/>
  </si>
  <si>
    <r>
      <rPr>
        <sz val="8"/>
        <color rgb="FF2B2B2B"/>
        <rFont val="맑은 고딕"/>
        <family val="3"/>
        <charset val="129"/>
      </rPr>
      <t>적용된다. 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수취하는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phoneticPr fontId="53" type="noConversion"/>
  </si>
  <si>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5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</si>
  <si>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</t>
    </r>
    <phoneticPr fontId="53" type="noConversion"/>
  </si>
  <si>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5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</si>
  <si>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일치하게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</t>
    </r>
    <phoneticPr fontId="53" type="noConversion"/>
  </si>
  <si>
    <r>
      <rPr>
        <sz val="8"/>
        <color rgb="FF2B2B2B"/>
        <rFont val="맑은 고딕"/>
        <family val="3"/>
        <charset val="129"/>
      </rPr>
      <t>행하여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배상책임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DejaVu Sans"/>
        <family val="3"/>
        <charset val="129"/>
      </rPr>
      <t>.</t>
    </r>
    <phoneticPr fontId="53" type="noConversion"/>
  </si>
  <si>
    <r>
      <rPr>
        <sz val="8"/>
        <color rgb="FFC00000"/>
        <rFont val="Segoe UI Symbol"/>
        <family val="1"/>
      </rPr>
      <t>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소유권은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있으나</t>
    </r>
    <r>
      <rPr>
        <sz val="8"/>
        <color rgb="FFC00000"/>
        <rFont val="DejaVu Sans"/>
        <family val="1"/>
        <charset val="129"/>
      </rPr>
      <t xml:space="preserve">, </t>
    </r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자동차손해배상보장법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제</t>
    </r>
    <r>
      <rPr>
        <sz val="8"/>
        <color rgb="FFC00000"/>
        <rFont val="DejaVu Sans"/>
        <family val="1"/>
        <charset val="129"/>
      </rPr>
      <t>3</t>
    </r>
    <r>
      <rPr>
        <sz val="8"/>
        <color rgb="FFC00000"/>
        <rFont val="맑은 고딕"/>
        <family val="3"/>
        <charset val="129"/>
      </rPr>
      <t>조에서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정한</t>
    </r>
    <r>
      <rPr>
        <sz val="8"/>
        <color rgb="FFC00000"/>
        <rFont val="Arial"/>
        <family val="2"/>
      </rPr>
      <t xml:space="preserve"> </t>
    </r>
    <phoneticPr fontId="53" type="noConversion"/>
  </si>
  <si>
    <r>
      <t>"</t>
    </r>
    <r>
      <rPr>
        <sz val="8"/>
        <color rgb="FFC00000"/>
        <rFont val="맑은 고딕"/>
        <family val="3"/>
        <charset val="129"/>
      </rPr>
      <t>자기를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위하여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자동차를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</t>
    </r>
    <r>
      <rPr>
        <sz val="8"/>
        <color rgb="FFC00000"/>
        <rFont val="DejaVu Sans"/>
        <family val="3"/>
        <charset val="129"/>
      </rPr>
      <t>"(</t>
    </r>
    <r>
      <rPr>
        <sz val="8"/>
        <color rgb="FFC00000"/>
        <rFont val="맑은 고딕"/>
        <family val="3"/>
        <charset val="129"/>
      </rPr>
      <t>이하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DejaVu Sans"/>
        <family val="3"/>
        <charset val="129"/>
      </rPr>
      <t>"</t>
    </r>
    <r>
      <rPr>
        <sz val="8"/>
        <color rgb="FFC00000"/>
        <rFont val="맑은 고딕"/>
        <family val="3"/>
        <charset val="129"/>
      </rPr>
      <t>운행자</t>
    </r>
    <r>
      <rPr>
        <sz val="8"/>
        <color rgb="FFC00000"/>
        <rFont val="DejaVu Sans"/>
        <family val="3"/>
        <charset val="129"/>
      </rPr>
      <t>")</t>
    </r>
    <r>
      <rPr>
        <sz val="8"/>
        <color rgb="FFC00000"/>
        <rFont val="맑은 고딕"/>
        <family val="3"/>
        <charset val="129"/>
      </rPr>
      <t>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해당하지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아니한다</t>
    </r>
    <r>
      <rPr>
        <sz val="8"/>
        <color rgb="FFC00000"/>
        <rFont val="DejaVu Sans"/>
        <family val="3"/>
        <charset val="129"/>
      </rPr>
      <t xml:space="preserve">. </t>
    </r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phoneticPr fontId="53" type="noConversion"/>
  </si>
  <si>
    <r>
      <rPr>
        <sz val="8"/>
        <color rgb="FFC00000"/>
        <rFont val="맑은 고딕"/>
        <family val="3"/>
        <charset val="129"/>
      </rPr>
      <t>차량에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대한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운행지배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운행이익을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갖지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아니한다</t>
    </r>
    <r>
      <rPr>
        <sz val="8"/>
        <color rgb="FFC00000"/>
        <rFont val="DejaVu Sans"/>
        <family val="3"/>
        <charset val="129"/>
      </rPr>
      <t>.</t>
    </r>
    <phoneticPr fontId="53" type="noConversion"/>
  </si>
  <si>
    <r>
      <rPr>
        <sz val="8"/>
        <color rgb="FFC00000"/>
        <rFont val="Segoe UI Symbol"/>
        <family val="1"/>
      </rPr>
      <t>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계약자이며</t>
    </r>
    <r>
      <rPr>
        <sz val="8"/>
        <color rgb="FFC00000"/>
        <rFont val="DejaVu Sans"/>
        <family val="1"/>
        <charset val="129"/>
      </rPr>
      <t xml:space="preserve">, </t>
    </r>
    <r>
      <rPr>
        <sz val="8"/>
        <color rgb="FFC00000"/>
        <rFont val="맑은 고딕"/>
        <family val="3"/>
        <charset val="129"/>
      </rPr>
      <t>운행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중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발생하는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모든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인적</t>
    </r>
    <r>
      <rPr>
        <sz val="8"/>
        <color rgb="FFC00000"/>
        <rFont val="DejaVu Sans"/>
        <family val="1"/>
        <charset val="129"/>
      </rPr>
      <t>·</t>
    </r>
    <r>
      <rPr>
        <sz val="8"/>
        <color rgb="FFC00000"/>
        <rFont val="맑은 고딕"/>
        <family val="3"/>
        <charset val="129"/>
      </rPr>
      <t>물적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대한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</t>
    </r>
    <phoneticPr fontId="53" type="noConversion"/>
  </si>
  <si>
    <r>
      <rPr>
        <sz val="8"/>
        <color rgb="FFC00000"/>
        <rFont val="맑은 고딕"/>
        <family val="3"/>
        <charset val="129"/>
      </rPr>
      <t>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책임은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전적으로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부담한다</t>
    </r>
    <r>
      <rPr>
        <sz val="8"/>
        <color rgb="FFC00000"/>
        <rFont val="DejaVu Sans"/>
        <family val="3"/>
        <charset val="129"/>
      </rPr>
      <t xml:space="preserve">. </t>
    </r>
    <r>
      <rPr>
        <sz val="8"/>
        <color rgb="FFC00000"/>
        <rFont val="맑은 고딕"/>
        <family val="3"/>
        <charset val="129"/>
      </rPr>
      <t>계약자가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사용자에게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운행하게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경우에도</t>
    </r>
    <r>
      <rPr>
        <sz val="8"/>
        <color rgb="FFC00000"/>
        <rFont val="Arial"/>
        <family val="2"/>
      </rPr>
      <t xml:space="preserve"> </t>
    </r>
    <phoneticPr fontId="53" type="noConversion"/>
  </si>
  <si>
    <r>
      <rPr>
        <sz val="8"/>
        <color rgb="FFC00000"/>
        <rFont val="맑은 고딕"/>
        <family val="3"/>
        <charset val="129"/>
      </rPr>
      <t>운행자성은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여전히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계약자에게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있다</t>
    </r>
    <r>
      <rPr>
        <sz val="8"/>
        <color rgb="FFC00000"/>
        <rFont val="DejaVu Sans"/>
        <family val="3"/>
        <charset val="129"/>
      </rPr>
      <t>.</t>
    </r>
    <phoneticPr fontId="53" type="noConversion"/>
  </si>
  <si>
    <r>
      <rPr>
        <sz val="8"/>
        <color rgb="FFC00000"/>
        <rFont val="Segoe UI Symbol"/>
        <family val="1"/>
      </rPr>
      <t>③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제</t>
    </r>
    <r>
      <rPr>
        <sz val="8"/>
        <color rgb="FFC00000"/>
        <rFont val="DejaVu Sans"/>
        <family val="1"/>
        <charset val="129"/>
      </rPr>
      <t>3</t>
    </r>
    <r>
      <rPr>
        <sz val="8"/>
        <color rgb="FFC00000"/>
        <rFont val="맑은 고딕"/>
        <family val="3"/>
        <charset val="129"/>
      </rPr>
      <t>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상대로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책임을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자신의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비용</t>
    </r>
    <r>
      <rPr>
        <sz val="8"/>
        <color rgb="FFC00000"/>
        <rFont val="DejaVu Sans"/>
        <family val="1"/>
        <charset val="129"/>
      </rPr>
      <t>·</t>
    </r>
    <r>
      <rPr>
        <sz val="8"/>
        <color rgb="FFC00000"/>
        <rFont val="맑은 고딕"/>
        <family val="3"/>
        <charset val="129"/>
      </rPr>
      <t>책임으로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</t>
    </r>
    <phoneticPr fontId="53" type="noConversion"/>
  </si>
  <si>
    <r>
      <rPr>
        <sz val="8"/>
        <color rgb="FFC00000"/>
        <rFont val="맑은 고딕"/>
        <family val="3"/>
        <charset val="129"/>
      </rPr>
      <t>사를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면책시켜야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하며</t>
    </r>
    <r>
      <rPr>
        <sz val="8"/>
        <color rgb="FFC00000"/>
        <rFont val="DejaVu Sans"/>
        <family val="3"/>
        <charset val="129"/>
      </rPr>
      <t xml:space="preserve">, </t>
    </r>
    <r>
      <rPr>
        <sz val="8"/>
        <color rgb="FFC00000"/>
        <rFont val="맑은 고딕"/>
        <family val="3"/>
        <charset val="129"/>
      </rPr>
      <t>회사가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부득이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배상한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금액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관련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비용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즉시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phoneticPr fontId="53" type="noConversion"/>
  </si>
  <si>
    <r>
      <rPr>
        <sz val="8"/>
        <color rgb="FFC00000"/>
        <rFont val="맑은 고딕"/>
        <family val="3"/>
        <charset val="129"/>
      </rPr>
      <t>상환하여야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한다</t>
    </r>
    <r>
      <rPr>
        <sz val="8"/>
        <color rgb="FFC00000"/>
        <rFont val="DejaVu Sans"/>
        <family val="3"/>
        <charset val="129"/>
      </rPr>
      <t>.</t>
    </r>
    <phoneticPr fontId="53" type="noConversion"/>
  </si>
  <si>
    <r>
      <rPr>
        <sz val="8"/>
        <color rgb="FFC00000"/>
        <rFont val="Segoe UI Symbol"/>
        <family val="1"/>
      </rPr>
      <t>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아니므로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발생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사실을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직접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인지할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없다. 따라</t>
    </r>
    <phoneticPr fontId="53" type="noConversion"/>
  </si>
  <si>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조의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고지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의무는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핵심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의무에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해당한다.</t>
    </r>
    <phoneticPr fontId="53" type="noConversion"/>
  </si>
  <si>
    <r>
      <rPr>
        <sz val="8"/>
        <color rgb="FFC00000"/>
        <rFont val="Segoe UI Symbol"/>
        <family val="1"/>
      </rPr>
      <t>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다음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발생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사용자로부터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통보받은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즉시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고지하여야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한다: 인적·</t>
    </r>
    <phoneticPr fontId="53" type="noConversion"/>
  </si>
  <si>
    <r>
      <rPr>
        <sz val="8"/>
        <color rgb="FFC00000"/>
        <rFont val="맑은 고딕"/>
        <family val="3"/>
        <charset val="129"/>
      </rPr>
      <t>물적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사고, 단독사고·차량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파손, 도난·멸실·분실, 보험사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접수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필요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사건, 무면허·음주·약</t>
    </r>
    <phoneticPr fontId="53" type="noConversion"/>
  </si>
  <si>
    <r>
      <rPr>
        <sz val="8"/>
        <color rgb="FFC00000"/>
        <rFont val="맑은 고딕"/>
        <family val="3"/>
        <charset val="129"/>
      </rPr>
      <t>물·범죄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목적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등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면책사유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해당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사실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인지.</t>
    </r>
    <phoneticPr fontId="53" type="noConversion"/>
  </si>
  <si>
    <r>
      <rPr>
        <sz val="8"/>
        <color rgb="FFC00000"/>
        <rFont val="Segoe UI Symbol"/>
        <family val="1"/>
      </rPr>
      <t>③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고지에는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일시·장소·경위, 운전자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신원·면허·음주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여부, 상대방·피해자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정보, 보험사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접</t>
    </r>
    <phoneticPr fontId="53" type="noConversion"/>
  </si>
  <si>
    <r>
      <rPr>
        <sz val="8"/>
        <color rgb="FFC00000"/>
        <rFont val="맑은 고딕"/>
        <family val="3"/>
        <charset val="129"/>
      </rPr>
      <t>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번호, 경찰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신고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여부, 차량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상태가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포함되어야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한다.</t>
    </r>
    <phoneticPr fontId="53" type="noConversion"/>
  </si>
  <si>
    <r>
      <rPr>
        <sz val="8"/>
        <color rgb="FFC00000"/>
        <rFont val="Segoe UI Symbol"/>
        <family val="1"/>
      </rPr>
      <t>④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고지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의무를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위반하는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경우(미고지·지연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고지·허위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고지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포함) 다음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책임을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부담</t>
    </r>
    <phoneticPr fontId="53" type="noConversion"/>
  </si>
  <si>
    <r>
      <rPr>
        <sz val="8"/>
        <color rgb="FFC00000"/>
        <rFont val="맑은 고딕"/>
        <family val="3"/>
        <charset val="129"/>
      </rPr>
      <t>한다: (1) 보험사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면책으로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인한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미보장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일체, (2) 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추가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발생한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구상금·과태료·소</t>
    </r>
    <phoneticPr fontId="53" type="noConversion"/>
  </si>
  <si>
    <r>
      <rPr>
        <sz val="8"/>
        <color rgb="FFC00000"/>
        <rFont val="맑은 고딕"/>
        <family val="3"/>
        <charset val="129"/>
      </rPr>
      <t>송비용·변호사비, (3) 회사가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사고를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알지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못한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상태에서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처분·계약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갱신·보험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정산을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진</t>
    </r>
    <phoneticPr fontId="53" type="noConversion"/>
  </si>
  <si>
    <r>
      <rPr>
        <sz val="8"/>
        <color rgb="FFC00000"/>
        <rFont val="맑은 고딕"/>
        <family val="3"/>
        <charset val="129"/>
      </rPr>
      <t>행함으로써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발생한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일체.</t>
    </r>
    <phoneticPr fontId="53" type="noConversion"/>
  </si>
  <si>
    <r>
      <rPr>
        <sz val="8"/>
        <color rgb="FFC00000"/>
        <rFont val="Segoe UI Symbol"/>
        <family val="1"/>
      </rPr>
      <t>⑤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책임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부담과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별도로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즉시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해지하고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회수할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있다. 보증금은</t>
    </r>
    <r>
      <rPr>
        <sz val="8"/>
        <color rgb="FFC00000"/>
        <rFont val="Arial"/>
        <family val="2"/>
      </rPr>
      <t xml:space="preserve"> </t>
    </r>
    <phoneticPr fontId="53" type="noConversion"/>
  </si>
  <si>
    <r>
      <rPr>
        <sz val="8"/>
        <color rgb="FFC00000"/>
        <rFont val="맑은 고딕"/>
        <family val="3"/>
        <charset val="129"/>
      </rPr>
      <t>반환하지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아니하며, 위약금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손해배상금은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별도로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청구한다.</t>
    </r>
    <phoneticPr fontId="53" type="noConversion"/>
  </si>
  <si>
    <r>
      <rPr>
        <sz val="8"/>
        <color rgb="FFC00000"/>
        <rFont val="Segoe UI Symbol"/>
        <family val="1"/>
      </rPr>
      <t>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보험연령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이상의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운전자만이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있으며, 계약자는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사용자의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자격</t>
    </r>
    <phoneticPr fontId="53" type="noConversion"/>
  </si>
  <si>
    <r>
      <rPr>
        <sz val="8"/>
        <color rgb="FFC00000"/>
        <rFont val="맑은 고딕"/>
        <family val="3"/>
        <charset val="129"/>
      </rPr>
      <t>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관리·감독할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의무를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부담한다.</t>
    </r>
    <phoneticPr fontId="53" type="noConversion"/>
  </si>
  <si>
    <r>
      <rPr>
        <sz val="8"/>
        <color rgb="FFC00000"/>
        <rFont val="Segoe UI Symbol"/>
        <family val="1"/>
      </rPr>
      <t>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보험연령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미달자가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운행하여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발생한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모든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사고·손해·구상금은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라이더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신원·연령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확</t>
    </r>
    <phoneticPr fontId="53" type="noConversion"/>
  </si>
  <si>
    <r>
      <rPr>
        <sz val="8"/>
        <color rgb="FFC00000"/>
        <rFont val="맑은 고딕"/>
        <family val="3"/>
        <charset val="129"/>
      </rPr>
      <t>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여부와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관계없이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전적으로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책임진다.</t>
    </r>
    <phoneticPr fontId="53" type="noConversion"/>
  </si>
  <si>
    <r>
      <rPr>
        <sz val="8"/>
        <color rgb="FFC00000"/>
        <rFont val="Segoe UI Symbol"/>
        <family val="1"/>
      </rPr>
      <t>③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사용자의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신원·자격·연령을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사전에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확인할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의무를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부담하지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아니한다.</t>
    </r>
    <phoneticPr fontId="53" type="noConversion"/>
  </si>
  <si>
    <r>
      <rPr>
        <sz val="8"/>
        <color rgb="FFC00000"/>
        <rFont val="맑은 고딕"/>
        <family val="3"/>
        <charset val="129"/>
      </rPr>
      <t>며, 계약자는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통보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7일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이내에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구상금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전액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그와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관련하여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지출한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변호사비·소</t>
    </r>
    <phoneticPr fontId="53" type="noConversion"/>
  </si>
  <si>
    <r>
      <rPr>
        <sz val="8"/>
        <color rgb="FFC00000"/>
        <rFont val="맑은 고딕"/>
        <family val="3"/>
        <charset val="129"/>
      </rPr>
      <t>송비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변제한다.</t>
    </r>
    <phoneticPr fontId="53" type="noConversion"/>
  </si>
  <si>
    <r>
      <rPr>
        <sz val="8"/>
        <color rgb="FFC00000"/>
        <rFont val="맑은 고딕"/>
        <family val="3"/>
        <charset val="129"/>
      </rPr>
      <t>범·연습용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등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비일상적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사용, (6) 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밖에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보험약관상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면책사항, (7) 자손사고·자차손해·대인배</t>
    </r>
    <phoneticPr fontId="53" type="noConversion"/>
  </si>
  <si>
    <r>
      <rPr>
        <sz val="8"/>
        <color rgb="FFC00000"/>
        <rFont val="맑은 고딕"/>
        <family val="3"/>
        <charset val="129"/>
      </rPr>
      <t>상Ⅱ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한도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초과분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등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책임보험으로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보장되지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않는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</t>
    </r>
    <r>
      <rPr>
        <sz val="8"/>
        <color rgb="FFC00000"/>
        <rFont val="Arial"/>
        <family val="2"/>
      </rPr>
      <t>.</t>
    </r>
    <phoneticPr fontId="53" type="noConversion"/>
  </si>
  <si>
    <r>
      <t>③ 7일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미변제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자동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해지되며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모든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즉시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 xml:space="preserve">회수한다. </t>
    </r>
    <phoneticPr fontId="53" type="noConversion"/>
  </si>
  <si>
    <r>
      <rPr>
        <sz val="8"/>
        <color rgb="FFC00000"/>
        <rFont val="맑은 고딕"/>
        <family val="3"/>
        <charset val="129"/>
      </rPr>
      <t>보증금은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반환하지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아니하며, 위약금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손해배상금은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별도로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청구한다.</t>
    </r>
    <phoneticPr fontId="53" type="noConversion"/>
  </si>
  <si>
    <r>
      <rPr>
        <sz val="8"/>
        <color rgb="FFC00000"/>
        <rFont val="Segoe UI Symbol"/>
        <family val="1"/>
      </rPr>
      <t>④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면책시키지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못하여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직접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손해배상을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경우, 회사가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제3자에게</t>
    </r>
    <phoneticPr fontId="53" type="noConversion"/>
  </si>
  <si>
    <r>
      <rPr>
        <sz val="8"/>
        <color rgb="FFC00000"/>
        <rFont val="맑은 고딕"/>
        <family val="3"/>
        <charset val="129"/>
      </rPr>
      <t>지급한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금액과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관련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비용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즉시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상환한다.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</si>
  <si>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수리센터로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입고하여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하며, 관계</t>
    </r>
    <phoneticPr fontId="53" type="noConversion"/>
  </si>
  <si>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처리한다.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</si>
  <si>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미수선처리는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불가하다.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</si>
  <si>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감가하락의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격락손해금을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 xml:space="preserve">지급한다. 단, </t>
    </r>
    <phoneticPr fontId="53" type="noConversion"/>
  </si>
  <si>
    <r>
      <rPr>
        <sz val="8"/>
        <color rgb="FF2B2B2B"/>
        <rFont val="맑은 고딕"/>
        <family val="3"/>
        <charset val="129"/>
      </rPr>
      <t>렌트료의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한한다.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</si>
  <si>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</t>
    </r>
    <phoneticPr fontId="53" type="noConversion"/>
  </si>
  <si>
    <r>
      <rPr>
        <sz val="8"/>
        <color rgb="FF2B2B2B"/>
        <rFont val="맑은 고딕"/>
        <family val="3"/>
        <charset val="129"/>
      </rPr>
      <t>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</si>
  <si>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</si>
  <si>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사용수익권과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</t>
    </r>
    <r>
      <rPr>
        <sz val="8"/>
        <color rgb="FF2B2B2B"/>
        <rFont val="맑은 고딕"/>
        <family val="1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53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</si>
  <si>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</si>
  <si>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충족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면허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보유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음주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약물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미복용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</t>
    </r>
    <phoneticPr fontId="53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</si>
  <si>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위반으로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</si>
  <si>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맑은 고딕"/>
        <family val="1"/>
        <charset val="129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phoneticPr fontId="53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</si>
  <si>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입증하고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</si>
  <si>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부담하며, 자비</t>
    </r>
    <phoneticPr fontId="53" type="noConversion"/>
  </si>
  <si>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원상복구하거나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모델·사양으로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교체한다.</t>
    </r>
    <phoneticPr fontId="53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</si>
  <si>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등록·유지·사용·등록말소·폐차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phoneticPr fontId="53" type="noConversion"/>
  </si>
  <si>
    <r>
      <rPr>
        <sz val="8"/>
        <color rgb="FF2B2B2B"/>
        <rFont val="맑은 고딕"/>
        <family val="3"/>
        <charset val="129"/>
      </rPr>
      <t>제세공과금(과태료·범칙금·벌과금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등)은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</si>
  <si>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권리·의무를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</si>
  <si>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인적사항·신용상태·영업상황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phoneticPr fontId="53" type="noConversion"/>
  </si>
  <si>
    <r>
      <rPr>
        <sz val="8"/>
        <color rgb="FF2B2B2B"/>
        <rFont val="맑은 고딕"/>
        <family val="3"/>
        <charset val="129"/>
      </rPr>
      <t>제공하며,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</si>
  <si>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</t>
    </r>
    <phoneticPr fontId="53" type="noConversion"/>
  </si>
  <si>
    <r>
      <rPr>
        <sz val="8"/>
        <color rgb="FF2B2B2B"/>
        <rFont val="맑은 고딕"/>
        <family val="3"/>
        <charset val="129"/>
      </rPr>
      <t>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이행한다.</t>
    </r>
    <phoneticPr fontId="5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</si>
  <si>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렌트료·수리비·위약금·과태료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 승계</t>
    </r>
    <phoneticPr fontId="53" type="noConversion"/>
  </si>
  <si>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</si>
  <si>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계</t>
    </r>
    <phoneticPr fontId="53" type="noConversion"/>
  </si>
  <si>
    <r>
      <rPr>
        <sz val="8"/>
        <color rgb="FF2B2B2B"/>
        <rFont val="맑은 고딕"/>
        <family val="3"/>
        <charset val="129"/>
      </rPr>
      <t>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</si>
  <si>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수집·이용·제공의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확보</t>
    </r>
    <phoneticPr fontId="53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</si>
  <si>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부담하며, 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청구·손해·과태료</t>
    </r>
    <phoneticPr fontId="53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</si>
  <si>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책임진다.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</si>
  <si>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DejaVu Sans"/>
        <family val="2"/>
        <charset val="129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DejaVu Sans"/>
        <family val="2"/>
        <charset val="129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없으며</t>
    </r>
    <r>
      <rPr>
        <sz val="8"/>
        <color rgb="FF2B2B2B"/>
        <rFont val="DejaVu Sans"/>
        <family val="2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DejaVu Sans"/>
        <family val="2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2"/>
        <charset val="129"/>
      </rPr>
      <t>,</t>
    </r>
    <phoneticPr fontId="53" type="noConversion"/>
  </si>
  <si>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DejaVu Sans"/>
        <family val="3"/>
        <charset val="129"/>
      </rPr>
      <t>.</t>
    </r>
    <phoneticPr fontId="53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</si>
  <si>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DejaVu Sans"/>
        <family val="3"/>
        <charset val="129"/>
      </rPr>
      <t>18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맑은 고딕"/>
        <family val="3"/>
        <charset val="129"/>
      </rPr>
      <t>금지행위</t>
    </r>
    <r>
      <rPr>
        <b/>
        <sz val="9"/>
        <color rgb="FF1F4E89"/>
        <rFont val="DejaVu Sans"/>
        <family val="3"/>
        <charset val="129"/>
      </rPr>
      <t>)</t>
    </r>
    <phoneticPr fontId="53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</si>
  <si>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아니된다: (1) 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양도·전대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phoneticPr fontId="53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</si>
  <si>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양도, (2) 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미달자에게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</t>
    </r>
    <phoneticPr fontId="53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</si>
  <si>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행위, (3) 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규격·성능·기능의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훼손, (4) 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phoneticPr fontId="53" type="noConversion"/>
  </si>
  <si>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행위, (5) 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훼손·</t>
    </r>
    <phoneticPr fontId="53" type="noConversion"/>
  </si>
  <si>
    <r>
      <rPr>
        <sz val="8"/>
        <color rgb="FF2B2B2B"/>
        <rFont val="맑은 고딕"/>
        <family val="3"/>
        <charset val="129"/>
      </rPr>
      <t>은닉·위치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효용을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</si>
  <si>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</t>
    </r>
    <phoneticPr fontId="53" type="noConversion"/>
  </si>
  <si>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책임으로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면책시킨다</t>
    </r>
    <r>
      <rPr>
        <sz val="8"/>
        <color rgb="FF2B2B2B"/>
        <rFont val="DejaVu Sans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</si>
  <si>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phoneticPr fontId="53" type="noConversion"/>
  </si>
  <si>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상환한다</t>
    </r>
    <r>
      <rPr>
        <sz val="8"/>
        <color rgb="FF2B2B2B"/>
        <rFont val="DejaVu Sans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</si>
  <si>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10일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통보한다.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</si>
  <si>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</si>
  <si>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53" type="noConversion"/>
  </si>
  <si>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</si>
  <si>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C00000"/>
        <rFont val="맑은 고딕"/>
        <family val="3"/>
        <charset val="129"/>
      </rPr>
      <t>다음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호에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해당하는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통지·최고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없이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기한이익을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상실하며, 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phoneticPr fontId="53" type="noConversion"/>
  </si>
  <si>
    <r>
      <rPr>
        <sz val="8"/>
        <color rgb="FFC00000"/>
        <rFont val="맑은 고딕"/>
        <family val="3"/>
        <charset val="129"/>
      </rPr>
      <t>계약을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해지하고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인도를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있다: (1) 이륜차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무단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양도·전대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보험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인정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</t>
    </r>
    <phoneticPr fontId="53" type="noConversion"/>
  </si>
  <si>
    <r>
      <rPr>
        <sz val="8"/>
        <color rgb="FFC00000"/>
        <rFont val="맑은 고딕"/>
        <family val="3"/>
        <charset val="129"/>
      </rPr>
      <t>용자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이외의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자에게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사용, (2) 보험연령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미달자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사실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발견, (3) 정해진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입금일에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렌트료</t>
    </r>
    <r>
      <rPr>
        <sz val="8"/>
        <color rgb="FFC00000"/>
        <rFont val="Arial"/>
        <family val="2"/>
      </rPr>
      <t xml:space="preserve"> </t>
    </r>
    <phoneticPr fontId="53" type="noConversion"/>
  </si>
  <si>
    <r>
      <rPr>
        <sz val="8"/>
        <color rgb="FFC00000"/>
        <rFont val="맑은 고딕"/>
        <family val="3"/>
        <charset val="129"/>
      </rPr>
      <t>미납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10일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지체, (4) 통지받은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수리비·과태료·구상금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등을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정당한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없이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5일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이내</t>
    </r>
    <r>
      <rPr>
        <sz val="8"/>
        <color rgb="FFC00000"/>
        <rFont val="Arial"/>
        <family val="2"/>
      </rPr>
      <t xml:space="preserve"> </t>
    </r>
    <phoneticPr fontId="53" type="noConversion"/>
  </si>
  <si>
    <r>
      <rPr>
        <sz val="8"/>
        <color rgb="FFC00000"/>
        <rFont val="맑은 고딕"/>
        <family val="3"/>
        <charset val="129"/>
      </rPr>
      <t>미납, (5) 무면허·음주운전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등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사용자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귀책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배상금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3일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미납, (6) 제3자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담보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제</t>
    </r>
    <phoneticPr fontId="53" type="noConversion"/>
  </si>
  <si>
    <r>
      <rPr>
        <sz val="8"/>
        <color rgb="FFC00000"/>
        <rFont val="맑은 고딕"/>
        <family val="3"/>
        <charset val="129"/>
      </rPr>
      <t>공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등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소유권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침해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규격·성능·표지의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무단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변경·훼손, (7) 위치정보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장치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훼손·</t>
    </r>
    <phoneticPr fontId="53" type="noConversion"/>
  </si>
  <si>
    <r>
      <rPr>
        <sz val="8"/>
        <color rgb="FFC00000"/>
        <rFont val="맑은 고딕"/>
        <family val="3"/>
        <charset val="129"/>
      </rPr>
      <t>은닉, (8) 보험사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구상금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통보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7일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미변제, (9) 사고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발생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고지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의무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위반.</t>
    </r>
    <phoneticPr fontId="53" type="noConversion"/>
  </si>
  <si>
    <r>
      <rPr>
        <sz val="8"/>
        <color rgb="FFC00000"/>
        <rFont val="Segoe UI Symbol"/>
        <family val="1"/>
      </rPr>
      <t>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위약금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산식: 위약금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= 보증금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+ (잔여기간에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대한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총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렌트료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× 20%).</t>
    </r>
    <phoneticPr fontId="53" type="noConversion"/>
  </si>
  <si>
    <r>
      <rPr>
        <sz val="8"/>
        <color rgb="FFC00000"/>
        <rFont val="맑은 고딕"/>
        <family val="3"/>
        <charset val="129"/>
      </rPr>
      <t>계약자는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위약금을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해지일까지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지급한다.</t>
    </r>
    <phoneticPr fontId="53" type="noConversion"/>
  </si>
  <si>
    <r>
      <rPr>
        <sz val="8"/>
        <color rgb="FFC00000"/>
        <rFont val="Segoe UI Symbol"/>
        <family val="1"/>
      </rPr>
      <t>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보증금은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어떠한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경우에도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반환하지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아니하며, 위약금·손해배상금은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별도로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청구한다.</t>
    </r>
    <phoneticPr fontId="53" type="noConversion"/>
  </si>
  <si>
    <r>
      <rPr>
        <sz val="8"/>
        <color rgb="FFC00000"/>
        <rFont val="Segoe UI Symbol"/>
        <family val="1"/>
      </rPr>
      <t>③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반환된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이륜차·부착물·키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부속품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파손이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있는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원상복구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수리비를</t>
    </r>
    <phoneticPr fontId="53" type="noConversion"/>
  </si>
  <si>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청구일로부터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5일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이내에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지급한다.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</si>
  <si>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</si>
  <si>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</t>
    </r>
    <phoneticPr fontId="53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</si>
  <si>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맑은 고딕"/>
        <family val="1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</si>
  <si>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</si>
  <si>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phoneticPr fontId="53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</si>
  <si>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</si>
  <si>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맑은 고딕"/>
        <family val="1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맑은 고딕"/>
        <family val="1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</t>
    </r>
    <phoneticPr fontId="53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</si>
  <si>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</si>
  <si>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</si>
  <si>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가능하다</t>
    </r>
    <r>
      <rPr>
        <sz val="8"/>
        <color rgb="FF2B2B2B"/>
        <rFont val="맑은 고딕"/>
        <family val="1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만료일</t>
    </r>
    <phoneticPr fontId="53" type="noConversion"/>
  </si>
  <si>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1"/>
        <charset val="129"/>
      </rPr>
      <t>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맑은 고딕"/>
        <family val="1"/>
        <charset val="129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</t>
    </r>
    <phoneticPr fontId="53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</si>
  <si>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맑은 고딕"/>
        <family val="1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처분대금은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</si>
  <si>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맑은 고딕"/>
        <family val="1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phoneticPr fontId="53" type="noConversion"/>
  </si>
  <si>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phoneticPr fontId="53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</si>
  <si>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</si>
  <si>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반납에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53" type="noConversion"/>
  </si>
  <si>
    <r>
      <rPr>
        <sz val="8"/>
        <color rgb="FF2B2B2B"/>
        <rFont val="맑은 고딕"/>
        <family val="3"/>
        <charset val="129"/>
      </rPr>
      <t>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맑은 고딕"/>
        <family val="1"/>
        <charset val="129"/>
      </rPr>
      <t>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부당사용이익을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</si>
  <si>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phoneticPr fontId="53" type="noConversion"/>
  </si>
  <si>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</si>
  <si>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연체이자, 지연손해금, 위약금, 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</si>
  <si>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발행한다.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</si>
  <si>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5일까지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</si>
  <si>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전화번호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</t>
    </r>
    <phoneticPr fontId="53" type="noConversion"/>
  </si>
  <si>
    <r>
      <rPr>
        <sz val="8"/>
        <color rgb="FF2B2B2B"/>
        <rFont val="맑은 고딕"/>
        <family val="3"/>
        <charset val="129"/>
      </rPr>
      <t>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DejaVu Sans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29"/>
      </rPr>
      <t>.</t>
    </r>
    <phoneticPr fontId="53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</si>
  <si>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맑은 고딕"/>
        <family val="1"/>
        <charset val="129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맑은 고딕"/>
        <family val="1"/>
        <charset val="129"/>
      </rPr>
      <t>)</t>
    </r>
    <r>
      <rPr>
        <sz val="8"/>
        <color rgb="FF2B2B2B"/>
        <rFont val="맑은 고딕"/>
        <family val="3"/>
        <charset val="129"/>
      </rPr>
      <t>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</t>
    </r>
    <phoneticPr fontId="53" type="noConversion"/>
  </si>
  <si>
    <r>
      <rPr>
        <sz val="8"/>
        <color rgb="FF2B2B2B"/>
        <rFont val="맑은 고딕"/>
        <family val="3"/>
        <charset val="129"/>
      </rPr>
      <t>금 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1"/>
        <charset val="129"/>
      </rPr>
      <t>7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지속되는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</t>
    </r>
    <phoneticPr fontId="53" type="noConversion"/>
  </si>
  <si>
    <r>
      <rPr>
        <sz val="8"/>
        <color rgb="FF2B2B2B"/>
        <rFont val="맑은 고딕"/>
        <family val="3"/>
        <charset val="129"/>
      </rPr>
      <t>부와 관계없이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</si>
  <si>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대한민국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해석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적용하며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53" type="noConversion"/>
  </si>
  <si>
    <r>
      <rPr>
        <sz val="8"/>
        <color rgb="FF2B2B2B"/>
        <rFont val="맑은 고딕"/>
        <family val="3"/>
        <charset val="129"/>
      </rPr>
      <t>수원지방법원을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</si>
  <si>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해지로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맑은 고딕"/>
        <family val="1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</t>
    </r>
    <phoneticPr fontId="53" type="noConversion"/>
  </si>
  <si>
    <r>
      <rPr>
        <sz val="8"/>
        <color rgb="FF2B2B2B"/>
        <rFont val="맑은 고딕"/>
        <family val="3"/>
        <charset val="129"/>
      </rPr>
      <t>다</t>
    </r>
    <r>
      <rPr>
        <sz val="8"/>
        <color rgb="FF2B2B2B"/>
        <rFont val="맑은 고딕"/>
        <family val="1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커버류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1"/>
        <charset val="129"/>
      </rPr>
      <t xml:space="preserve">4%, (2) </t>
    </r>
    <r>
      <rPr>
        <sz val="8"/>
        <color rgb="FF2B2B2B"/>
        <rFont val="맑은 고딕"/>
        <family val="3"/>
        <charset val="129"/>
      </rPr>
      <t>차대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맑은 고딕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1"/>
        <charset val="129"/>
      </rPr>
      <t xml:space="preserve">6%, (3) </t>
    </r>
    <r>
      <rPr>
        <sz val="8"/>
        <color rgb="FF2B2B2B"/>
        <rFont val="맑은 고딕"/>
        <family val="3"/>
        <charset val="129"/>
      </rPr>
      <t>도장</t>
    </r>
    <r>
      <rPr>
        <sz val="8"/>
        <color rgb="FF2B2B2B"/>
        <rFont val="맑은 고딕"/>
        <family val="1"/>
        <charset val="129"/>
      </rPr>
      <t>·</t>
    </r>
    <phoneticPr fontId="53" type="noConversion"/>
  </si>
  <si>
    <r>
      <rPr>
        <sz val="8"/>
        <color rgb="FF2B2B2B"/>
        <rFont val="맑은 고딕"/>
        <family val="3"/>
        <charset val="129"/>
      </rPr>
      <t>판금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1"/>
        <charset val="129"/>
      </rPr>
      <t>30~50</t>
    </r>
    <r>
      <rPr>
        <sz val="8"/>
        <color rgb="FF2B2B2B"/>
        <rFont val="맑은 고딕"/>
        <family val="3"/>
        <charset val="129"/>
      </rPr>
      <t>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맑은 고딕"/>
        <family val="1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</t>
    </r>
    <phoneticPr fontId="53" type="noConversion"/>
  </si>
  <si>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맑은 고딕"/>
        <family val="1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</si>
  <si>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맑은 고딕"/>
        <family val="1"/>
        <charset val="129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53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</si>
  <si>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유한회사(이하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"회사")와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</t>
    </r>
    <phoneticPr fontId="53" type="noConversion"/>
  </si>
  <si>
    <r>
      <rPr>
        <sz val="8"/>
        <color rgb="FF2B2B2B"/>
        <rFont val="맑은 고딕"/>
        <family val="3"/>
        <charset val="129"/>
      </rPr>
      <t>차 책임 렌트에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5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</si>
  <si>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phoneticPr fontId="53" type="noConversion"/>
  </si>
  <si>
    <r>
      <rPr>
        <sz val="8"/>
        <color rgb="FF2B2B2B"/>
        <rFont val="맑은 고딕"/>
        <family val="3"/>
        <charset val="129"/>
      </rPr>
      <t>응한다. 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아니한다.</t>
    </r>
    <phoneticPr fontId="5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</si>
  <si>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DejaVu Sans"/>
        <family val="1"/>
        <charset val="1"/>
      </rPr>
      <t>.</t>
    </r>
    <phoneticPr fontId="53" type="noConversion"/>
  </si>
  <si>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29"/>
      </rPr>
      <t>.</t>
    </r>
    <phoneticPr fontId="53" type="noConversion"/>
  </si>
  <si>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유한회사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계열사와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체결한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다른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이륜차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7</t>
    </r>
    <r>
      <rPr>
        <sz val="8"/>
        <color rgb="FF404040"/>
        <rFont val="맑은 고딕"/>
        <family val="3"/>
        <charset val="129"/>
      </rPr>
      <t>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지속되는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회사는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해지하고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</t>
    </r>
    <r>
      <rPr>
        <sz val="8"/>
        <color rgb="FF404040"/>
        <rFont val="DejaVu Sans"/>
        <family val="3"/>
        <charset val="129"/>
      </rPr>
      <t>.</t>
    </r>
    <phoneticPr fontId="53" type="noConversion"/>
  </si>
  <si>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않으며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위약금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손해배상금은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청구됩니다</t>
    </r>
    <r>
      <rPr>
        <sz val="8"/>
        <color rgb="FF404040"/>
        <rFont val="DejaVu Sans"/>
        <family val="3"/>
        <charset val="129"/>
      </rPr>
      <t>.</t>
    </r>
    <phoneticPr fontId="53" type="noConversion"/>
  </si>
  <si>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유</t>
    </r>
    <r>
      <rPr>
        <sz val="8"/>
        <color rgb="FF404040"/>
        <rFont val="DejaVu Sans"/>
        <family val="3"/>
        <charset val="129"/>
      </rPr>
      <t xml:space="preserve">) </t>
    </r>
    <r>
      <rPr>
        <sz val="8"/>
        <color rgb="FF404040"/>
        <rFont val="맑은 고딕"/>
        <family val="3"/>
        <charset val="129"/>
      </rPr>
      <t>명의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직접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입금되며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</t>
    </r>
    <r>
      <rPr>
        <sz val="8"/>
        <color rgb="FF404040"/>
        <rFont val="DejaVu Sans"/>
        <family val="3"/>
        <charset val="129"/>
      </rPr>
      <t>.</t>
    </r>
    <phoneticPr fontId="53" type="noConversion"/>
  </si>
  <si>
    <r>
      <rPr>
        <sz val="8"/>
        <color rgb="FF404040"/>
        <rFont val="맑은 고딕"/>
        <family val="3"/>
        <charset val="129"/>
      </rPr>
      <t>거래관계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설정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유지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상품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법령상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의무이행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분쟁처리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분실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대응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보험사고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전반</t>
    </r>
    <phoneticPr fontId="53" type="noConversion"/>
  </si>
  <si>
    <r>
      <rPr>
        <sz val="8"/>
        <color rgb="FF404040"/>
        <rFont val="맑은 고딕"/>
        <family val="3"/>
        <charset val="129"/>
      </rPr>
      <t>사업장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상호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사업자번호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주소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연락처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이메일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대표자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성명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주민등록번호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휴대전화번호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주소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거래계좌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위치정보</t>
    </r>
    <r>
      <rPr>
        <sz val="8"/>
        <color rgb="FF404040"/>
        <rFont val="DejaVu Sans"/>
        <family val="3"/>
        <charset val="129"/>
      </rPr>
      <t xml:space="preserve">(FMS </t>
    </r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</t>
    </r>
    <r>
      <rPr>
        <sz val="8"/>
        <color rgb="FF404040"/>
        <rFont val="DejaVu Sans"/>
        <family val="3"/>
        <charset val="129"/>
      </rPr>
      <t>)</t>
    </r>
    <phoneticPr fontId="53" type="noConversion"/>
  </si>
  <si>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목적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달성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파기</t>
    </r>
    <r>
      <rPr>
        <sz val="8"/>
        <color rgb="FF404040"/>
        <rFont val="DejaVu Sans"/>
        <family val="3"/>
        <charset val="129"/>
      </rPr>
      <t xml:space="preserve">. </t>
    </r>
    <r>
      <rPr>
        <sz val="8"/>
        <color rgb="FF404040"/>
        <rFont val="맑은 고딕"/>
        <family val="3"/>
        <charset val="129"/>
      </rPr>
      <t>단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전자상거래법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법령에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불량이용자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재가입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1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보존</t>
    </r>
    <phoneticPr fontId="53" type="noConversion"/>
  </si>
  <si>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자동이체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등록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시까지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결제대행사에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금융실명법에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</t>
    </r>
    <r>
      <rPr>
        <sz val="8"/>
        <color rgb="FF404040"/>
        <rFont val="DejaVu Sans"/>
        <family val="3"/>
        <charset val="129"/>
      </rPr>
      <t>)</t>
    </r>
    <phoneticPr fontId="53" type="noConversion"/>
  </si>
  <si>
    <r>
      <rPr>
        <sz val="8"/>
        <color rgb="FF404040"/>
        <rFont val="맑은 고딕"/>
        <family val="3"/>
        <charset val="129"/>
      </rPr>
      <t>매월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렌트료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보증금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위약금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과태료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범칙금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보험사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구상금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자동승인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자동이체로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출금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신청</t>
    </r>
    <phoneticPr fontId="53" type="noConversion"/>
  </si>
  <si>
    <r>
      <rPr>
        <sz val="8"/>
        <color rgb="FF404040"/>
        <rFont val="맑은 고딕"/>
        <family val="3"/>
        <charset val="129"/>
      </rPr>
      <t>협력사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공급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운송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출고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맑은 고딕"/>
        <family val="3"/>
        <charset val="129"/>
      </rPr>
      <t>배달대행사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고객정보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맑은 고딕"/>
        <family val="3"/>
        <charset val="129"/>
      </rPr>
      <t>차량등록소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등록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맑은 고딕"/>
        <family val="3"/>
        <charset val="129"/>
      </rPr>
      <t>효성에프엠에스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자동이체</t>
    </r>
    <r>
      <rPr>
        <sz val="8"/>
        <color rgb="FF404040"/>
        <rFont val="DejaVu Sans"/>
        <family val="3"/>
        <charset val="129"/>
      </rPr>
      <t>)</t>
    </r>
    <phoneticPr fontId="53" type="noConversion"/>
  </si>
  <si>
    <r>
      <rPr>
        <b/>
        <sz val="9"/>
        <color rgb="FF1F3864"/>
        <rFont val="맑은 고딕"/>
        <family val="3"/>
        <charset val="129"/>
      </rPr>
      <t>상기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맑은 고딕"/>
        <family val="3"/>
        <charset val="129"/>
      </rPr>
      <t>개인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신용</t>
    </r>
    <r>
      <rPr>
        <b/>
        <sz val="9"/>
        <color rgb="FF1F3864"/>
        <rFont val="DejaVu Sans"/>
        <family val="2"/>
        <charset val="1"/>
      </rPr>
      <t>)</t>
    </r>
    <r>
      <rPr>
        <b/>
        <sz val="9"/>
        <color rgb="FF1F3864"/>
        <rFont val="맑은 고딕"/>
        <family val="3"/>
        <charset val="129"/>
      </rPr>
      <t>정보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맑은 고딕"/>
        <family val="3"/>
        <charset val="129"/>
      </rPr>
      <t>이용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맑은 고딕"/>
        <family val="3"/>
        <charset val="129"/>
      </rPr>
      <t>제공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맑은 고딕"/>
        <family val="3"/>
        <charset val="129"/>
      </rPr>
      <t>금융거래정보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제공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맑은 고딕"/>
        <family val="3"/>
        <charset val="129"/>
      </rPr>
      <t>업무위탁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맑은 고딕"/>
        <family val="3"/>
        <charset val="129"/>
      </rPr>
      <t>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대하여</t>
    </r>
    <r>
      <rPr>
        <b/>
        <sz val="9"/>
        <color rgb="FF1F3864"/>
        <rFont val="Arial"/>
        <family val="2"/>
      </rPr>
      <t xml:space="preserve">       </t>
    </r>
    <r>
      <rPr>
        <b/>
        <sz val="9"/>
        <color rgb="FF1F3864"/>
        <rFont val="DejaVu Sans"/>
        <family val="2"/>
        <charset val="129"/>
      </rPr>
      <t>□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동의안함</t>
    </r>
    <r>
      <rPr>
        <b/>
        <sz val="9"/>
        <color rgb="FF1F3864"/>
        <rFont val="Arial"/>
        <family val="2"/>
      </rPr>
      <t xml:space="preserve">       </t>
    </r>
    <r>
      <rPr>
        <b/>
        <sz val="9"/>
        <color rgb="FF1F3864"/>
        <rFont val="DejaVu Sans"/>
        <family val="2"/>
        <charset val="129"/>
      </rPr>
      <t>□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전부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동의함</t>
    </r>
    <r>
      <rPr>
        <b/>
        <sz val="9"/>
        <color rgb="FF1F3864"/>
        <rFont val="Arial"/>
        <family val="2"/>
      </rPr>
      <t xml:space="preserve"> </t>
    </r>
    <phoneticPr fontId="53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</si>
  <si>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책임렌트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</t>
    </r>
    <r>
      <rPr>
        <sz val="9"/>
        <color rgb="FF000000"/>
        <rFont val="DejaVu Sans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운행자성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보험연령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고지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면책사고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</t>
    </r>
    <r>
      <rPr>
        <sz val="9"/>
        <color rgb="FF000000"/>
        <rFont val="DejaVu Sans"/>
        <family val="3"/>
        <charset val="129"/>
      </rPr>
      <t>.</t>
    </r>
    <phoneticPr fontId="53" type="noConversion"/>
  </si>
  <si>
    <r>
      <rPr>
        <b/>
        <sz val="18"/>
        <color rgb="FFFFFFFF"/>
        <rFont val="맑은 고딕"/>
        <family val="3"/>
        <charset val="129"/>
      </rPr>
      <t>이륜차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렌트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계약서</t>
    </r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</si>
</sst>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DejaVu Sans"/>
      <family val="2"/>
      <charset val="1"/>
    </font>
    <font>
      <i/>
      <sz val="8"/>
      <color rgb="FF595959"/>
      <name val="DejaVu Sans"/>
      <family val="2"/>
    </font>
    <font>
      <i/>
      <sz val="8"/>
      <color rgb="FF595959"/>
      <name val="DejaVu Sans"/>
      <family val="3"/>
      <charset val="129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  <font>
      <sz val="10"/>
      <color rgb="FF000000"/>
      <name val="DejaVu Sans"/>
      <family val="3"/>
      <charset val="129"/>
    </font>
    <font>
      <b/>
      <sz val="11"/>
      <color rgb="FFFFFFFF"/>
      <name val="DejaVu Sans"/>
      <family val="2"/>
      <charset val="1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b/>
      <sz val="9"/>
      <color rgb="FF1F3864"/>
      <name val="맑은 고딕"/>
      <family val="3"/>
      <charset val="129"/>
    </font>
    <font>
      <b/>
      <sz val="14"/>
      <color rgb="FFFFFFFF"/>
      <name val="DejaVu Sans"/>
      <family val="2"/>
    </font>
    <font>
      <b/>
      <sz val="9"/>
      <color rgb="FF1F4E89"/>
      <name val="DejaVu Sans"/>
      <family val="2"/>
    </font>
    <font>
      <b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DejaVu Sans"/>
      <family val="2"/>
      <charset val="129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1"/>
      <charset val="129"/>
    </font>
    <font>
      <b/>
      <sz val="9"/>
      <color rgb="FFC00000"/>
      <name val="DejaVu Sans"/>
      <family val="2"/>
      <charset val="1"/>
    </font>
    <font>
      <sz val="8"/>
      <color rgb="FFC00000"/>
      <name val="DejaVu Sans"/>
      <family val="2"/>
    </font>
    <font>
      <sz val="8"/>
      <color rgb="FFC00000"/>
      <name val="DejaVu Sans"/>
      <family val="1"/>
      <charset val="129"/>
    </font>
    <font>
      <sz val="8"/>
      <color rgb="FFC00000"/>
      <name val="DejaVu Sans"/>
      <family val="3"/>
      <charset val="129"/>
    </font>
    <font>
      <sz val="8"/>
      <color rgb="FF2B2B2B"/>
      <name val="맑은 고딕"/>
      <family val="1"/>
      <charset val="129"/>
    </font>
    <font>
      <sz val="8"/>
      <color rgb="FFC00000"/>
      <name val="DejaVu Sans"/>
      <family val="1"/>
      <charset val="1"/>
    </font>
    <font>
      <sz val="8"/>
      <color rgb="FFC00000"/>
      <name val="맑은 고딕"/>
      <family val="3"/>
      <charset val="129"/>
    </font>
    <font>
      <b/>
      <sz val="9"/>
      <color rgb="FF1F4E89"/>
      <name val="DejaVu Sans"/>
      <family val="3"/>
      <charset val="129"/>
    </font>
    <font>
      <b/>
      <sz val="9"/>
      <color rgb="FFC00000"/>
      <name val="DejaVu Sans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9"/>
      <color rgb="FF1F3864"/>
      <name val="DejaVu Sans"/>
      <family val="3"/>
      <charset val="129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rgb="FFC00000"/>
      <name val="Arial"/>
      <family val="2"/>
    </font>
    <font>
      <sz val="8"/>
      <color rgb="FFC00000"/>
      <name val="Segoe UI Symbol"/>
      <family val="1"/>
    </font>
    <font>
      <sz val="8"/>
      <color rgb="FFC00000"/>
      <name val="DejaVu Sans"/>
      <family val="1"/>
    </font>
    <font>
      <sz val="8"/>
      <color rgb="FF2B2B2B"/>
      <name val="맑은 고딕"/>
      <family val="2"/>
      <charset val="129"/>
    </font>
    <font>
      <b/>
      <sz val="9"/>
      <color rgb="FF1F4E89"/>
      <name val="맑은 고딕"/>
      <family val="3"/>
      <charset val="129"/>
    </font>
    <font>
      <b/>
      <sz val="9"/>
      <color rgb="FF1F4E89"/>
      <name val="Arial"/>
      <family val="2"/>
    </font>
    <font>
      <sz val="8"/>
      <color rgb="FF404040"/>
      <name val="맑은 고딕"/>
      <family val="3"/>
      <charset val="129"/>
    </font>
    <font>
      <sz val="8"/>
      <color rgb="FF404040"/>
      <name val="Arial"/>
      <family val="2"/>
    </font>
    <font>
      <b/>
      <sz val="9"/>
      <color rgb="FF1F3864"/>
      <name val="Arial"/>
      <family val="2"/>
    </font>
    <font>
      <b/>
      <sz val="9"/>
      <color rgb="FF1F3864"/>
      <name val="DejaVu Sans"/>
      <family val="2"/>
      <charset val="129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DejaVu Sans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0E2E5C"/>
      </patternFill>
    </fill>
    <fill>
      <patternFill patternType="solid">
        <fgColor rgb="FFEAF0F8"/>
        <bgColor rgb="FFE8EE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left" vertical="center" wrapText="1" indent="1"/>
    </xf>
    <xf numFmtId="0" fontId="30" fillId="6" borderId="0" xfId="0" applyFont="1" applyFill="1" applyAlignment="1">
      <alignment horizontal="left" vertical="center" wrapText="1" indent="1"/>
    </xf>
    <xf numFmtId="0" fontId="32" fillId="0" borderId="0" xfId="0" applyFont="1" applyAlignment="1">
      <alignment horizontal="left" vertical="top" wrapText="1" indent="1"/>
    </xf>
    <xf numFmtId="0" fontId="35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34" fillId="0" borderId="0" xfId="0" applyFont="1" applyAlignment="1">
      <alignment horizontal="left" vertical="top" wrapText="1" indent="1"/>
    </xf>
    <xf numFmtId="0" fontId="36" fillId="0" borderId="0" xfId="0" applyFont="1" applyAlignment="1">
      <alignment horizontal="left" vertical="top" wrapText="1" indent="1"/>
    </xf>
    <xf numFmtId="0" fontId="13" fillId="7" borderId="0" xfId="0" applyFont="1" applyFill="1" applyAlignment="1">
      <alignment horizontal="left" vertical="center" wrapText="1" indent="1"/>
    </xf>
    <xf numFmtId="0" fontId="40" fillId="0" borderId="0" xfId="0" applyFont="1" applyAlignment="1">
      <alignment horizontal="left" vertical="top" wrapText="1" indent="1"/>
    </xf>
    <xf numFmtId="0" fontId="42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left" vertical="top" wrapText="1" indent="1"/>
    </xf>
    <xf numFmtId="0" fontId="45" fillId="0" borderId="0" xfId="0" applyFont="1" applyAlignment="1">
      <alignment horizontal="left" vertical="top" wrapText="1" indent="1"/>
    </xf>
    <xf numFmtId="0" fontId="48" fillId="0" borderId="0" xfId="0" applyFont="1" applyAlignment="1">
      <alignment horizontal="left" vertical="center" indent="1"/>
    </xf>
    <xf numFmtId="0" fontId="49" fillId="0" borderId="0" xfId="0" applyFont="1" applyAlignment="1">
      <alignment horizontal="left" vertical="center" indent="1"/>
    </xf>
    <xf numFmtId="0" fontId="10" fillId="12" borderId="0" xfId="0" applyFont="1" applyFill="1" applyAlignment="1">
      <alignment horizontal="left" vertical="center" wrapText="1"/>
    </xf>
    <xf numFmtId="0" fontId="20" fillId="12" borderId="0" xfId="0" applyFont="1" applyFill="1" applyAlignment="1">
      <alignment horizontal="left" vertical="center" wrapText="1"/>
    </xf>
    <xf numFmtId="0" fontId="51" fillId="0" borderId="0" xfId="0" applyFont="1" applyAlignment="1">
      <alignment vertical="center"/>
    </xf>
    <xf numFmtId="0" fontId="23" fillId="0" borderId="0" xfId="0" applyFont="1" applyAlignment="1">
      <alignment horizontal="left" vertical="center" wrapText="1" indent="1"/>
    </xf>
    <xf numFmtId="0" fontId="52" fillId="0" borderId="0" xfId="0" applyFont="1"/>
    <xf numFmtId="0" fontId="38" fillId="0" borderId="0" xfId="0" applyFont="1" applyAlignment="1">
      <alignment horizontal="left" vertical="top" wrapText="1" indent="1"/>
    </xf>
    <xf numFmtId="0" fontId="56" fillId="0" borderId="0" xfId="0" applyFont="1" applyAlignment="1">
      <alignment horizontal="left" vertical="top" wrapText="1" indent="1"/>
    </xf>
    <xf numFmtId="0" fontId="59" fillId="0" borderId="0" xfId="0" applyFont="1" applyAlignment="1">
      <alignment horizontal="left" vertical="top" wrapText="1" indent="1"/>
    </xf>
    <xf numFmtId="0" fontId="46" fillId="6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left" vertical="center" wrapText="1" indent="1"/>
    </xf>
    <xf numFmtId="0" fontId="10" fillId="10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 indent="1"/>
    </xf>
    <xf numFmtId="0" fontId="2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12" fillId="9" borderId="0" xfId="0" applyFont="1" applyFill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 indent="1"/>
    </xf>
    <xf numFmtId="0" fontId="14" fillId="4" borderId="1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1"/>
    </xf>
    <xf numFmtId="0" fontId="10" fillId="5" borderId="0" xfId="0" applyFont="1" applyFill="1" applyAlignment="1">
      <alignment horizontal="righ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9" fillId="11" borderId="0" xfId="0" applyFont="1" applyFill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 indent="1"/>
    </xf>
    <xf numFmtId="0" fontId="25" fillId="10" borderId="1" xfId="0" applyFont="1" applyFill="1" applyBorder="1" applyAlignment="1">
      <alignment horizontal="left" vertical="center" wrapText="1" indent="1"/>
    </xf>
    <xf numFmtId="0" fontId="50" fillId="10" borderId="3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71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4" sqref="D34"/>
    </sheetView>
  </sheetViews>
  <sheetFormatPr defaultColWidth="8.6640625" defaultRowHeight="14.4"/>
  <cols>
    <col min="1" max="25" width="18" customWidth="1"/>
  </cols>
  <sheetData>
    <row r="1" spans="1:2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6.5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31</v>
      </c>
      <c r="I2" s="2">
        <v>26400</v>
      </c>
      <c r="J2" s="2">
        <v>365</v>
      </c>
      <c r="K2" s="2">
        <v>300000</v>
      </c>
      <c r="L2" s="3" t="s">
        <v>32</v>
      </c>
      <c r="M2" s="2" t="s">
        <v>33</v>
      </c>
      <c r="N2" s="3" t="s">
        <v>34</v>
      </c>
      <c r="O2" s="3" t="s">
        <v>35</v>
      </c>
      <c r="P2" s="2" t="s">
        <v>36</v>
      </c>
      <c r="Q2" s="2" t="s">
        <v>37</v>
      </c>
      <c r="R2" s="2" t="s">
        <v>38</v>
      </c>
      <c r="S2" s="2" t="s">
        <v>36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</row>
  </sheetData>
  <phoneticPr fontId="5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9"/>
  <sheetViews>
    <sheetView topLeftCell="A17" zoomScaleNormal="100" workbookViewId="0">
      <selection activeCell="D31" sqref="D31:J31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8.5546875" customWidth="1"/>
    <col min="5" max="5" width="11" style="4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7" t="s">
        <v>45</v>
      </c>
    </row>
    <row r="2" spans="1:12" ht="48" customHeight="1">
      <c r="A2" s="5"/>
      <c r="B2" s="60" t="s">
        <v>351</v>
      </c>
      <c r="C2" s="51"/>
      <c r="D2" s="51"/>
      <c r="E2" s="51"/>
      <c r="F2" s="51"/>
      <c r="G2" s="51"/>
      <c r="H2" s="51"/>
      <c r="I2" s="51"/>
      <c r="J2" s="51"/>
      <c r="K2" s="5"/>
      <c r="L2" s="8">
        <v>1</v>
      </c>
    </row>
    <row r="3" spans="1:12" ht="24" customHeight="1">
      <c r="A3" s="5"/>
      <c r="B3" s="52" t="s">
        <v>46</v>
      </c>
      <c r="C3" s="52"/>
      <c r="D3" s="52"/>
      <c r="E3" s="52"/>
      <c r="F3" s="53" t="s">
        <v>0</v>
      </c>
      <c r="G3" s="53"/>
      <c r="H3" s="53"/>
      <c r="I3" s="54" t="str">
        <f>IFERROR(TEXT($L$2,"0000"),"")</f>
        <v>0001</v>
      </c>
      <c r="J3" s="54"/>
      <c r="K3" s="5"/>
      <c r="L3" s="5"/>
    </row>
    <row r="4" spans="1:12" ht="7.5" customHeight="1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35" t="s">
        <v>47</v>
      </c>
      <c r="C5" s="35"/>
      <c r="D5" s="35"/>
      <c r="E5" s="35"/>
      <c r="F5" s="35"/>
      <c r="G5" s="35"/>
      <c r="H5" s="35"/>
      <c r="I5" s="35"/>
      <c r="J5" s="35"/>
      <c r="K5" s="5"/>
      <c r="L5" s="5"/>
    </row>
    <row r="6" spans="1:12" ht="21.75" customHeight="1">
      <c r="A6" s="5"/>
      <c r="B6" s="9" t="s">
        <v>2</v>
      </c>
      <c r="C6" s="37" t="str">
        <f>IFERROR(IF(VLOOKUP($L$2,계약리스트!$A$2:$AD$10000,3,0)="","",VLOOKUP($L$2,계약리스트!$A$2:$AD$10000,3,0)),"")</f>
        <v>UHR150</v>
      </c>
      <c r="D6" s="37"/>
      <c r="E6" s="9" t="s">
        <v>4</v>
      </c>
      <c r="F6" s="37" t="str">
        <f>IFERROR(IF(VLOOKUP($L$2,계약리스트!$A$2:$AD$10000,5,0)="","",VLOOKUP($L$2,계약리스트!$A$2:$AD$10000,5,0)),"")</f>
        <v>1나88370</v>
      </c>
      <c r="G6" s="37"/>
      <c r="H6" s="9" t="s">
        <v>5</v>
      </c>
      <c r="I6" s="37" t="str">
        <f>IFERROR(IF(VLOOKUP($L$2,계약리스트!$A$2:$AD$10000,6,0)="","",VLOOKUP($L$2,계약리스트!$A$2:$AD$10000,6,0)),"")</f>
        <v>화이트</v>
      </c>
      <c r="J6" s="37"/>
      <c r="K6" s="5"/>
      <c r="L6" s="5"/>
    </row>
    <row r="7" spans="1:12" ht="21.75" customHeight="1">
      <c r="A7" s="5"/>
      <c r="B7" s="9" t="s">
        <v>3</v>
      </c>
      <c r="C7" s="37" t="str">
        <f>IFERROR(IF(VLOOKUP($L$2,계약리스트!$A$2:$AD$10000,4,0)="","",VLOOKUP($L$2,계약리스트!$A$2:$AD$10000,4,0)),"")</f>
        <v>LWMTDKH95THJ00467</v>
      </c>
      <c r="D7" s="37"/>
      <c r="E7" s="9" t="s">
        <v>6</v>
      </c>
      <c r="F7" s="37" t="str">
        <f>IFERROR(IF(VLOOKUP($L$2,계약리스트!$A$2:$AD$10000,7,0)="","",VLOOKUP($L$2,계약리스트!$A$2:$AD$10000,7,0)),"")</f>
        <v>비포함</v>
      </c>
      <c r="G7" s="37"/>
      <c r="H7" s="9" t="s">
        <v>1</v>
      </c>
      <c r="I7" s="37" t="str">
        <f>IFERROR(IF(VLOOKUP($L$2,계약리스트!$A$2:$AD$10000,2,0)="","",VLOOKUP($L$2,계약리스트!$A$2:$AD$10000,2,0)),"")</f>
        <v>2026-04-24</v>
      </c>
      <c r="J7" s="37"/>
      <c r="K7" s="5"/>
      <c r="L7" s="5"/>
    </row>
    <row r="8" spans="1:12" ht="25.5" customHeight="1">
      <c r="A8" s="5"/>
      <c r="B8" s="10" t="s">
        <v>7</v>
      </c>
      <c r="C8" s="50" t="str">
        <f>IFERROR(IF(VLOOKUP($L$2,계약리스트!$A$2:$AD$10000,8,0)="","",VLOOKUP($L$2,계약리스트!$A$2:$AD$10000,8,0)),"")</f>
        <v>만30세</v>
      </c>
      <c r="D8" s="50"/>
      <c r="E8" s="45" t="s">
        <v>48</v>
      </c>
      <c r="F8" s="45"/>
      <c r="G8" s="45"/>
      <c r="H8" s="45"/>
      <c r="I8" s="45"/>
      <c r="J8" s="45"/>
      <c r="K8" s="5"/>
      <c r="L8" s="5"/>
    </row>
    <row r="9" spans="1:12" ht="7.5" customHeight="1">
      <c r="A9" s="5"/>
      <c r="B9" s="5"/>
      <c r="C9" s="5"/>
      <c r="D9" s="5"/>
      <c r="E9" s="6"/>
      <c r="F9" s="5"/>
      <c r="G9" s="5"/>
      <c r="H9" s="5"/>
      <c r="I9" s="5"/>
      <c r="J9" s="5"/>
      <c r="K9" s="5"/>
      <c r="L9" s="5"/>
    </row>
    <row r="10" spans="1:12" ht="25.5" customHeight="1">
      <c r="A10" s="5"/>
      <c r="B10" s="35" t="s">
        <v>49</v>
      </c>
      <c r="C10" s="35"/>
      <c r="D10" s="35"/>
      <c r="E10" s="35"/>
      <c r="F10" s="35"/>
      <c r="G10" s="35"/>
      <c r="H10" s="35"/>
      <c r="I10" s="35"/>
      <c r="J10" s="35"/>
      <c r="K10" s="5"/>
      <c r="L10" s="5"/>
    </row>
    <row r="11" spans="1:12" ht="21.75" customHeight="1">
      <c r="A11" s="5"/>
      <c r="B11" s="9" t="s">
        <v>50</v>
      </c>
      <c r="C11" s="37" t="str">
        <f>IFERROR(IF(VLOOKUP($L$2,계약리스트!$A$2:$AD$10000,12,0)="","",VLOOKUP($L$2,계약리스트!$A$2:$AD$10000,12,0)),"")</f>
        <v>중앙 오토바이 가수점</v>
      </c>
      <c r="D11" s="37"/>
      <c r="E11" s="9" t="s">
        <v>12</v>
      </c>
      <c r="F11" s="37" t="str">
        <f>IFERROR(IF(VLOOKUP($L$2,계약리스트!$A$2:$AD$10000,13,0)="","",VLOOKUP($L$2,계약리스트!$A$2:$AD$10000,13,0)),"")</f>
        <v>737-55-00719</v>
      </c>
      <c r="G11" s="37"/>
      <c r="H11" s="9" t="s">
        <v>13</v>
      </c>
      <c r="I11" s="37" t="str">
        <f>IFERROR(IF(VLOOKUP($L$2,계약리스트!$A$2:$AD$10000,14,0)="","",VLOOKUP($L$2,계약리스트!$A$2:$AD$10000,14,0)),"")</f>
        <v>안종식</v>
      </c>
      <c r="J11" s="37"/>
      <c r="K11" s="5"/>
      <c r="L11" s="5"/>
    </row>
    <row r="12" spans="1:12" ht="21.75" customHeight="1">
      <c r="A12" s="5"/>
      <c r="B12" s="9" t="s">
        <v>51</v>
      </c>
      <c r="C12" s="37" t="str">
        <f>IFERROR(IF(VLOOKUP($L$2,계약리스트!$A$2:$AD$10000,16,0)="","",VLOOKUP($L$2,계약리스트!$A$2:$AD$10000,16,0)),"")</f>
        <v>010-5813-7336</v>
      </c>
      <c r="D12" s="37"/>
      <c r="E12" s="9" t="s">
        <v>14</v>
      </c>
      <c r="F12" s="47" t="str">
        <f>IFERROR(IF(VLOOKUP($L$2,계약리스트!$A$2:$AD$10000,15,0)="","",VLOOKUP($L$2,계약리스트!$A$2:$AD$10000,15,0)),"")</f>
        <v>경기도 오산시 가장로 763, 1층 5,6호(가수동)</v>
      </c>
      <c r="G12" s="47"/>
      <c r="H12" s="47"/>
      <c r="I12" s="47"/>
      <c r="J12" s="47"/>
      <c r="K12" s="5"/>
      <c r="L12" s="5"/>
    </row>
    <row r="13" spans="1:12" ht="19.5" customHeight="1">
      <c r="A13" s="5"/>
      <c r="B13" s="49" t="s">
        <v>52</v>
      </c>
      <c r="C13" s="49"/>
      <c r="D13" s="49"/>
      <c r="E13" s="49"/>
      <c r="F13" s="49"/>
      <c r="G13" s="49"/>
      <c r="H13" s="49"/>
      <c r="I13" s="49"/>
      <c r="J13" s="49"/>
      <c r="K13" s="5"/>
      <c r="L13" s="5"/>
    </row>
    <row r="14" spans="1:12" ht="7.5" customHeight="1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  <c r="L14" s="5"/>
    </row>
    <row r="15" spans="1:12" ht="25.5" customHeight="1">
      <c r="A15" s="5"/>
      <c r="B15" s="35" t="s">
        <v>53</v>
      </c>
      <c r="C15" s="35"/>
      <c r="D15" s="35"/>
      <c r="E15" s="35"/>
      <c r="F15" s="35"/>
      <c r="G15" s="35"/>
      <c r="H15" s="35"/>
      <c r="I15" s="35"/>
      <c r="J15" s="35"/>
      <c r="K15" s="5"/>
      <c r="L15" s="5"/>
    </row>
    <row r="16" spans="1:12" ht="21.75" customHeight="1">
      <c r="A16" s="5"/>
      <c r="B16" s="9" t="s">
        <v>54</v>
      </c>
      <c r="C16" s="37" t="str">
        <f>IFERROR(IF(VLOOKUP($L$2,계약리스트!$A$2:$AD$10000,14,0)="","",VLOOKUP($L$2,계약리스트!$A$2:$AD$10000,14,0)),"")</f>
        <v>안종식</v>
      </c>
      <c r="D16" s="37"/>
      <c r="E16" s="9" t="s">
        <v>55</v>
      </c>
      <c r="F16" s="37" t="str">
        <f>IFERROR(IF(VLOOKUP($L$2,계약리스트!$A$2:$AD$10000,18,0)="","",VLOOKUP($L$2,계약리스트!$A$2:$AD$10000,18,0)),"")</f>
        <v>820530-1046518</v>
      </c>
      <c r="G16" s="37"/>
      <c r="H16" s="9" t="s">
        <v>51</v>
      </c>
      <c r="I16" s="37" t="str">
        <f>IFERROR(IF(VLOOKUP($L$2,계약리스트!$A$2:$AD$10000,19,0)="","",VLOOKUP($L$2,계약리스트!$A$2:$AD$10000,19,0)),"")</f>
        <v>010-5813-7336</v>
      </c>
      <c r="J16" s="37"/>
      <c r="K16" s="5"/>
      <c r="L16" s="5"/>
    </row>
    <row r="17" spans="1:12" ht="21.75" customHeight="1">
      <c r="A17" s="5"/>
      <c r="B17" s="9" t="s">
        <v>56</v>
      </c>
      <c r="C17" s="47" t="str">
        <f>IFERROR(IF(VLOOKUP($L$2,계약리스트!$A$2:$AD$10000,20,0)="","",VLOOKUP($L$2,계약리스트!$A$2:$AD$10000,20,0)),"")</f>
        <v>경기도 오산시 궐동로 77, 1층(궐동)</v>
      </c>
      <c r="D17" s="47"/>
      <c r="E17" s="47"/>
      <c r="F17" s="47"/>
      <c r="G17" s="47"/>
      <c r="H17" s="47"/>
      <c r="I17" s="47"/>
      <c r="J17" s="47"/>
      <c r="K17" s="5"/>
      <c r="L17" s="5"/>
    </row>
    <row r="18" spans="1:12" ht="19.5" customHeight="1">
      <c r="A18" s="5"/>
      <c r="B18" s="49" t="s">
        <v>57</v>
      </c>
      <c r="C18" s="49"/>
      <c r="D18" s="49"/>
      <c r="E18" s="49"/>
      <c r="F18" s="49"/>
      <c r="G18" s="49"/>
      <c r="H18" s="49"/>
      <c r="I18" s="49"/>
      <c r="J18" s="49"/>
      <c r="K18" s="5"/>
      <c r="L18" s="5"/>
    </row>
    <row r="19" spans="1:12" ht="7.5" customHeight="1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  <c r="L19" s="5"/>
    </row>
    <row r="20" spans="1:12" ht="25.5" customHeight="1">
      <c r="A20" s="5"/>
      <c r="B20" s="35" t="s">
        <v>58</v>
      </c>
      <c r="C20" s="35"/>
      <c r="D20" s="35"/>
      <c r="E20" s="35"/>
      <c r="F20" s="35"/>
      <c r="G20" s="35"/>
      <c r="H20" s="35"/>
      <c r="I20" s="35"/>
      <c r="J20" s="35"/>
      <c r="K20" s="5"/>
      <c r="L20" s="5"/>
    </row>
    <row r="21" spans="1:12" ht="21.75" customHeight="1">
      <c r="A21" s="5"/>
      <c r="B21" s="9" t="s">
        <v>20</v>
      </c>
      <c r="C21" s="37" t="str">
        <f>IFERROR(IF(VLOOKUP($L$2,계약리스트!$A$2:$AD$10000,21,0)="","",VLOOKUP($L$2,계약리스트!$A$2:$AD$10000,21,0)),"")</f>
        <v>렌트</v>
      </c>
      <c r="D21" s="37"/>
      <c r="E21" s="9" t="s">
        <v>21</v>
      </c>
      <c r="F21" s="37" t="str">
        <f>IFERROR(IF(VLOOKUP($L$2,계약리스트!$A$2:$AD$10000,22,0)="","",VLOOKUP($L$2,계약리스트!$A$2:$AD$10000,22,0)),"")</f>
        <v>인수형</v>
      </c>
      <c r="G21" s="37"/>
      <c r="H21" s="9" t="s">
        <v>59</v>
      </c>
      <c r="I21" s="37" t="str">
        <f>IFERROR(VLOOKUP($L$2,계약리스트!$A$2:$AD$10000,10,0)&amp;"일","")</f>
        <v>365일</v>
      </c>
      <c r="J21" s="37"/>
      <c r="K21" s="5"/>
      <c r="L21" s="5"/>
    </row>
    <row r="22" spans="1:12" ht="21.75" customHeight="1">
      <c r="A22" s="5"/>
      <c r="B22" s="9" t="s">
        <v>60</v>
      </c>
      <c r="C22" s="37" t="str">
        <f>IFERROR(TEXT(VLOOKUP($L$2,계약리스트!$A$2:$AD$10000,9,0),"#,##0")&amp;" 원","")</f>
        <v>26,400 원</v>
      </c>
      <c r="D22" s="37"/>
      <c r="E22" s="9" t="s">
        <v>10</v>
      </c>
      <c r="F22" s="37" t="str">
        <f>IFERROR(TEXT(VLOOKUP($L$2,계약리스트!$A$2:$AD$10000,11,0),"#,##0")&amp;" 원","")</f>
        <v>300,000 원</v>
      </c>
      <c r="G22" s="37"/>
      <c r="H22" s="9" t="s">
        <v>24</v>
      </c>
      <c r="I22" s="37" t="str">
        <f>IFERROR(IF(VLOOKUP($L$2,계약리스트!$A$2:$AD$10000,25,0)="","",VLOOKUP($L$2,계약리스트!$A$2:$AD$10000,25,0)),"")</f>
        <v>월2회(15일,말일)</v>
      </c>
      <c r="J22" s="37"/>
      <c r="K22" s="5"/>
      <c r="L22" s="5"/>
    </row>
    <row r="23" spans="1:12" ht="21.75" customHeight="1">
      <c r="A23" s="5"/>
      <c r="B23" s="9" t="s">
        <v>22</v>
      </c>
      <c r="C23" s="37" t="str">
        <f>IFERROR(IF(VLOOKUP($L$2,계약리스트!$A$2:$AD$10000,23,0)="","",VLOOKUP($L$2,계약리스트!$A$2:$AD$10000,23,0)),"")</f>
        <v>계좌이체</v>
      </c>
      <c r="D23" s="37"/>
      <c r="E23" s="9" t="s">
        <v>61</v>
      </c>
      <c r="F23" s="47" t="s">
        <v>62</v>
      </c>
      <c r="G23" s="47"/>
      <c r="H23" s="47"/>
      <c r="I23" s="47"/>
      <c r="J23" s="47"/>
      <c r="K23" s="5"/>
      <c r="L23" s="5"/>
    </row>
    <row r="24" spans="1:12" ht="21.75" customHeight="1">
      <c r="A24" s="5"/>
      <c r="B24" s="9" t="s">
        <v>23</v>
      </c>
      <c r="C24" s="47" t="str">
        <f>IFERROR(IF(VLOOKUP($L$2,계약리스트!$A$2:$AD$10000,24,0)="","",VLOOKUP($L$2,계약리스트!$A$2:$AD$10000,24,0)),"")</f>
        <v>기업은행 929-028075-04-011 포어스바이크(유)</v>
      </c>
      <c r="D24" s="47"/>
      <c r="E24" s="47"/>
      <c r="F24" s="47"/>
      <c r="G24" s="47"/>
      <c r="H24" s="47"/>
      <c r="I24" s="47"/>
      <c r="J24" s="47"/>
      <c r="K24" s="5"/>
      <c r="L24" s="5"/>
    </row>
    <row r="25" spans="1:12" ht="7.5" customHeight="1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</row>
    <row r="26" spans="1:12" ht="25.5" customHeight="1">
      <c r="A26" s="5"/>
      <c r="B26" s="35" t="s">
        <v>63</v>
      </c>
      <c r="C26" s="35"/>
      <c r="D26" s="35"/>
      <c r="E26" s="35"/>
      <c r="F26" s="35"/>
      <c r="G26" s="35"/>
      <c r="H26" s="35"/>
      <c r="I26" s="35"/>
      <c r="J26" s="35"/>
      <c r="K26" s="5"/>
      <c r="L26" s="5"/>
    </row>
    <row r="27" spans="1:12" ht="21.75" customHeight="1">
      <c r="A27" s="5"/>
      <c r="B27" s="9" t="s">
        <v>64</v>
      </c>
      <c r="C27" s="47" t="s">
        <v>46</v>
      </c>
      <c r="D27" s="47"/>
      <c r="E27" s="9" t="s">
        <v>12</v>
      </c>
      <c r="F27" s="37" t="s">
        <v>65</v>
      </c>
      <c r="G27" s="37"/>
      <c r="H27" s="9" t="s">
        <v>66</v>
      </c>
      <c r="I27" s="47" t="s">
        <v>67</v>
      </c>
      <c r="J27" s="47"/>
      <c r="K27" s="5"/>
      <c r="L27" s="5"/>
    </row>
    <row r="28" spans="1:12" ht="21.75" customHeight="1">
      <c r="A28" s="5"/>
      <c r="B28" s="9" t="s">
        <v>56</v>
      </c>
      <c r="C28" s="47" t="s">
        <v>68</v>
      </c>
      <c r="D28" s="47"/>
      <c r="E28" s="47"/>
      <c r="F28" s="47"/>
      <c r="G28" s="9" t="s">
        <v>69</v>
      </c>
      <c r="H28" s="37" t="s">
        <v>127</v>
      </c>
      <c r="I28" s="37"/>
      <c r="J28" s="37"/>
      <c r="K28" s="5"/>
      <c r="L28" s="5"/>
    </row>
    <row r="29" spans="1:12" ht="7.5" customHeight="1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</row>
    <row r="30" spans="1:12" ht="25.5" customHeight="1">
      <c r="A30" s="5"/>
      <c r="B30" s="48" t="s">
        <v>70</v>
      </c>
      <c r="C30" s="48"/>
      <c r="D30" s="48"/>
      <c r="E30" s="48"/>
      <c r="F30" s="48"/>
      <c r="G30" s="48"/>
      <c r="H30" s="48"/>
      <c r="I30" s="48"/>
      <c r="J30" s="48"/>
      <c r="K30" s="5"/>
      <c r="L30" s="5"/>
    </row>
    <row r="31" spans="1:12" ht="31.5" customHeight="1">
      <c r="A31" s="5"/>
      <c r="B31" s="44" t="s">
        <v>71</v>
      </c>
      <c r="C31" s="44"/>
      <c r="D31" s="45" t="s">
        <v>72</v>
      </c>
      <c r="E31" s="45"/>
      <c r="F31" s="45"/>
      <c r="G31" s="45"/>
      <c r="H31" s="45"/>
      <c r="I31" s="45"/>
      <c r="J31" s="45"/>
      <c r="K31" s="5"/>
      <c r="L31" s="5"/>
    </row>
    <row r="32" spans="1:12" ht="31.5" customHeight="1">
      <c r="A32" s="5"/>
      <c r="B32" s="44" t="s">
        <v>73</v>
      </c>
      <c r="C32" s="44"/>
      <c r="D32" s="45" t="s">
        <v>74</v>
      </c>
      <c r="E32" s="45"/>
      <c r="F32" s="45"/>
      <c r="G32" s="45"/>
      <c r="H32" s="45"/>
      <c r="I32" s="45"/>
      <c r="J32" s="45"/>
      <c r="K32" s="5"/>
      <c r="L32" s="5"/>
    </row>
    <row r="33" spans="1:12" ht="31.5" customHeight="1">
      <c r="A33" s="5"/>
      <c r="B33" s="44" t="s">
        <v>75</v>
      </c>
      <c r="C33" s="44"/>
      <c r="D33" s="45" t="s">
        <v>76</v>
      </c>
      <c r="E33" s="45"/>
      <c r="F33" s="45"/>
      <c r="G33" s="45"/>
      <c r="H33" s="45"/>
      <c r="I33" s="45"/>
      <c r="J33" s="45"/>
      <c r="K33" s="5"/>
      <c r="L33" s="5"/>
    </row>
    <row r="34" spans="1:12" ht="31.5" customHeight="1">
      <c r="A34" s="5"/>
      <c r="B34" s="46" t="s">
        <v>77</v>
      </c>
      <c r="C34" s="46"/>
      <c r="D34" s="45" t="s">
        <v>78</v>
      </c>
      <c r="E34" s="45"/>
      <c r="F34" s="45"/>
      <c r="G34" s="45"/>
      <c r="H34" s="45"/>
      <c r="I34" s="45"/>
      <c r="J34" s="45"/>
      <c r="K34" s="5"/>
      <c r="L34" s="5"/>
    </row>
    <row r="35" spans="1:12" ht="31.5" customHeight="1">
      <c r="A35" s="5"/>
      <c r="B35" s="44" t="s">
        <v>79</v>
      </c>
      <c r="C35" s="44"/>
      <c r="D35" s="45" t="s">
        <v>80</v>
      </c>
      <c r="E35" s="45"/>
      <c r="F35" s="45"/>
      <c r="G35" s="45"/>
      <c r="H35" s="45"/>
      <c r="I35" s="45"/>
      <c r="J35" s="45"/>
      <c r="K35" s="5"/>
      <c r="L35" s="5"/>
    </row>
    <row r="36" spans="1:12" ht="31.5" customHeight="1">
      <c r="A36" s="5"/>
      <c r="B36" s="42" t="s">
        <v>81</v>
      </c>
      <c r="C36" s="42"/>
      <c r="D36" s="56" t="s">
        <v>340</v>
      </c>
      <c r="E36" s="43"/>
      <c r="F36" s="43"/>
      <c r="G36" s="43"/>
      <c r="H36" s="43"/>
      <c r="I36" s="43"/>
      <c r="J36" s="43"/>
      <c r="K36" s="5"/>
      <c r="L36" s="5"/>
    </row>
    <row r="37" spans="1:12" ht="31.5" customHeight="1">
      <c r="A37" s="5"/>
      <c r="B37" s="42" t="s">
        <v>82</v>
      </c>
      <c r="C37" s="42"/>
      <c r="D37" s="56" t="s">
        <v>341</v>
      </c>
      <c r="E37" s="43"/>
      <c r="F37" s="43"/>
      <c r="G37" s="43"/>
      <c r="H37" s="43"/>
      <c r="I37" s="43"/>
      <c r="J37" s="43"/>
      <c r="K37" s="5"/>
      <c r="L37" s="5"/>
    </row>
    <row r="38" spans="1:12" ht="31.5" customHeight="1">
      <c r="A38" s="5"/>
      <c r="B38" s="42" t="s">
        <v>83</v>
      </c>
      <c r="C38" s="42"/>
      <c r="D38" s="56" t="s">
        <v>342</v>
      </c>
      <c r="E38" s="43"/>
      <c r="F38" s="43"/>
      <c r="G38" s="43"/>
      <c r="H38" s="43"/>
      <c r="I38" s="43"/>
      <c r="J38" s="43"/>
      <c r="K38" s="5"/>
      <c r="L38" s="5"/>
    </row>
    <row r="39" spans="1:12" ht="7.5" customHeight="1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  <c r="L39" s="5"/>
    </row>
    <row r="40" spans="1:12" ht="25.5" customHeight="1">
      <c r="A40" s="5"/>
      <c r="B40" s="35" t="s">
        <v>84</v>
      </c>
      <c r="C40" s="35"/>
      <c r="D40" s="35"/>
      <c r="E40" s="35"/>
      <c r="F40" s="35"/>
      <c r="G40" s="35"/>
      <c r="H40" s="35"/>
      <c r="I40" s="35"/>
      <c r="J40" s="35"/>
      <c r="K40" s="5"/>
      <c r="L40" s="5"/>
    </row>
    <row r="41" spans="1:12" ht="25.5" customHeight="1">
      <c r="A41" s="5"/>
      <c r="B41" s="39" t="s">
        <v>85</v>
      </c>
      <c r="C41" s="39"/>
      <c r="D41" s="57" t="s">
        <v>343</v>
      </c>
      <c r="E41" s="40"/>
      <c r="F41" s="40"/>
      <c r="G41" s="40"/>
      <c r="H41" s="40"/>
      <c r="I41" s="40"/>
      <c r="J41" s="40"/>
      <c r="K41" s="5"/>
      <c r="L41" s="5"/>
    </row>
    <row r="42" spans="1:12" ht="25.5" customHeight="1">
      <c r="A42" s="5"/>
      <c r="B42" s="39" t="s">
        <v>86</v>
      </c>
      <c r="C42" s="39"/>
      <c r="D42" s="57" t="s">
        <v>344</v>
      </c>
      <c r="E42" s="40"/>
      <c r="F42" s="40"/>
      <c r="G42" s="40"/>
      <c r="H42" s="40"/>
      <c r="I42" s="40"/>
      <c r="J42" s="40"/>
      <c r="K42" s="5"/>
      <c r="L42" s="5"/>
    </row>
    <row r="43" spans="1:12" ht="25.5" customHeight="1">
      <c r="A43" s="5"/>
      <c r="B43" s="39" t="s">
        <v>87</v>
      </c>
      <c r="C43" s="39"/>
      <c r="D43" s="57" t="s">
        <v>345</v>
      </c>
      <c r="E43" s="40"/>
      <c r="F43" s="40"/>
      <c r="G43" s="40"/>
      <c r="H43" s="40"/>
      <c r="I43" s="40"/>
      <c r="J43" s="40"/>
      <c r="K43" s="5"/>
      <c r="L43" s="5"/>
    </row>
    <row r="44" spans="1:12" ht="25.5" customHeight="1">
      <c r="A44" s="5"/>
      <c r="B44" s="39" t="s">
        <v>88</v>
      </c>
      <c r="C44" s="39"/>
      <c r="D44" s="57" t="s">
        <v>346</v>
      </c>
      <c r="E44" s="40"/>
      <c r="F44" s="40"/>
      <c r="G44" s="40"/>
      <c r="H44" s="40"/>
      <c r="I44" s="40"/>
      <c r="J44" s="40"/>
      <c r="K44" s="5"/>
      <c r="L44" s="5"/>
    </row>
    <row r="45" spans="1:12" ht="25.5" customHeight="1">
      <c r="A45" s="5"/>
      <c r="B45" s="39" t="s">
        <v>89</v>
      </c>
      <c r="C45" s="39"/>
      <c r="D45" s="57" t="s">
        <v>347</v>
      </c>
      <c r="E45" s="40"/>
      <c r="F45" s="40"/>
      <c r="G45" s="40"/>
      <c r="H45" s="40"/>
      <c r="I45" s="40"/>
      <c r="J45" s="40"/>
      <c r="K45" s="5"/>
      <c r="L45" s="5"/>
    </row>
    <row r="46" spans="1:12" ht="25.5" customHeight="1">
      <c r="A46" s="5"/>
      <c r="B46" s="39" t="s">
        <v>90</v>
      </c>
      <c r="C46" s="39"/>
      <c r="D46" s="57" t="s">
        <v>348</v>
      </c>
      <c r="E46" s="40"/>
      <c r="F46" s="40"/>
      <c r="G46" s="40"/>
      <c r="H46" s="40"/>
      <c r="I46" s="40"/>
      <c r="J46" s="40"/>
      <c r="K46" s="5"/>
      <c r="L46" s="5"/>
    </row>
    <row r="47" spans="1:12" ht="25.5" customHeight="1">
      <c r="A47" s="5"/>
      <c r="B47" s="58" t="s">
        <v>349</v>
      </c>
      <c r="C47" s="41"/>
      <c r="D47" s="41"/>
      <c r="E47" s="41"/>
      <c r="F47" s="41"/>
      <c r="G47" s="41"/>
      <c r="H47" s="41"/>
      <c r="I47" s="41"/>
      <c r="J47" s="41"/>
      <c r="K47" s="5"/>
      <c r="L47" s="5"/>
    </row>
    <row r="48" spans="1:12" ht="12" customHeight="1">
      <c r="A48" s="5"/>
      <c r="B48" s="5"/>
      <c r="C48" s="5"/>
      <c r="D48" s="5"/>
      <c r="E48" s="6"/>
      <c r="F48" s="5"/>
      <c r="G48" s="5"/>
      <c r="H48" s="5"/>
      <c r="I48" s="5"/>
      <c r="J48" s="5"/>
      <c r="K48" s="5"/>
      <c r="L48" s="5"/>
    </row>
    <row r="49" spans="1:12" ht="25.5" customHeight="1">
      <c r="A49" s="5"/>
      <c r="B49" s="35" t="s">
        <v>91</v>
      </c>
      <c r="C49" s="35"/>
      <c r="D49" s="35"/>
      <c r="E49" s="35"/>
      <c r="F49" s="35"/>
      <c r="G49" s="35"/>
      <c r="H49" s="35"/>
      <c r="I49" s="35"/>
      <c r="J49" s="35"/>
      <c r="K49" s="5"/>
      <c r="L49" s="5"/>
    </row>
    <row r="50" spans="1:12" ht="36" customHeight="1">
      <c r="A50" s="5"/>
      <c r="B50" s="59" t="s">
        <v>350</v>
      </c>
      <c r="C50" s="36"/>
      <c r="D50" s="36"/>
      <c r="E50" s="36"/>
      <c r="F50" s="36"/>
      <c r="G50" s="36"/>
      <c r="H50" s="36"/>
      <c r="I50" s="36"/>
      <c r="J50" s="36"/>
      <c r="K50" s="5"/>
      <c r="L50" s="5"/>
    </row>
    <row r="51" spans="1:12" ht="48" customHeight="1">
      <c r="A51" s="5"/>
      <c r="B51" s="9" t="s">
        <v>92</v>
      </c>
      <c r="C51" s="37" t="str">
        <f>IFERROR(IF(VLOOKUP($L$2,계약리스트!$A$2:$AD$10000,12,0)="","",VLOOKUP($L$2,계약리스트!$A$2:$AD$10000,12,0)),"")</f>
        <v>중앙 오토바이 가수점</v>
      </c>
      <c r="D51" s="37"/>
      <c r="E51" s="37"/>
      <c r="F51" s="11" t="s">
        <v>93</v>
      </c>
      <c r="G51" s="9" t="s">
        <v>94</v>
      </c>
      <c r="H51" s="37" t="str">
        <f>IFERROR(IF(VLOOKUP($L$2,계약리스트!$A$2:$AD$10000,14,0)="","",VLOOKUP($L$2,계약리스트!$A$2:$AD$10000,14,0)),"")</f>
        <v>안종식</v>
      </c>
      <c r="I51" s="37"/>
      <c r="J51" s="11" t="s">
        <v>93</v>
      </c>
      <c r="K51" s="5"/>
      <c r="L51" s="5"/>
    </row>
    <row r="52" spans="1:12" ht="24" customHeight="1">
      <c r="A52" s="5"/>
      <c r="B52" s="9" t="s">
        <v>95</v>
      </c>
      <c r="C52" s="38" t="s">
        <v>46</v>
      </c>
      <c r="D52" s="38"/>
      <c r="E52" s="38"/>
      <c r="F52" s="38"/>
      <c r="G52" s="38"/>
      <c r="H52" s="38"/>
      <c r="I52" s="38"/>
      <c r="J52" s="11" t="s">
        <v>93</v>
      </c>
      <c r="K52" s="5"/>
      <c r="L52" s="5"/>
    </row>
    <row r="53" spans="1:12" ht="15" customHeight="1">
      <c r="A53" s="5"/>
      <c r="B53" s="5"/>
      <c r="C53" s="5"/>
      <c r="D53" s="5"/>
      <c r="E53" s="6"/>
      <c r="F53" s="5"/>
      <c r="G53" s="5"/>
      <c r="H53" s="5"/>
      <c r="I53" s="5"/>
      <c r="J53" s="5"/>
      <c r="K53" s="5"/>
      <c r="L53" s="5"/>
    </row>
    <row r="54" spans="1:12" ht="15" customHeight="1">
      <c r="A54" s="5"/>
      <c r="B54" s="5"/>
      <c r="C54" s="5"/>
      <c r="D54" s="5"/>
      <c r="E54" s="6"/>
      <c r="F54" s="5"/>
      <c r="G54" s="5"/>
      <c r="H54" s="5"/>
      <c r="I54" s="5"/>
      <c r="J54" s="5"/>
      <c r="K54" s="5"/>
      <c r="L54" s="5"/>
    </row>
    <row r="55" spans="1:12" ht="15" customHeight="1">
      <c r="A55" s="5"/>
      <c r="B55" s="5"/>
      <c r="C55" s="5"/>
      <c r="D55" s="5"/>
      <c r="E55" s="6"/>
      <c r="F55" s="5"/>
      <c r="G55" s="5"/>
      <c r="H55" s="5"/>
      <c r="I55" s="5"/>
      <c r="J55" s="5"/>
      <c r="K55" s="5"/>
      <c r="L55" s="5"/>
    </row>
    <row r="56" spans="1:12" ht="15" customHeight="1">
      <c r="A56" s="5"/>
      <c r="B56" s="5"/>
      <c r="C56" s="5"/>
      <c r="D56" s="5"/>
      <c r="E56" s="6"/>
      <c r="F56" s="5"/>
      <c r="G56" s="5"/>
      <c r="H56" s="5"/>
      <c r="I56" s="5"/>
      <c r="J56" s="5"/>
      <c r="K56" s="5"/>
      <c r="L56" s="5"/>
    </row>
    <row r="57" spans="1:12" ht="15" customHeight="1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</row>
    <row r="97" spans="1:12" ht="15" customHeight="1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</row>
    <row r="98" spans="1:12" ht="15" customHeight="1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</row>
    <row r="99" spans="1:12" ht="15" customHeight="1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</row>
    <row r="100" spans="1:12" ht="15" customHeight="1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</row>
    <row r="101" spans="1:12" ht="15" customHeight="1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</row>
    <row r="102" spans="1:12" ht="15" customHeight="1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</row>
    <row r="103" spans="1:12" ht="15" customHeight="1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</row>
    <row r="104" spans="1:12" ht="15" customHeight="1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</row>
    <row r="105" spans="1:12" ht="15" customHeight="1">
      <c r="A105" s="5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</row>
    <row r="106" spans="1:12" ht="15" customHeight="1">
      <c r="A106" s="5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</row>
    <row r="107" spans="1:12" ht="15" customHeight="1">
      <c r="A107" s="5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</row>
    <row r="108" spans="1:12" ht="15" customHeight="1">
      <c r="A108" s="5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</row>
    <row r="109" spans="1:12" ht="15" customHeight="1">
      <c r="A109" s="5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</row>
  </sheetData>
  <mergeCells count="78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D12"/>
    <mergeCell ref="F12:J12"/>
    <mergeCell ref="B13:J13"/>
    <mergeCell ref="B15:J15"/>
    <mergeCell ref="C16:D16"/>
    <mergeCell ref="F16:G16"/>
    <mergeCell ref="I16:J16"/>
    <mergeCell ref="C17:J17"/>
    <mergeCell ref="B18:J18"/>
    <mergeCell ref="B20:J20"/>
    <mergeCell ref="C21:D21"/>
    <mergeCell ref="F21:G21"/>
    <mergeCell ref="I21:J21"/>
    <mergeCell ref="C22:D22"/>
    <mergeCell ref="F22:G22"/>
    <mergeCell ref="I22:J22"/>
    <mergeCell ref="C23:D23"/>
    <mergeCell ref="F23:J23"/>
    <mergeCell ref="C24:J24"/>
    <mergeCell ref="B26:J26"/>
    <mergeCell ref="C27:D27"/>
    <mergeCell ref="F27:G27"/>
    <mergeCell ref="I27:J27"/>
    <mergeCell ref="C28:F28"/>
    <mergeCell ref="H28:J28"/>
    <mergeCell ref="B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5:C35"/>
    <mergeCell ref="D35:J35"/>
    <mergeCell ref="B36:C36"/>
    <mergeCell ref="D36:J36"/>
    <mergeCell ref="B37:C37"/>
    <mergeCell ref="D37:J37"/>
    <mergeCell ref="B38:C38"/>
    <mergeCell ref="D38:J38"/>
    <mergeCell ref="B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J47"/>
    <mergeCell ref="B49:J49"/>
    <mergeCell ref="B50:J50"/>
    <mergeCell ref="C51:E51"/>
    <mergeCell ref="H51:I51"/>
    <mergeCell ref="C52:I52"/>
  </mergeCells>
  <phoneticPr fontId="53" type="noConversion"/>
  <printOptions horizontalCentered="1"/>
  <pageMargins left="0.3" right="0.3" top="0.4" bottom="0.4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12"/>
  <sheetViews>
    <sheetView showGridLines="0" tabSelected="1" view="pageBreakPreview" zoomScale="115" zoomScaleNormal="115" zoomScaleSheetLayoutView="115" zoomScalePageLayoutView="85" workbookViewId="0">
      <selection activeCell="D126" sqref="D126"/>
    </sheetView>
  </sheetViews>
  <sheetFormatPr defaultColWidth="8.6640625" defaultRowHeight="14.4"/>
  <cols>
    <col min="1" max="1" width="2" customWidth="1"/>
    <col min="2" max="2" width="61.109375" customWidth="1"/>
    <col min="3" max="3" width="1.5546875" customWidth="1"/>
    <col min="4" max="4" width="62.109375" customWidth="1"/>
    <col min="5" max="5" width="2" customWidth="1"/>
  </cols>
  <sheetData>
    <row r="1" spans="2:4" ht="31.5" customHeight="1">
      <c r="B1" s="55" t="s">
        <v>96</v>
      </c>
      <c r="C1" s="55"/>
      <c r="D1" s="55"/>
    </row>
    <row r="3" spans="2:4" ht="14.25" customHeight="1">
      <c r="B3" s="12" t="s">
        <v>97</v>
      </c>
      <c r="D3" s="13" t="s">
        <v>98</v>
      </c>
    </row>
    <row r="4" spans="2:4" ht="14.25" customHeight="1">
      <c r="B4" s="17" t="s">
        <v>334</v>
      </c>
      <c r="D4" s="32" t="s">
        <v>181</v>
      </c>
    </row>
    <row r="5" spans="2:4" ht="14.25" customHeight="1">
      <c r="B5" s="17" t="s">
        <v>335</v>
      </c>
      <c r="D5" s="17" t="s">
        <v>182</v>
      </c>
    </row>
    <row r="6" spans="2:4" ht="14.25" customHeight="1">
      <c r="B6" s="15"/>
      <c r="D6" s="32" t="s">
        <v>183</v>
      </c>
    </row>
    <row r="7" spans="2:4" ht="14.25" customHeight="1">
      <c r="B7" s="12" t="s">
        <v>99</v>
      </c>
      <c r="D7" s="17" t="s">
        <v>184</v>
      </c>
    </row>
    <row r="8" spans="2:4" ht="14.25" customHeight="1">
      <c r="B8" s="16" t="s">
        <v>128</v>
      </c>
      <c r="D8" s="32" t="s">
        <v>185</v>
      </c>
    </row>
    <row r="9" spans="2:4" ht="14.25" customHeight="1">
      <c r="B9" s="14" t="s">
        <v>100</v>
      </c>
      <c r="D9" s="17" t="s">
        <v>186</v>
      </c>
    </row>
    <row r="10" spans="2:4" ht="14.25" customHeight="1">
      <c r="B10" s="16" t="s">
        <v>129</v>
      </c>
      <c r="D10" s="14"/>
    </row>
    <row r="11" spans="2:4" ht="14.25" customHeight="1">
      <c r="B11" s="16" t="s">
        <v>130</v>
      </c>
      <c r="D11" s="13" t="s">
        <v>101</v>
      </c>
    </row>
    <row r="12" spans="2:4" ht="14.25" customHeight="1">
      <c r="B12" s="16" t="s">
        <v>131</v>
      </c>
      <c r="D12" s="32" t="s">
        <v>187</v>
      </c>
    </row>
    <row r="13" spans="2:4" ht="14.25" customHeight="1">
      <c r="B13" s="16" t="s">
        <v>132</v>
      </c>
      <c r="D13" s="17" t="s">
        <v>188</v>
      </c>
    </row>
    <row r="14" spans="2:4" ht="14.25" customHeight="1">
      <c r="B14" s="17" t="s">
        <v>133</v>
      </c>
      <c r="D14" s="32" t="s">
        <v>189</v>
      </c>
    </row>
    <row r="15" spans="2:4" ht="14.25" customHeight="1">
      <c r="B15" s="16" t="s">
        <v>134</v>
      </c>
      <c r="D15" s="17" t="s">
        <v>190</v>
      </c>
    </row>
    <row r="16" spans="2:4" ht="14.25" customHeight="1">
      <c r="B16" s="17" t="s">
        <v>135</v>
      </c>
      <c r="D16" s="32" t="s">
        <v>191</v>
      </c>
    </row>
    <row r="17" spans="2:4" ht="14.25" customHeight="1">
      <c r="B17" s="16" t="s">
        <v>136</v>
      </c>
      <c r="D17" s="17" t="s">
        <v>192</v>
      </c>
    </row>
    <row r="18" spans="2:4" ht="14.25" customHeight="1">
      <c r="B18" s="17" t="s">
        <v>137</v>
      </c>
      <c r="D18" s="32" t="s">
        <v>193</v>
      </c>
    </row>
    <row r="19" spans="2:4" ht="14.25" customHeight="1">
      <c r="B19" s="31" t="s">
        <v>138</v>
      </c>
      <c r="D19" s="17" t="s">
        <v>194</v>
      </c>
    </row>
    <row r="20" spans="2:4" ht="14.25" customHeight="1">
      <c r="B20" s="17" t="s">
        <v>139</v>
      </c>
      <c r="D20" s="17" t="s">
        <v>195</v>
      </c>
    </row>
    <row r="21" spans="2:4" ht="14.25" customHeight="1">
      <c r="B21" s="18" t="s">
        <v>140</v>
      </c>
      <c r="D21" s="14"/>
    </row>
    <row r="22" spans="2:4" ht="14.25" customHeight="1">
      <c r="B22" s="16" t="s">
        <v>141</v>
      </c>
      <c r="D22" s="13" t="s">
        <v>102</v>
      </c>
    </row>
    <row r="23" spans="2:4" ht="14.25" customHeight="1">
      <c r="B23" s="17" t="s">
        <v>142</v>
      </c>
      <c r="D23" s="32" t="s">
        <v>196</v>
      </c>
    </row>
    <row r="24" spans="2:4" ht="14.25" customHeight="1">
      <c r="B24" s="16" t="s">
        <v>143</v>
      </c>
      <c r="D24" s="17" t="s">
        <v>198</v>
      </c>
    </row>
    <row r="25" spans="2:4" ht="14.25" customHeight="1">
      <c r="B25" s="17" t="s">
        <v>144</v>
      </c>
      <c r="D25" s="32" t="s">
        <v>197</v>
      </c>
    </row>
    <row r="26" spans="2:4" ht="14.25" customHeight="1">
      <c r="B26" s="16" t="s">
        <v>145</v>
      </c>
      <c r="D26" s="17" t="s">
        <v>199</v>
      </c>
    </row>
    <row r="27" spans="2:4" ht="14.25" customHeight="1">
      <c r="B27" s="17" t="s">
        <v>146</v>
      </c>
      <c r="D27" s="32" t="s">
        <v>200</v>
      </c>
    </row>
    <row r="28" spans="2:4" ht="14.25" customHeight="1">
      <c r="B28" s="16" t="s">
        <v>147</v>
      </c>
      <c r="D28" s="17" t="s">
        <v>201</v>
      </c>
    </row>
    <row r="29" spans="2:4" ht="14.25" customHeight="1">
      <c r="B29" s="17" t="s">
        <v>148</v>
      </c>
      <c r="D29" s="17" t="s">
        <v>202</v>
      </c>
    </row>
    <row r="30" spans="2:4" ht="14.25" customHeight="1">
      <c r="D30" s="32" t="s">
        <v>203</v>
      </c>
    </row>
    <row r="31" spans="2:4" ht="14.25" customHeight="1">
      <c r="B31" s="13" t="s">
        <v>103</v>
      </c>
      <c r="D31" s="17" t="s">
        <v>204</v>
      </c>
    </row>
    <row r="32" spans="2:4" ht="14.25" customHeight="1">
      <c r="B32" s="32" t="s">
        <v>336</v>
      </c>
      <c r="D32" s="32" t="s">
        <v>205</v>
      </c>
    </row>
    <row r="33" spans="2:4" ht="14.25" customHeight="1">
      <c r="B33" s="17" t="s">
        <v>337</v>
      </c>
      <c r="D33" s="17" t="s">
        <v>206</v>
      </c>
    </row>
    <row r="34" spans="2:4" ht="14.25" customHeight="1">
      <c r="B34" s="32" t="s">
        <v>338</v>
      </c>
      <c r="D34" s="14"/>
    </row>
    <row r="35" spans="2:4" ht="14.25" customHeight="1">
      <c r="B35" s="17" t="s">
        <v>339</v>
      </c>
      <c r="D35" s="19" t="s">
        <v>104</v>
      </c>
    </row>
    <row r="36" spans="2:4" ht="14.25" customHeight="1">
      <c r="B36" s="14"/>
      <c r="D36" s="33" t="s">
        <v>207</v>
      </c>
    </row>
    <row r="37" spans="2:4" ht="14.25" customHeight="1">
      <c r="B37" s="13" t="s">
        <v>105</v>
      </c>
      <c r="D37" s="21" t="s">
        <v>208</v>
      </c>
    </row>
    <row r="38" spans="2:4" ht="14.25" customHeight="1">
      <c r="B38" s="32" t="s">
        <v>149</v>
      </c>
      <c r="D38" s="21" t="s">
        <v>209</v>
      </c>
    </row>
    <row r="39" spans="2:4" ht="14.25" customHeight="1">
      <c r="B39" s="16" t="s">
        <v>150</v>
      </c>
      <c r="D39" s="33" t="s">
        <v>210</v>
      </c>
    </row>
    <row r="40" spans="2:4" ht="14.25" customHeight="1">
      <c r="B40" s="32" t="s">
        <v>151</v>
      </c>
      <c r="D40" s="21" t="s">
        <v>211</v>
      </c>
    </row>
    <row r="41" spans="2:4" ht="14.25" customHeight="1">
      <c r="B41" s="17" t="s">
        <v>152</v>
      </c>
      <c r="D41" s="21" t="s">
        <v>212</v>
      </c>
    </row>
    <row r="42" spans="2:4" ht="14.25" customHeight="1">
      <c r="B42" s="32" t="s">
        <v>155</v>
      </c>
      <c r="D42" s="33" t="s">
        <v>213</v>
      </c>
    </row>
    <row r="43" spans="2:4" ht="14.25" customHeight="1">
      <c r="B43" s="32" t="s">
        <v>153</v>
      </c>
      <c r="D43" s="21" t="s">
        <v>214</v>
      </c>
    </row>
    <row r="44" spans="2:4" ht="14.25" customHeight="1">
      <c r="B44" s="17" t="s">
        <v>154</v>
      </c>
      <c r="D44" s="21" t="s">
        <v>215</v>
      </c>
    </row>
    <row r="45" spans="2:4" ht="14.25" customHeight="1">
      <c r="B45" s="14"/>
      <c r="D45" s="22"/>
    </row>
    <row r="46" spans="2:4" ht="14.25" customHeight="1">
      <c r="B46" s="13" t="s">
        <v>106</v>
      </c>
      <c r="D46" s="19" t="s">
        <v>107</v>
      </c>
    </row>
    <row r="47" spans="2:4" ht="14.25" customHeight="1">
      <c r="B47" s="32" t="s">
        <v>157</v>
      </c>
      <c r="D47" s="33" t="s">
        <v>216</v>
      </c>
    </row>
    <row r="48" spans="2:4" ht="14.25" customHeight="1">
      <c r="B48" s="16" t="s">
        <v>158</v>
      </c>
      <c r="D48" s="21" t="s">
        <v>217</v>
      </c>
    </row>
    <row r="49" spans="2:4" ht="14.25" customHeight="1">
      <c r="B49" s="32" t="s">
        <v>156</v>
      </c>
      <c r="D49" s="33" t="s">
        <v>218</v>
      </c>
    </row>
    <row r="50" spans="2:4" ht="14.25" customHeight="1">
      <c r="B50" s="17" t="s">
        <v>159</v>
      </c>
      <c r="D50" s="21" t="s">
        <v>219</v>
      </c>
    </row>
    <row r="51" spans="2:4" ht="14.25" customHeight="1">
      <c r="B51" s="17" t="s">
        <v>160</v>
      </c>
      <c r="D51" s="21" t="s">
        <v>220</v>
      </c>
    </row>
    <row r="52" spans="2:4" ht="14.25" customHeight="1">
      <c r="B52" s="32" t="s">
        <v>161</v>
      </c>
      <c r="D52" s="33" t="s">
        <v>221</v>
      </c>
    </row>
    <row r="53" spans="2:4" ht="14.25" customHeight="1">
      <c r="B53" s="17" t="s">
        <v>162</v>
      </c>
      <c r="D53" s="21" t="s">
        <v>222</v>
      </c>
    </row>
    <row r="54" spans="2:4" ht="14.25" customHeight="1">
      <c r="B54" s="32" t="s">
        <v>163</v>
      </c>
      <c r="D54" s="33" t="s">
        <v>223</v>
      </c>
    </row>
    <row r="55" spans="2:4" ht="14.25" customHeight="1">
      <c r="B55" s="16" t="s">
        <v>164</v>
      </c>
      <c r="D55" s="21" t="s">
        <v>224</v>
      </c>
    </row>
    <row r="56" spans="2:4" ht="14.25" customHeight="1">
      <c r="B56" s="32" t="s">
        <v>165</v>
      </c>
      <c r="D56" s="21" t="s">
        <v>225</v>
      </c>
    </row>
    <row r="57" spans="2:4" ht="14.25" customHeight="1">
      <c r="B57" s="17" t="s">
        <v>166</v>
      </c>
      <c r="D57" s="21" t="s">
        <v>226</v>
      </c>
    </row>
    <row r="58" spans="2:4" ht="14.25" customHeight="1">
      <c r="B58" s="14"/>
      <c r="D58" s="33" t="s">
        <v>227</v>
      </c>
    </row>
    <row r="59" spans="2:4" ht="14.25" customHeight="1">
      <c r="B59" s="13" t="s">
        <v>108</v>
      </c>
      <c r="D59" s="21" t="s">
        <v>228</v>
      </c>
    </row>
    <row r="60" spans="2:4" ht="14.25" customHeight="1">
      <c r="B60" s="32" t="s">
        <v>167</v>
      </c>
      <c r="D60" s="20"/>
    </row>
    <row r="61" spans="2:4" ht="14.25" customHeight="1">
      <c r="B61" s="17" t="s">
        <v>168</v>
      </c>
      <c r="D61" s="19" t="s">
        <v>109</v>
      </c>
    </row>
    <row r="62" spans="2:4" ht="14.25" customHeight="1">
      <c r="B62" s="17" t="s">
        <v>169</v>
      </c>
      <c r="D62" s="33" t="s">
        <v>229</v>
      </c>
    </row>
    <row r="63" spans="2:4" ht="14.25" customHeight="1">
      <c r="B63" s="32" t="s">
        <v>170</v>
      </c>
      <c r="D63" s="21" t="s">
        <v>230</v>
      </c>
    </row>
    <row r="64" spans="2:4" ht="14.25" customHeight="1">
      <c r="B64" s="17" t="s">
        <v>171</v>
      </c>
      <c r="D64" s="33" t="s">
        <v>231</v>
      </c>
    </row>
    <row r="65" spans="2:4" ht="14.25" customHeight="1">
      <c r="B65" s="32" t="s">
        <v>172</v>
      </c>
      <c r="D65" s="21" t="s">
        <v>232</v>
      </c>
    </row>
    <row r="66" spans="2:4" ht="14.25" customHeight="1">
      <c r="B66" s="17" t="s">
        <v>173</v>
      </c>
      <c r="D66" s="33" t="s">
        <v>233</v>
      </c>
    </row>
    <row r="67" spans="2:4" ht="14.25" customHeight="1">
      <c r="B67" s="32" t="s">
        <v>174</v>
      </c>
      <c r="D67" s="20"/>
    </row>
    <row r="68" spans="2:4" ht="14.25" customHeight="1">
      <c r="B68" s="16" t="s">
        <v>175</v>
      </c>
      <c r="D68" s="20"/>
    </row>
    <row r="69" spans="2:4" ht="14.25" customHeight="1">
      <c r="D69" s="15"/>
    </row>
    <row r="70" spans="2:4" ht="14.25" customHeight="1">
      <c r="B70" s="19" t="s">
        <v>110</v>
      </c>
      <c r="D70" s="13" t="s">
        <v>111</v>
      </c>
    </row>
    <row r="71" spans="2:4" ht="14.25" customHeight="1">
      <c r="B71" s="33" t="s">
        <v>176</v>
      </c>
      <c r="D71" s="32" t="s">
        <v>284</v>
      </c>
    </row>
    <row r="72" spans="2:4" ht="14.25" customHeight="1">
      <c r="B72" s="21" t="s">
        <v>177</v>
      </c>
      <c r="D72" s="32" t="s">
        <v>285</v>
      </c>
    </row>
    <row r="73" spans="2:4" ht="14.25" customHeight="1">
      <c r="B73" s="21" t="s">
        <v>178</v>
      </c>
      <c r="D73" s="32" t="s">
        <v>286</v>
      </c>
    </row>
    <row r="74" spans="2:4" ht="14.25" customHeight="1">
      <c r="B74" s="21" t="s">
        <v>179</v>
      </c>
      <c r="D74" s="17" t="s">
        <v>287</v>
      </c>
    </row>
    <row r="75" spans="2:4" ht="14.25" customHeight="1">
      <c r="B75" s="21" t="s">
        <v>236</v>
      </c>
      <c r="D75" s="15"/>
    </row>
    <row r="76" spans="2:4" ht="14.25" customHeight="1">
      <c r="B76" s="21" t="s">
        <v>237</v>
      </c>
      <c r="D76" s="19" t="s">
        <v>112</v>
      </c>
    </row>
    <row r="77" spans="2:4" ht="14.25" customHeight="1">
      <c r="B77" s="33" t="s">
        <v>180</v>
      </c>
      <c r="D77" s="21" t="s">
        <v>288</v>
      </c>
    </row>
    <row r="78" spans="2:4" ht="14.25" customHeight="1">
      <c r="B78" s="21" t="s">
        <v>234</v>
      </c>
      <c r="D78" s="21" t="s">
        <v>289</v>
      </c>
    </row>
    <row r="79" spans="2:4" ht="14.25" customHeight="1">
      <c r="B79" s="21" t="s">
        <v>235</v>
      </c>
      <c r="D79" s="21" t="s">
        <v>290</v>
      </c>
    </row>
    <row r="80" spans="2:4" ht="14.25" customHeight="1">
      <c r="B80" s="23" t="s">
        <v>238</v>
      </c>
      <c r="D80" s="21" t="s">
        <v>291</v>
      </c>
    </row>
    <row r="81" spans="2:4" ht="14.25" customHeight="1">
      <c r="B81" s="21" t="s">
        <v>239</v>
      </c>
      <c r="D81" s="21" t="s">
        <v>292</v>
      </c>
    </row>
    <row r="82" spans="2:4" ht="14.25" customHeight="1">
      <c r="B82" s="33" t="s">
        <v>240</v>
      </c>
      <c r="D82" s="21" t="s">
        <v>293</v>
      </c>
    </row>
    <row r="83" spans="2:4" ht="14.25" customHeight="1">
      <c r="B83" s="21" t="s">
        <v>241</v>
      </c>
      <c r="D83" s="21" t="s">
        <v>294</v>
      </c>
    </row>
    <row r="84" spans="2:4" ht="14.25" customHeight="1">
      <c r="B84" s="20"/>
      <c r="D84" s="14"/>
    </row>
    <row r="85" spans="2:4" ht="14.25" customHeight="1">
      <c r="B85" s="13" t="s">
        <v>113</v>
      </c>
      <c r="D85" s="19" t="s">
        <v>114</v>
      </c>
    </row>
    <row r="86" spans="2:4" ht="14.25" customHeight="1">
      <c r="B86" s="32" t="s">
        <v>242</v>
      </c>
      <c r="D86" s="33" t="s">
        <v>295</v>
      </c>
    </row>
    <row r="87" spans="2:4" ht="14.25" customHeight="1">
      <c r="B87" s="17" t="s">
        <v>243</v>
      </c>
      <c r="D87" s="21" t="s">
        <v>296</v>
      </c>
    </row>
    <row r="88" spans="2:4" ht="14.25" customHeight="1">
      <c r="B88" s="32" t="s">
        <v>244</v>
      </c>
      <c r="D88" s="33" t="s">
        <v>297</v>
      </c>
    </row>
    <row r="89" spans="2:4" ht="14.25" customHeight="1">
      <c r="B89" s="32" t="s">
        <v>245</v>
      </c>
      <c r="D89" s="33" t="s">
        <v>298</v>
      </c>
    </row>
    <row r="90" spans="2:4" ht="14.25" customHeight="1">
      <c r="B90" s="17" t="s">
        <v>246</v>
      </c>
      <c r="D90" s="21" t="s">
        <v>299</v>
      </c>
    </row>
    <row r="91" spans="2:4" ht="14.25" customHeight="1">
      <c r="B91" s="20"/>
      <c r="D91" s="20"/>
    </row>
    <row r="92" spans="2:4" ht="14.25" customHeight="1">
      <c r="B92" s="13" t="s">
        <v>115</v>
      </c>
      <c r="D92" s="13" t="s">
        <v>116</v>
      </c>
    </row>
    <row r="93" spans="2:4" ht="14.25" customHeight="1">
      <c r="B93" s="32" t="s">
        <v>247</v>
      </c>
      <c r="D93" s="32" t="s">
        <v>300</v>
      </c>
    </row>
    <row r="94" spans="2:4" ht="14.25" customHeight="1">
      <c r="B94" s="17" t="s">
        <v>248</v>
      </c>
      <c r="D94" s="32" t="s">
        <v>301</v>
      </c>
    </row>
    <row r="95" spans="2:4" ht="14.25" customHeight="1">
      <c r="B95" s="32" t="s">
        <v>249</v>
      </c>
      <c r="D95" s="17" t="s">
        <v>302</v>
      </c>
    </row>
    <row r="96" spans="2:4" ht="14.25" customHeight="1">
      <c r="B96" s="32" t="s">
        <v>250</v>
      </c>
      <c r="D96" s="32" t="s">
        <v>303</v>
      </c>
    </row>
    <row r="97" spans="2:4" ht="14.25" customHeight="1">
      <c r="B97" s="17" t="s">
        <v>251</v>
      </c>
      <c r="D97" s="14"/>
    </row>
    <row r="98" spans="2:4" ht="14.25" customHeight="1">
      <c r="B98" s="32" t="s">
        <v>252</v>
      </c>
      <c r="D98" s="13" t="s">
        <v>117</v>
      </c>
    </row>
    <row r="99" spans="2:4" ht="14.25" customHeight="1">
      <c r="B99" s="17" t="s">
        <v>253</v>
      </c>
      <c r="D99" s="32" t="s">
        <v>304</v>
      </c>
    </row>
    <row r="100" spans="2:4" ht="14.25" customHeight="1">
      <c r="B100" s="32" t="s">
        <v>254</v>
      </c>
      <c r="D100" s="17" t="s">
        <v>305</v>
      </c>
    </row>
    <row r="101" spans="2:4" ht="14.25" customHeight="1">
      <c r="B101" s="17" t="s">
        <v>255</v>
      </c>
      <c r="D101" s="32" t="s">
        <v>306</v>
      </c>
    </row>
    <row r="102" spans="2:4" ht="13.5" customHeight="1">
      <c r="B102" s="32" t="s">
        <v>256</v>
      </c>
      <c r="D102" s="17" t="s">
        <v>307</v>
      </c>
    </row>
    <row r="103" spans="2:4" ht="13.5" customHeight="1">
      <c r="B103" s="17" t="s">
        <v>257</v>
      </c>
      <c r="D103" s="32" t="s">
        <v>308</v>
      </c>
    </row>
    <row r="104" spans="2:4" ht="13.5" customHeight="1">
      <c r="B104" s="32" t="s">
        <v>258</v>
      </c>
      <c r="D104" s="32" t="s">
        <v>309</v>
      </c>
    </row>
    <row r="105" spans="2:4" ht="14.25" customHeight="1">
      <c r="B105" s="17" t="s">
        <v>259</v>
      </c>
      <c r="D105" s="17" t="s">
        <v>310</v>
      </c>
    </row>
    <row r="106" spans="2:4" ht="14.25" customHeight="1">
      <c r="B106" s="14"/>
      <c r="D106" s="17" t="s">
        <v>311</v>
      </c>
    </row>
    <row r="107" spans="2:4" ht="14.25" customHeight="1">
      <c r="B107" s="13" t="s">
        <v>118</v>
      </c>
      <c r="D107" s="32" t="s">
        <v>312</v>
      </c>
    </row>
    <row r="108" spans="2:4" ht="14.25" customHeight="1">
      <c r="B108" s="32" t="s">
        <v>260</v>
      </c>
      <c r="D108" s="17" t="s">
        <v>313</v>
      </c>
    </row>
    <row r="109" spans="2:4" ht="14.25" customHeight="1">
      <c r="B109" s="32" t="s">
        <v>261</v>
      </c>
      <c r="D109" s="17" t="s">
        <v>314</v>
      </c>
    </row>
    <row r="110" spans="2:4" ht="14.25" customHeight="1">
      <c r="B110" s="17" t="s">
        <v>262</v>
      </c>
      <c r="D110" s="32" t="s">
        <v>315</v>
      </c>
    </row>
    <row r="111" spans="2:4" ht="14.25" customHeight="1">
      <c r="B111" s="32" t="s">
        <v>263</v>
      </c>
      <c r="D111" s="17" t="s">
        <v>316</v>
      </c>
    </row>
    <row r="112" spans="2:4" ht="14.25" customHeight="1">
      <c r="B112" s="17" t="s">
        <v>264</v>
      </c>
      <c r="D112" s="15"/>
    </row>
    <row r="113" spans="2:4" ht="14.25" customHeight="1">
      <c r="B113" s="32" t="s">
        <v>265</v>
      </c>
      <c r="D113" s="13" t="s">
        <v>119</v>
      </c>
    </row>
    <row r="114" spans="2:4" ht="14.25" customHeight="1">
      <c r="B114" s="17" t="s">
        <v>266</v>
      </c>
      <c r="D114" s="32" t="s">
        <v>317</v>
      </c>
    </row>
    <row r="115" spans="2:4" ht="14.25" customHeight="1">
      <c r="B115" s="14"/>
      <c r="D115" s="17" t="s">
        <v>318</v>
      </c>
    </row>
    <row r="116" spans="2:4" ht="14.25" customHeight="1">
      <c r="B116" s="13" t="s">
        <v>120</v>
      </c>
      <c r="D116" s="32" t="s">
        <v>319</v>
      </c>
    </row>
    <row r="117" spans="2:4" ht="14.25" customHeight="1">
      <c r="B117" s="32" t="s">
        <v>267</v>
      </c>
      <c r="D117" s="14"/>
    </row>
    <row r="118" spans="2:4" ht="14.25" customHeight="1">
      <c r="B118" s="17" t="s">
        <v>268</v>
      </c>
      <c r="D118" s="13" t="s">
        <v>121</v>
      </c>
    </row>
    <row r="119" spans="2:4" ht="14.25" customHeight="1">
      <c r="B119" s="32" t="s">
        <v>269</v>
      </c>
      <c r="D119" s="32" t="s">
        <v>320</v>
      </c>
    </row>
    <row r="120" spans="2:4" ht="14.25" customHeight="1">
      <c r="B120" s="17" t="s">
        <v>270</v>
      </c>
      <c r="D120" s="32" t="s">
        <v>321</v>
      </c>
    </row>
    <row r="121" spans="2:4" ht="14.25" customHeight="1">
      <c r="B121" s="17" t="s">
        <v>271</v>
      </c>
      <c r="D121" s="32" t="s">
        <v>322</v>
      </c>
    </row>
    <row r="122" spans="2:4" ht="14.25" customHeight="1">
      <c r="B122" s="32" t="s">
        <v>272</v>
      </c>
      <c r="D122" s="17" t="s">
        <v>323</v>
      </c>
    </row>
    <row r="123" spans="2:4" ht="14.25" customHeight="1">
      <c r="B123" s="17" t="s">
        <v>273</v>
      </c>
      <c r="D123" s="14"/>
    </row>
    <row r="124" spans="2:4" ht="14.25" customHeight="1">
      <c r="B124" s="14"/>
      <c r="D124" s="19" t="s">
        <v>122</v>
      </c>
    </row>
    <row r="125" spans="2:4" ht="14.25" customHeight="1">
      <c r="B125" s="34" t="s">
        <v>274</v>
      </c>
      <c r="D125" s="17" t="s">
        <v>324</v>
      </c>
    </row>
    <row r="126" spans="2:4" ht="14.25" customHeight="1">
      <c r="B126" s="17" t="s">
        <v>275</v>
      </c>
      <c r="D126" s="17" t="s">
        <v>325</v>
      </c>
    </row>
    <row r="127" spans="2:4" ht="14.25" customHeight="1">
      <c r="B127" s="17" t="s">
        <v>276</v>
      </c>
      <c r="D127" s="17" t="s">
        <v>326</v>
      </c>
    </row>
    <row r="128" spans="2:4" ht="14.25" customHeight="1">
      <c r="B128" s="17" t="s">
        <v>277</v>
      </c>
      <c r="D128" s="14"/>
    </row>
    <row r="129" spans="2:4" ht="14.25" customHeight="1">
      <c r="B129" s="17" t="s">
        <v>278</v>
      </c>
      <c r="D129" s="13" t="s">
        <v>123</v>
      </c>
    </row>
    <row r="130" spans="2:4" ht="14.25" customHeight="1">
      <c r="B130" s="17" t="s">
        <v>279</v>
      </c>
      <c r="D130" s="17" t="s">
        <v>327</v>
      </c>
    </row>
    <row r="131" spans="2:4" ht="14.25" customHeight="1">
      <c r="B131" s="14"/>
      <c r="D131" s="17" t="s">
        <v>328</v>
      </c>
    </row>
    <row r="132" spans="2:4" ht="14.25" customHeight="1">
      <c r="B132" s="13" t="s">
        <v>124</v>
      </c>
      <c r="D132" s="14"/>
    </row>
    <row r="133" spans="2:4" ht="14.25" customHeight="1">
      <c r="B133" s="32" t="s">
        <v>280</v>
      </c>
      <c r="D133" s="13" t="s">
        <v>125</v>
      </c>
    </row>
    <row r="134" spans="2:4" ht="14.25" customHeight="1">
      <c r="B134" s="17" t="s">
        <v>281</v>
      </c>
      <c r="D134" s="17" t="s">
        <v>329</v>
      </c>
    </row>
    <row r="135" spans="2:4" ht="14.25" customHeight="1">
      <c r="B135" s="32" t="s">
        <v>282</v>
      </c>
      <c r="D135" s="17" t="s">
        <v>330</v>
      </c>
    </row>
    <row r="136" spans="2:4" ht="14.25" customHeight="1">
      <c r="B136" s="17" t="s">
        <v>283</v>
      </c>
      <c r="D136" s="17" t="s">
        <v>331</v>
      </c>
    </row>
    <row r="137" spans="2:4" ht="14.25" customHeight="1">
      <c r="B137" s="32" t="s">
        <v>333</v>
      </c>
      <c r="C137" s="24"/>
      <c r="D137" s="17" t="s">
        <v>332</v>
      </c>
    </row>
    <row r="138" spans="2:4" ht="14.25" customHeight="1">
      <c r="B138" s="14"/>
      <c r="C138" s="25"/>
      <c r="D138" s="14"/>
    </row>
    <row r="139" spans="2:4" ht="14.25" customHeight="1">
      <c r="B139" s="26" t="s">
        <v>126</v>
      </c>
      <c r="C139" s="27"/>
      <c r="D139" s="27"/>
    </row>
    <row r="140" spans="2:4" ht="14.25" customHeight="1">
      <c r="B140" s="28" t="str">
        <f>"계약자             "&amp;계약서!C11&amp;"                       서명 또는 인"</f>
        <v>계약자             중앙 오토바이 가수점                       서명 또는 인</v>
      </c>
      <c r="C140" s="15"/>
      <c r="D140" s="28" t="str">
        <f>"연대보증인                 "&amp;계약서!C16&amp;"                 서명 또는 인"</f>
        <v>연대보증인                 안종식                 서명 또는 인</v>
      </c>
    </row>
    <row r="141" spans="2:4" ht="14.25" customHeight="1">
      <c r="B141" s="25"/>
      <c r="D141" s="29"/>
    </row>
    <row r="142" spans="2:4" ht="13.5" customHeight="1">
      <c r="B142" s="15"/>
      <c r="C142" s="15"/>
      <c r="D142" s="15"/>
    </row>
    <row r="143" spans="2:4" ht="13.5" customHeight="1">
      <c r="B143" s="15"/>
      <c r="C143" s="15"/>
      <c r="D143" s="15"/>
    </row>
    <row r="144" spans="2:4" ht="13.5" customHeight="1">
      <c r="B144" s="15"/>
      <c r="C144" s="15"/>
      <c r="D144" s="15"/>
    </row>
    <row r="145" spans="2:4" ht="13.5" customHeight="1">
      <c r="B145" s="15"/>
      <c r="C145" s="15"/>
      <c r="D145" s="15"/>
    </row>
    <row r="146" spans="2:4" ht="13.5" customHeight="1">
      <c r="B146" s="15"/>
      <c r="C146" s="15"/>
      <c r="D146" s="15"/>
    </row>
    <row r="147" spans="2:4" ht="13.5" customHeight="1">
      <c r="B147" s="15"/>
      <c r="C147" s="15"/>
      <c r="D147" s="15"/>
    </row>
    <row r="148" spans="2:4" ht="13.5" customHeight="1">
      <c r="B148" s="15"/>
      <c r="C148" s="15"/>
      <c r="D148" s="15"/>
    </row>
    <row r="149" spans="2:4" ht="13.5" customHeight="1">
      <c r="B149" s="15"/>
      <c r="C149" s="15"/>
      <c r="D149" s="15"/>
    </row>
    <row r="150" spans="2:4" ht="13.5" customHeight="1">
      <c r="B150" s="15"/>
      <c r="C150" s="15"/>
      <c r="D150" s="15"/>
    </row>
    <row r="151" spans="2:4" ht="13.5" customHeight="1">
      <c r="B151" s="15"/>
      <c r="C151" s="15"/>
      <c r="D151" s="15"/>
    </row>
    <row r="152" spans="2:4" ht="13.5" customHeight="1">
      <c r="B152" s="15"/>
      <c r="C152" s="15"/>
      <c r="D152" s="15"/>
    </row>
    <row r="153" spans="2:4" s="30" customFormat="1" ht="13.5" customHeight="1">
      <c r="B153" s="15"/>
      <c r="C153" s="15"/>
      <c r="D153" s="15"/>
    </row>
    <row r="154" spans="2:4" ht="13.5" customHeight="1">
      <c r="B154" s="15"/>
      <c r="C154" s="15"/>
      <c r="D154" s="15"/>
    </row>
    <row r="155" spans="2:4" ht="13.5" customHeight="1">
      <c r="B155" s="15"/>
      <c r="C155" s="15"/>
      <c r="D155" s="15"/>
    </row>
    <row r="156" spans="2:4" ht="13.5" customHeight="1">
      <c r="B156" s="15"/>
      <c r="C156" s="15"/>
      <c r="D156" s="15"/>
    </row>
    <row r="157" spans="2:4" ht="13.5" customHeight="1">
      <c r="B157" s="15"/>
      <c r="C157" s="15"/>
      <c r="D157" s="15"/>
    </row>
    <row r="158" spans="2:4" ht="13.5" customHeight="1">
      <c r="B158" s="15"/>
      <c r="C158" s="15"/>
      <c r="D158" s="15"/>
    </row>
    <row r="159" spans="2:4" ht="13.5" customHeight="1">
      <c r="B159" s="15"/>
      <c r="C159" s="15"/>
      <c r="D159" s="15"/>
    </row>
    <row r="160" spans="2:4" ht="13.5" customHeight="1">
      <c r="B160" s="15"/>
      <c r="C160" s="15"/>
      <c r="D160" s="15"/>
    </row>
    <row r="161" spans="2:4" ht="13.5" customHeight="1">
      <c r="B161" s="15"/>
      <c r="C161" s="15"/>
      <c r="D161" s="15"/>
    </row>
    <row r="162" spans="2:4" ht="13.5" customHeight="1">
      <c r="B162" s="15"/>
      <c r="C162" s="15"/>
      <c r="D162" s="15"/>
    </row>
    <row r="163" spans="2:4" ht="13.5" customHeight="1">
      <c r="B163" s="15"/>
      <c r="C163" s="15"/>
      <c r="D163" s="15"/>
    </row>
    <row r="164" spans="2:4" ht="13.5" customHeight="1">
      <c r="B164" s="15"/>
      <c r="C164" s="15"/>
      <c r="D164" s="15"/>
    </row>
    <row r="165" spans="2:4" ht="13.5" customHeight="1">
      <c r="B165" s="15"/>
      <c r="C165" s="15"/>
      <c r="D165" s="15"/>
    </row>
    <row r="166" spans="2:4" ht="13.5" customHeight="1">
      <c r="B166" s="15"/>
      <c r="C166" s="15"/>
      <c r="D166" s="15"/>
    </row>
    <row r="167" spans="2:4" ht="13.5" customHeight="1">
      <c r="B167" s="15"/>
      <c r="C167" s="15"/>
      <c r="D167" s="15"/>
    </row>
    <row r="168" spans="2:4" ht="13.5" customHeight="1">
      <c r="B168" s="15"/>
      <c r="C168" s="15"/>
      <c r="D168" s="15"/>
    </row>
    <row r="169" spans="2:4" ht="13.5" customHeight="1">
      <c r="B169" s="15"/>
      <c r="C169" s="15"/>
      <c r="D169" s="15"/>
    </row>
    <row r="170" spans="2:4" ht="13.5" customHeight="1">
      <c r="B170" s="15"/>
      <c r="C170" s="15"/>
      <c r="D170" s="15"/>
    </row>
    <row r="171" spans="2:4" ht="13.5" customHeight="1">
      <c r="B171" s="15"/>
      <c r="C171" s="15"/>
      <c r="D171" s="15"/>
    </row>
    <row r="172" spans="2:4" ht="13.5" customHeight="1">
      <c r="B172" s="15"/>
      <c r="C172" s="15"/>
      <c r="D172" s="15"/>
    </row>
    <row r="173" spans="2:4" ht="13.5" customHeight="1">
      <c r="B173" s="15"/>
      <c r="C173" s="15"/>
      <c r="D173" s="15"/>
    </row>
    <row r="174" spans="2:4" ht="13.5" customHeight="1">
      <c r="B174" s="15"/>
      <c r="C174" s="15"/>
      <c r="D174" s="15"/>
    </row>
    <row r="175" spans="2:4" ht="13.5" customHeight="1">
      <c r="B175" s="15"/>
      <c r="C175" s="15"/>
      <c r="D175" s="15"/>
    </row>
    <row r="176" spans="2:4" ht="13.5" customHeight="1">
      <c r="B176" s="15"/>
      <c r="C176" s="15"/>
      <c r="D176" s="15"/>
    </row>
    <row r="177" spans="2:4" ht="13.5" customHeight="1">
      <c r="B177" s="15"/>
      <c r="C177" s="15"/>
      <c r="D177" s="15"/>
    </row>
    <row r="178" spans="2:4" ht="13.5" customHeight="1">
      <c r="B178" s="15"/>
      <c r="C178" s="15"/>
      <c r="D178" s="15"/>
    </row>
    <row r="179" spans="2:4" ht="13.5" customHeight="1">
      <c r="B179" s="15"/>
      <c r="C179" s="15"/>
      <c r="D179" s="15"/>
    </row>
    <row r="180" spans="2:4" ht="13.5" customHeight="1">
      <c r="B180" s="15"/>
      <c r="C180" s="15"/>
      <c r="D180" s="15"/>
    </row>
    <row r="181" spans="2:4" ht="13.5" customHeight="1">
      <c r="B181" s="15"/>
      <c r="C181" s="15"/>
      <c r="D181" s="15"/>
    </row>
    <row r="182" spans="2:4" ht="13.5" customHeight="1">
      <c r="B182" s="15"/>
      <c r="C182" s="15"/>
      <c r="D182" s="15"/>
    </row>
    <row r="183" spans="2:4" ht="13.5" customHeight="1">
      <c r="B183" s="15"/>
      <c r="C183" s="15"/>
      <c r="D183" s="15"/>
    </row>
    <row r="184" spans="2:4" ht="13.5" customHeight="1">
      <c r="B184" s="15"/>
      <c r="C184" s="15"/>
      <c r="D184" s="15"/>
    </row>
    <row r="185" spans="2:4" ht="13.5" customHeight="1"/>
    <row r="186" spans="2:4" ht="13.5" customHeight="1"/>
    <row r="187" spans="2:4" ht="13.5" customHeight="1"/>
    <row r="188" spans="2:4" ht="13.5" customHeight="1"/>
    <row r="189" spans="2:4" ht="13.5" customHeight="1">
      <c r="B189" s="15"/>
      <c r="C189" s="15"/>
      <c r="D189" s="15"/>
    </row>
    <row r="190" spans="2:4" ht="13.5" customHeight="1">
      <c r="B190" s="15"/>
      <c r="C190" s="15"/>
      <c r="D190" s="15"/>
    </row>
    <row r="191" spans="2:4" ht="13.5" customHeight="1">
      <c r="B191" s="15"/>
      <c r="D191" s="14"/>
    </row>
    <row r="192" spans="2:4">
      <c r="B192" s="14"/>
      <c r="D192" s="14"/>
    </row>
    <row r="193" spans="2:4">
      <c r="B193" s="14"/>
      <c r="D193" s="14"/>
    </row>
    <row r="194" spans="2:4" ht="21.75" customHeight="1">
      <c r="B194" s="14"/>
      <c r="D194" s="14"/>
    </row>
    <row r="195" spans="2:4" ht="15.75" customHeight="1">
      <c r="B195" s="14"/>
      <c r="D195" s="14"/>
    </row>
    <row r="196" spans="2:4" ht="15.75" customHeight="1">
      <c r="B196" s="14"/>
      <c r="D196" s="14"/>
    </row>
    <row r="197" spans="2:4" ht="15.75" customHeight="1">
      <c r="B197" s="14"/>
      <c r="D197" s="14"/>
    </row>
    <row r="198" spans="2:4" ht="15.75" customHeight="1">
      <c r="B198" s="14"/>
      <c r="D198" s="14"/>
    </row>
    <row r="199" spans="2:4">
      <c r="B199" s="14"/>
      <c r="D199" s="14"/>
    </row>
    <row r="200" spans="2:4" ht="21.75" customHeight="1">
      <c r="B200" s="14"/>
      <c r="D200" s="14"/>
    </row>
    <row r="201" spans="2:4" ht="48" customHeight="1">
      <c r="B201" s="14"/>
      <c r="D201" s="14"/>
    </row>
    <row r="202" spans="2:4" ht="48" customHeight="1">
      <c r="B202" s="14"/>
      <c r="D202" s="14"/>
    </row>
    <row r="203" spans="2:4" ht="48" customHeight="1">
      <c r="B203" s="14"/>
      <c r="D203" s="14"/>
    </row>
    <row r="204" spans="2:4" ht="31.5" customHeight="1">
      <c r="B204" s="14"/>
      <c r="D204" s="14"/>
    </row>
    <row r="205" spans="2:4" ht="31.5" customHeight="1">
      <c r="B205" s="14"/>
      <c r="D205" s="14"/>
    </row>
    <row r="206" spans="2:4" ht="31.5" customHeight="1">
      <c r="B206" s="14"/>
      <c r="D206" s="14"/>
    </row>
    <row r="207" spans="2:4" ht="31.5" customHeight="1">
      <c r="B207" s="14"/>
      <c r="C207" s="24"/>
    </row>
    <row r="208" spans="2:4" ht="15.75" customHeight="1">
      <c r="B208" s="14"/>
      <c r="C208" s="25"/>
    </row>
    <row r="209" spans="2:4">
      <c r="B209" s="14"/>
      <c r="D209" s="14"/>
    </row>
    <row r="210" spans="2:4">
      <c r="B210" s="25"/>
      <c r="D210" s="14"/>
    </row>
    <row r="211" spans="2:4" ht="21.75" customHeight="1">
      <c r="B211" s="25"/>
      <c r="D211" s="29"/>
    </row>
    <row r="212" spans="2:4" ht="31.5" customHeight="1"/>
  </sheetData>
  <mergeCells count="1">
    <mergeCell ref="B1:D1"/>
  </mergeCells>
  <phoneticPr fontId="53" type="noConversion"/>
  <pageMargins left="0.3" right="0.3" top="0.4" bottom="0.4" header="0.511811023622047" footer="0.511811023622047"/>
  <pageSetup paperSize="9" scale="77" fitToHeight="0" orientation="portrait" horizontalDpi="300" verticalDpi="300" r:id="rId1"/>
  <rowBreaks count="1" manualBreakCount="1">
    <brk id="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2026-04-27T09:36:15Z</cp:lastPrinted>
  <dcterms:created xsi:type="dcterms:W3CDTF">2026-04-27T06:03:32Z</dcterms:created>
  <dcterms:modified xsi:type="dcterms:W3CDTF">2026-04-28T10:32:29Z</dcterms:modified>
  <dc:language>en-US</dc:language>
</cp:coreProperties>
</file>