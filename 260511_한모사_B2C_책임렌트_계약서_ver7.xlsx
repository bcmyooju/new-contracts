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8D3B6ED9-FFDC-4074-826B-77466104246F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definedNames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2" l="1"/>
  <c r="F19" i="2"/>
  <c r="I18" i="2"/>
  <c r="F18" i="2"/>
  <c r="C18" i="2"/>
  <c r="I17" i="2"/>
  <c r="F17" i="2"/>
  <c r="C17" i="2"/>
  <c r="C12" i="2"/>
  <c r="I11" i="2"/>
  <c r="F11" i="2"/>
  <c r="C11" i="2"/>
  <c r="C34" i="4" s="1"/>
  <c r="C8" i="2"/>
  <c r="I7" i="2"/>
  <c r="F7" i="2"/>
  <c r="C7" i="2"/>
  <c r="I6" i="2"/>
  <c r="F6" i="2"/>
  <c r="C6" i="2"/>
  <c r="I3" i="2"/>
  <c r="B153" i="3" l="1"/>
</calcChain>
</file>

<file path=xl/sharedStrings.xml><?xml version="1.0" encoding="utf-8"?>
<sst xmlns="http://schemas.openxmlformats.org/spreadsheetml/2006/main" count="404" uniqueCount="373">
  <si>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</si>
  <si>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</si>
  <si>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</si>
  <si>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</si>
  <si>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</si>
  <si>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</si>
  <si>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</si>
  <si>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</si>
  <si>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</si>
  <si>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</si>
  <si>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</si>
  <si>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</si>
  <si>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</si>
  <si>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</si>
  <si>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</si>
  <si>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</si>
  <si>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</si>
  <si>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</si>
  <si>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</si>
  <si>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</si>
  <si>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</si>
  <si>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</si>
  <si>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</si>
  <si>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</si>
  <si>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</si>
  <si>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안종식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</si>
  <si>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</si>
  <si>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</si>
  <si>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010-5813-7336</t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</si>
  <si>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</si>
  <si>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</si>
  <si>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</si>
  <si>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</si>
  <si>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</si>
  <si>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책임렌트 계약서</t>
  </si>
  <si>
    <t>한국모터사이클리스 유한회사</t>
  </si>
  <si>
    <t>■ 차량 정보</t>
  </si>
  <si>
    <t>계약일자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</si>
  <si>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</si>
  <si>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■ 계약자</t>
  </si>
  <si>
    <t>성명</t>
  </si>
  <si>
    <t>주민등록번호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</si>
  <si>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</si>
  <si>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</si>
  <si>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</si>
  <si>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</si>
  <si>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납입방법</t>
  </si>
  <si>
    <t>청구시작일</t>
  </si>
  <si>
    <t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</si>
  <si>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</si>
  <si>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t>■ 회사 정보</t>
  </si>
  <si>
    <t>상호</t>
  </si>
  <si>
    <t>사업자번호</t>
  </si>
  <si>
    <t>647-86-03800</t>
  </si>
  <si>
    <t>대표이사</t>
  </si>
  <si>
    <t>김현수</t>
  </si>
  <si>
    <r>
      <rPr>
        <sz val="10"/>
        <color rgb="FF000000"/>
        <rFont val="DejaVu Sans"/>
        <family val="2"/>
      </rPr>
      <t>경기도 수원시 권선구 입북로</t>
    </r>
    <r>
      <rPr>
        <sz val="10"/>
        <color rgb="FF000000"/>
        <rFont val="DejaVu Sans"/>
        <family val="2"/>
        <charset val="1"/>
      </rPr>
      <t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>15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</si>
  <si>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</si>
  <si>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</si>
  <si>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</si>
  <si>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</si>
  <si>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t>사고 즉시 고지 의무</t>
  </si>
  <si>
    <t>보험연령 미달자 운전</t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</si>
  <si>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</si>
  <si>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t>구상금</t>
  </si>
  <si>
    <t>미변제 시 즉시 처리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</si>
  <si>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</si>
  <si>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</si>
  <si>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</si>
  <si>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</si>
  <si>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</si>
  <si>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</si>
  <si>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</si>
  <si>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</si>
  <si>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</si>
  <si>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</si>
  <si>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</si>
  <si>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공급자</t>
  </si>
  <si>
    <t>이륜차 책임렌트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</si>
  <si>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</si>
  <si>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DejaVu Sans"/>
        <family val="1"/>
        <charset val="1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1"/>
        <charset val="1"/>
      </rPr>
      <t>15%].</t>
    </r>
  </si>
  <si>
    <r>
      <rPr>
        <sz val="8"/>
        <color rgb="FF2B2B2B"/>
        <rFont val="DejaVu Sans"/>
        <family val="2"/>
      </rPr>
      <t>이 약관은 한국모터사이클리스 유한회사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회사</t>
    </r>
    <r>
      <rPr>
        <sz val="8"/>
        <color rgb="FF2B2B2B"/>
        <rFont val="DejaVu Sans"/>
        <family val="3"/>
        <charset val="129"/>
      </rPr>
      <t>")</t>
    </r>
    <r>
      <rPr>
        <sz val="8"/>
        <color rgb="FF2B2B2B"/>
        <rFont val="DejaVu Sans"/>
        <family val="2"/>
      </rPr>
      <t>와 본 계약을 체결한 계약자간의 이륜차 책임</t>
    </r>
  </si>
  <si>
    <r>
      <rPr>
        <sz val="8"/>
        <color rgb="FF2B2B2B"/>
        <rFont val="DejaVu Sans"/>
        <family val="2"/>
      </rPr>
      <t>계약 만료 후 처리절차 지체 손해배상금</t>
    </r>
    <r>
      <rPr>
        <sz val="8"/>
        <color rgb="FF2B2B2B"/>
        <rFont val="DejaVu Sans"/>
        <family val="3"/>
        <charset val="129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DejaVu Sans"/>
        <family val="3"/>
        <charset val="129"/>
      </rPr>
      <t>].</t>
    </r>
  </si>
  <si>
    <r>
      <rPr>
        <sz val="8"/>
        <color rgb="FF2B2B2B"/>
        <rFont val="DejaVu Sans"/>
        <family val="2"/>
      </rPr>
      <t>렌트에 관한 권리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의무를 규정함을 목적으로 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</si>
  <si>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③ 지연손해금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손해배상금은 회사의 손해배상청구와 별도로 부과될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미납 발</t>
    </r>
  </si>
  <si>
    <r>
      <rPr>
        <sz val="8"/>
        <color rgb="FF2B2B2B"/>
        <rFont val="DejaVu Sans"/>
        <family val="2"/>
      </rPr>
      <t>생 시 회사는 별도 동의 없이 신용정보집중기관 등록 또는 채권추심을 의뢰할 수 있다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</si>
  <si>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</si>
  <si>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① "</t>
    </r>
    <r>
      <rPr>
        <sz val="8"/>
        <color rgb="FF2B2B2B"/>
        <rFont val="DejaVu Sans"/>
        <family val="2"/>
      </rPr>
      <t>이륜차 렌트 계약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</si>
  <si>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>고 그 대가를 정기적으로 지급받는 계약을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</si>
  <si>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</si>
  <si>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</si>
  <si>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</si>
  <si>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>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계약기간 만료 및 모든 채무 이행 완료 시 반환한다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</si>
  <si>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주채무자이자 본</t>
    </r>
  </si>
  <si>
    <r>
      <rPr>
        <sz val="8"/>
        <color rgb="FF2B2B2B"/>
        <rFont val="DejaVu Sans"/>
        <family val="2"/>
      </rPr>
      <t>계약 차량을 실제 운행하는 자이다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</si>
  <si>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3"/>
        <charset val="129"/>
      </rPr>
      <t>⑥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</si>
  <si>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</si>
  <si>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3"/>
        <charset val="129"/>
      </rPr>
      <t>⑦ "</t>
    </r>
    <r>
      <rPr>
        <sz val="8"/>
        <color rgb="FF2B2B2B"/>
        <rFont val="DejaVu Sans"/>
        <family val="2"/>
      </rPr>
      <t>보험연령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차량에 가입된 보험에서 운전자로서 보장 가능한 최저연령을 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</si>
  <si>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>① 회사는 이륜차에 계약자가 요청하는 보험연령에 따라 책임보험</t>
    </r>
    <r>
      <rPr>
        <sz val="8"/>
        <color rgb="FF2B2B2B"/>
        <rFont val="DejaVu Sans"/>
        <family val="1"/>
        <charset val="129"/>
      </rPr>
      <t>(</t>
    </r>
    <r>
      <rPr>
        <sz val="8"/>
        <color rgb="FF2B2B2B"/>
        <rFont val="DejaVu Sans"/>
        <family val="2"/>
      </rPr>
      <t>대인배상Ⅰ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DejaVu Sans"/>
        <family val="2"/>
      </rPr>
      <t>대물배상</t>
    </r>
    <r>
      <rPr>
        <sz val="8"/>
        <color rgb="FF2B2B2B"/>
        <rFont val="DejaVu Sans"/>
        <family val="1"/>
        <charset val="129"/>
      </rPr>
      <t>)</t>
    </r>
    <r>
      <rPr>
        <sz val="8"/>
        <color rgb="FF2B2B2B"/>
        <rFont val="DejaVu Sans"/>
        <family val="2"/>
      </rPr>
      <t>에 가입하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</si>
  <si>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DejaVu Sans"/>
        <family val="2"/>
      </rPr>
      <t>면에 기재된 만 나이를 의미한다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</si>
  <si>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종합보험은 가입하지 아니한다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>본 책임보험의 보장 한도는 보험사 약관 및 보험증권에 따르며</t>
    </r>
    <r>
      <rPr>
        <sz val="8"/>
        <color rgb="FF2B2B2B"/>
        <rFont val="맑은 고딕"/>
        <family val="3"/>
        <charset val="129"/>
      </rPr>
      <t xml:space="preserve">, </t>
    </r>
  </si>
  <si>
    <r>
      <rPr>
        <sz val="8"/>
        <color rgb="FF2B2B2B"/>
        <rFont val="DejaVu Sans"/>
        <family val="3"/>
        <charset val="129"/>
      </rPr>
      <t>⑧ "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</si>
  <si>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>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</si>
  <si>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3"/>
        <charset val="129"/>
      </rPr>
      <t>⑨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렌트료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과태료 등의 납부를 지체한 경우 발생하는 추가 비용을</t>
    </r>
  </si>
  <si>
    <r>
      <rPr>
        <sz val="8"/>
        <color rgb="FF2B2B2B"/>
        <rFont val="DejaVu Sans"/>
        <family val="2"/>
      </rPr>
      <t>② 렌트료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과태료 등 미수금이 있을 경우 보험연령 변경이 불가하다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보험사 정책상 보험연령 변경이</t>
    </r>
  </si>
  <si>
    <r>
      <rPr>
        <sz val="8"/>
        <color rgb="FF2B2B2B"/>
        <rFont val="DejaVu Sans"/>
        <family val="2"/>
      </rPr>
      <t>불가능한 경우 회사는 계약자에게 즉시 통지한다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</si>
  <si>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3"/>
        <charset val="129"/>
      </rPr>
      <t>⑩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</si>
  <si>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③ 보험연령 변경에 따라 렌트료가 변경될 경우 해당 차량 최초 계약 당시 단가표 기준으로 적용된다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</si>
  <si>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3"/>
        <charset val="129"/>
      </rPr>
      <t>⑪ "</t>
    </r>
    <r>
      <rPr>
        <sz val="8"/>
        <color rgb="FF2B2B2B"/>
        <rFont val="DejaVu Sans"/>
        <family val="2"/>
      </rPr>
      <t>책임보험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자동차손해배상보장법에 따른 의무보험으로서 대인배상Ⅰ과 대물배상을 보장하</t>
    </r>
  </si>
  <si>
    <t xml:space="preserve">보험사 정책상 고가의 보험료를 수취하는 경우 보험사 보험료 정책에 따라 고가의 렌트료가 적용될 </t>
  </si>
  <si>
    <r>
      <rPr>
        <sz val="8"/>
        <color rgb="FF2B2B2B"/>
        <rFont val="DejaVu Sans"/>
        <family val="2"/>
      </rPr>
      <t>는 보험을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</si>
  <si>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수 있다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</si>
  <si>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3"/>
        <charset val="129"/>
      </rPr>
      <t>⑫ "</t>
    </r>
    <r>
      <rPr>
        <sz val="8"/>
        <color rgb="FF2B2B2B"/>
        <rFont val="DejaVu Sans"/>
        <family val="2"/>
      </rPr>
      <t>종합보험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책임보험에 대인배상Ⅱ를 추가로 담보하는 보험을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</si>
  <si>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④ 계약 해지 사유 발생 시 회사는 보험을 해지할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이로 인해 발생하는 보험환급금은 회사</t>
    </r>
  </si>
  <si>
    <r>
      <rPr>
        <sz val="8"/>
        <color rgb="FF2B2B2B"/>
        <rFont val="DejaVu Sans"/>
        <family val="2"/>
      </rPr>
      <t>에 귀속되고 계약자는 이에 대한 추가 환급을 청구할 수 없다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</si>
  <si>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</si>
  <si>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⑤ 회사는 계약기간과 일치하게 보험계약을 체결한다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계약 종료일 이후 무보험 상태에서 운행하여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</si>
  <si>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</si>
  <si>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손해가 발생하면 계약자가 배상책임 및 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</si>
  <si>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제출된 서류는 어떠한 경우에도 반환하지 아니한다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</si>
  <si>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② 회사는 청구시작일부터 지정 장소에 이륜차를 인도하며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해당 날짜부터 계약이 개시된다</t>
    </r>
    <r>
      <rPr>
        <sz val="8"/>
        <color rgb="FF2B2B2B"/>
        <rFont val="DejaVu Sans"/>
        <family val="1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</si>
  <si>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운행자성 및 운행지배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</si>
  <si>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인도 이후에는 계약자는 이륜차의 하자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결함을 이유로 렌트료 지급의무를 거부할 수 없다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</si>
  <si>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① 본 계약 차량의 소유권은 회사에 있으나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회사는 자동차손해배상보장법 제</t>
    </r>
    <r>
      <rPr>
        <sz val="8"/>
        <rFont val="DejaVu Sans"/>
        <family val="1"/>
        <charset val="1"/>
      </rPr>
      <t>3</t>
    </r>
    <r>
      <rPr>
        <sz val="8"/>
        <rFont val="DejaVu Sans"/>
        <family val="2"/>
      </rPr>
      <t xml:space="preserve">조에서 정한 </t>
    </r>
    <r>
      <rPr>
        <sz val="8"/>
        <rFont val="DejaVu Sans"/>
        <family val="1"/>
        <charset val="1"/>
      </rPr>
      <t>"</t>
    </r>
    <r>
      <rPr>
        <sz val="8"/>
        <rFont val="DejaVu Sans"/>
        <family val="2"/>
      </rPr>
      <t>자기를</t>
    </r>
  </si>
  <si>
    <r>
      <rPr>
        <sz val="8"/>
        <rFont val="DejaVu Sans"/>
        <family val="2"/>
      </rPr>
      <t>위하여 자동차를 운행하는 자</t>
    </r>
    <r>
      <rPr>
        <sz val="8"/>
        <rFont val="DejaVu Sans"/>
        <family val="3"/>
        <charset val="129"/>
      </rPr>
      <t>"(</t>
    </r>
    <r>
      <rPr>
        <sz val="8"/>
        <rFont val="DejaVu Sans"/>
        <family val="2"/>
      </rPr>
      <t xml:space="preserve">이하 </t>
    </r>
    <r>
      <rPr>
        <sz val="8"/>
        <rFont val="DejaVu Sans"/>
        <family val="3"/>
        <charset val="129"/>
      </rPr>
      <t>"</t>
    </r>
    <r>
      <rPr>
        <sz val="8"/>
        <rFont val="DejaVu Sans"/>
        <family val="2"/>
      </rPr>
      <t>운행자</t>
    </r>
    <r>
      <rPr>
        <sz val="8"/>
        <rFont val="DejaVu Sans"/>
        <family val="3"/>
        <charset val="129"/>
      </rPr>
      <t>")</t>
    </r>
    <r>
      <rPr>
        <sz val="8"/>
        <rFont val="DejaVu Sans"/>
        <family val="2"/>
      </rPr>
      <t>에 해당하지 아니한다</t>
    </r>
    <r>
      <rPr>
        <sz val="8"/>
        <rFont val="DejaVu Sans"/>
        <family val="3"/>
        <charset val="129"/>
      </rPr>
      <t xml:space="preserve">. </t>
    </r>
    <r>
      <rPr>
        <sz val="8"/>
        <rFont val="DejaVu Sans"/>
        <family val="2"/>
      </rPr>
      <t>회사는 본 계약 차량에 대한 운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</si>
  <si>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</si>
  <si>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행지배 및 운행이익을 갖지 아니한다</t>
    </r>
    <r>
      <rPr>
        <sz val="8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</si>
  <si>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</si>
  <si>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② 본 계약 차량의 운행자는 계약자이며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운행 중 발생하는 모든 인적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물적 손해에 대한 운행자 책임</t>
    </r>
  </si>
  <si>
    <r>
      <rPr>
        <sz val="8"/>
        <color rgb="FF2B2B2B"/>
        <rFont val="DejaVu Sans"/>
        <family val="2"/>
      </rPr>
      <t>② 인수형 계약의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계약자가 모든 채무를 완전히 이행한 때 회사는 회사의 내부 행정 절차에 따라</t>
    </r>
  </si>
  <si>
    <r>
      <rPr>
        <sz val="8"/>
        <rFont val="DejaVu Sans"/>
        <family val="2"/>
      </rPr>
      <t>은 전적으로 계약자가 부담한다</t>
    </r>
    <r>
      <rPr>
        <sz val="8"/>
        <rFont val="DejaVu Sans"/>
        <family val="3"/>
        <charset val="129"/>
      </rPr>
      <t xml:space="preserve">. </t>
    </r>
    <r>
      <rPr>
        <sz val="8"/>
        <rFont val="DejaVu Sans"/>
        <family val="2"/>
      </rPr>
      <t>계약자가 제</t>
    </r>
    <r>
      <rPr>
        <sz val="8"/>
        <rFont val="DejaVu Sans"/>
        <family val="3"/>
        <charset val="129"/>
      </rPr>
      <t>3</t>
    </r>
    <r>
      <rPr>
        <sz val="8"/>
        <rFont val="DejaVu Sans"/>
        <family val="2"/>
      </rPr>
      <t>자에게 차량을 운행하게 한 경우에도 운행자성은 여</t>
    </r>
  </si>
  <si>
    <r>
      <rPr>
        <sz val="8"/>
        <color rgb="FF2B2B2B"/>
        <rFont val="DejaVu Sans"/>
        <family val="2"/>
      </rPr>
      <t>이륜차의 소유권을 계약자에게 이전한다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</si>
  <si>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전히 계약자에게 있다</t>
    </r>
    <r>
      <rPr>
        <sz val="8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</si>
  <si>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</si>
  <si>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③ 제</t>
    </r>
    <r>
      <rPr>
        <sz val="8"/>
        <rFont val="DejaVu Sans"/>
        <family val="1"/>
        <charset val="1"/>
      </rPr>
      <t>3</t>
    </r>
    <r>
      <rPr>
        <sz val="8"/>
        <rFont val="DejaVu Sans"/>
        <family val="2"/>
      </rPr>
      <t>자가 회사를 상대로 운행자 책임을 청구하는 경우 계약자는 자신의 비용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책임으로 회사를 면책</t>
    </r>
  </si>
  <si>
    <t>④ 인수형 계약이라 하더라도 계약기간 만료 및 약정 금액의 완납 전에는 계약자는 이륜차의 소유권</t>
  </si>
  <si>
    <r>
      <rPr>
        <sz val="8"/>
        <rFont val="DejaVu Sans"/>
        <family val="2"/>
      </rPr>
      <t>시켜야 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회사가 부득이 배상한 경우 그 금액 및 관련 비용 일체를 즉시 회사에 상환하여야 한다</t>
    </r>
    <r>
      <rPr>
        <sz val="8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</si>
  <si>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을 주장할 수 없다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</si>
  <si>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사고 발생 시 고지 의무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</si>
  <si>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</si>
  <si>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① 회사는 본 계약 차량의 운행자가 아니므로 사고 발생 사실을 직접 인지할 수 없다</t>
    </r>
    <r>
      <rPr>
        <sz val="8"/>
        <rFont val="DejaVu Sans"/>
        <family val="1"/>
        <charset val="1"/>
      </rPr>
      <t xml:space="preserve">. </t>
    </r>
    <r>
      <rPr>
        <sz val="8"/>
        <rFont val="DejaVu Sans"/>
        <family val="2"/>
      </rPr>
      <t>따라서 본 조의</t>
    </r>
  </si>
  <si>
    <r>
      <rPr>
        <sz val="8"/>
        <rFont val="DejaVu Sans"/>
        <family val="2"/>
      </rPr>
      <t>고지 의무는 본 계약상 계약자의 핵심 의무에 해당한다</t>
    </r>
    <r>
      <rPr>
        <sz val="8"/>
        <rFont val="DejaVu Sans"/>
        <family val="3"/>
        <charset val="129"/>
      </rPr>
      <t>.</t>
    </r>
  </si>
  <si>
    <r>
      <rPr>
        <sz val="8"/>
        <rFont val="DejaVu Sans"/>
        <family val="2"/>
      </rPr>
      <t>② 다음 사유 발생 시 계약자는 즉시 회사에 고지하여야 한다</t>
    </r>
    <r>
      <rPr>
        <sz val="8"/>
        <rFont val="DejaVu Sans"/>
        <family val="1"/>
        <charset val="1"/>
      </rPr>
      <t xml:space="preserve">: </t>
    </r>
    <r>
      <rPr>
        <sz val="8"/>
        <rFont val="DejaVu Sans"/>
        <family val="2"/>
      </rPr>
      <t>인적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물적 손해사고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단독사고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차량 파</t>
    </r>
  </si>
  <si>
    <r>
      <rPr>
        <sz val="8"/>
        <color rgb="FF2B2B2B"/>
        <rFont val="DejaVu Sans"/>
        <family val="2"/>
      </rPr>
      <t>② 전항의 유예기간 내 미지급 시 본 계약은 자동 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즉시 이륜차를 반환함과 동시에</t>
    </r>
  </si>
  <si>
    <r>
      <rPr>
        <sz val="8"/>
        <rFont val="DejaVu Sans"/>
        <family val="2"/>
      </rPr>
      <t>손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도난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멸실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분실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보험사 접수 필요 사건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무면허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음주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약물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 xml:space="preserve">범죄 목적 운전등 면책사유 해당 운행 </t>
    </r>
  </si>
  <si>
    <r>
      <rPr>
        <sz val="8"/>
        <color rgb="FF2B2B2B"/>
        <rFont val="DejaVu Sans"/>
        <family val="1"/>
        <charset val="129"/>
      </rPr>
      <t xml:space="preserve">(1) </t>
    </r>
    <r>
      <rPr>
        <sz val="8"/>
        <color rgb="FF2B2B2B"/>
        <rFont val="DejaVu Sans"/>
        <family val="2"/>
      </rPr>
      <t>인도일부터 반환일까지 일할 사용료</t>
    </r>
    <r>
      <rPr>
        <sz val="8"/>
        <color rgb="FF2B2B2B"/>
        <rFont val="DejaVu Sans"/>
        <family val="1"/>
        <charset val="129"/>
      </rPr>
      <t xml:space="preserve">, (2) </t>
    </r>
    <r>
      <rPr>
        <sz val="8"/>
        <color rgb="FF2B2B2B"/>
        <rFont val="DejaVu Sans"/>
        <family val="2"/>
      </rPr>
      <t>감가손실액</t>
    </r>
    <r>
      <rPr>
        <sz val="8"/>
        <color rgb="FF2B2B2B"/>
        <rFont val="DejaVu Sans"/>
        <family val="1"/>
        <charset val="129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DejaVu Sans"/>
        <family val="2"/>
      </rPr>
      <t>번호판</t>
    </r>
    <r>
      <rPr>
        <sz val="8"/>
        <color rgb="FF2B2B2B"/>
        <rFont val="DejaVu Sans"/>
        <family val="1"/>
        <charset val="129"/>
      </rPr>
      <t>·</t>
    </r>
    <r>
      <rPr>
        <sz val="8"/>
        <color rgb="FF2B2B2B"/>
        <rFont val="DejaVu Sans"/>
        <family val="2"/>
      </rPr>
      <t>보험료 등 회사가 이</t>
    </r>
  </si>
  <si>
    <r>
      <rPr>
        <sz val="8"/>
        <rFont val="DejaVu Sans"/>
        <family val="2"/>
      </rPr>
      <t>사실 인지</t>
    </r>
    <r>
      <rPr>
        <sz val="8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</si>
  <si>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미 지출한 부대비용 일체를 배상한다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</si>
  <si>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③ 고지에는 사고 일시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장소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경위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운전자 신원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면허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음주 여부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상대방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피해자 정보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보험사 접수 번</t>
    </r>
  </si>
  <si>
    <r>
      <rPr>
        <sz val="8"/>
        <color rgb="FF2B2B2B"/>
        <rFont val="DejaVu Sans"/>
        <family val="2"/>
      </rPr>
      <t>③ 보증금은 계약기간 만료 및 모든 채무 이행 완료 시 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구상금 등</t>
    </r>
  </si>
  <si>
    <r>
      <rPr>
        <sz val="8"/>
        <rFont val="DejaVu Sans"/>
        <family val="2"/>
      </rPr>
      <t>호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경찰 신고 여부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차량 위치 및 상태가 포함되어야 한다</t>
    </r>
    <r>
      <rPr>
        <sz val="8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</si>
  <si>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이 확인될 수 있어 만료일로부터 </t>
    </r>
    <r>
      <rPr>
        <sz val="8"/>
        <color rgb="FF2B2B2B"/>
        <rFont val="DejaVu Sans"/>
        <family val="2"/>
        <charset val="129"/>
      </rPr>
      <t>1</t>
    </r>
    <r>
      <rPr>
        <sz val="8"/>
        <color rgb="FF2B2B2B"/>
        <rFont val="DejaVu Sans"/>
        <family val="2"/>
      </rPr>
      <t>개월 경과 후 반환한다</t>
    </r>
    <r>
      <rPr>
        <sz val="8"/>
        <color rgb="FF2B2B2B"/>
        <rFont val="DejaVu Sans"/>
        <family val="2"/>
        <charset val="129"/>
      </rPr>
      <t>.</t>
    </r>
  </si>
  <si>
    <r>
      <rPr>
        <sz val="8"/>
        <rFont val="DejaVu Sans"/>
        <family val="2"/>
      </rPr>
      <t>④ 계약자가 고지 의무를 위반하는 경우</t>
    </r>
    <r>
      <rPr>
        <sz val="8"/>
        <rFont val="DejaVu Sans"/>
        <family val="1"/>
        <charset val="1"/>
      </rPr>
      <t>(</t>
    </r>
    <r>
      <rPr>
        <sz val="8"/>
        <rFont val="DejaVu Sans"/>
        <family val="2"/>
      </rPr>
      <t>미고지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지연 고지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허위 고지 포함</t>
    </r>
    <r>
      <rPr>
        <sz val="8"/>
        <rFont val="DejaVu Sans"/>
        <family val="1"/>
        <charset val="1"/>
      </rPr>
      <t xml:space="preserve">) </t>
    </r>
    <r>
      <rPr>
        <sz val="8"/>
        <rFont val="DejaVu Sans"/>
        <family val="2"/>
      </rPr>
      <t>다음 책임을 부담한다</t>
    </r>
    <r>
      <rPr>
        <sz val="8"/>
        <rFont val="DejaVu Sans"/>
        <family val="1"/>
        <charset val="1"/>
      </rPr>
      <t>: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</si>
  <si>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</si>
  <si>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3"/>
        <charset val="129"/>
      </rPr>
      <t xml:space="preserve">(1) </t>
    </r>
    <r>
      <rPr>
        <sz val="8"/>
        <rFont val="DejaVu Sans"/>
        <family val="2"/>
      </rPr>
      <t>보험사 면책으로 인한 미보장 손해 일체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>회사에 추가 발생한 구상금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과태료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소송비용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변호사</t>
    </r>
  </si>
  <si>
    <r>
      <rPr>
        <sz val="8"/>
        <color rgb="FF2B2B2B"/>
        <rFont val="DejaVu Sans"/>
        <family val="2"/>
      </rPr>
      <t>⑤ 계약이 중도 해지된 경우 보증금 및 계약금은 반환하지 아니하며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위약금 및 손해배상금은 별도로</t>
    </r>
  </si>
  <si>
    <r>
      <rPr>
        <sz val="8"/>
        <rFont val="DejaVu Sans"/>
        <family val="2"/>
      </rPr>
      <t>비</t>
    </r>
    <r>
      <rPr>
        <sz val="8"/>
        <rFont val="DejaVu Sans"/>
        <family val="3"/>
        <charset val="129"/>
      </rPr>
      <t xml:space="preserve">, (3) </t>
    </r>
    <r>
      <rPr>
        <sz val="8"/>
        <rFont val="DejaVu Sans"/>
        <family val="2"/>
      </rPr>
      <t>회사가 사고를 알지 못한 상태에서 차량 처분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계약 갱신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보험 정산을 진행함으로써 발생한 손</t>
    </r>
  </si>
  <si>
    <r>
      <rPr>
        <sz val="8"/>
        <color rgb="FF2B2B2B"/>
        <rFont val="DejaVu Sans"/>
        <family val="2"/>
      </rPr>
      <t>청구한다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</si>
  <si>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rFont val="DejaVu Sans"/>
        <family val="2"/>
      </rPr>
      <t>해 일체</t>
    </r>
    <r>
      <rPr>
        <sz val="8"/>
        <rFont val="DejaVu Sans"/>
        <family val="3"/>
        <charset val="129"/>
      </rPr>
      <t>.</t>
    </r>
  </si>
  <si>
    <r>
      <rPr>
        <sz val="8"/>
        <rFont val="DejaVu Sans"/>
        <family val="2"/>
      </rPr>
      <t>⑤ 위 책임 부담과 별도로 회사는 본 계약을 즉시 해지하고 차량을 회수할 수 있다</t>
    </r>
    <r>
      <rPr>
        <sz val="8"/>
        <rFont val="DejaVu Sans"/>
        <family val="1"/>
        <charset val="1"/>
      </rPr>
      <t xml:space="preserve">. </t>
    </r>
    <r>
      <rPr>
        <sz val="8"/>
        <rFont val="DejaVu Sans"/>
        <family val="2"/>
      </rPr>
      <t>보증금은 반환하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</si>
  <si>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</si>
  <si>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지 아니하며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위약금 및 손해배상금은 별도로 청구한다</t>
    </r>
    <r>
      <rPr>
        <sz val="8"/>
        <rFont val="DejaVu Sans"/>
        <family val="3"/>
        <charset val="129"/>
      </rPr>
      <t>.</t>
    </r>
  </si>
  <si>
    <t>① 계약자는 계약서에 기재된 렌트료 및 운행 관련 제 비용을 공휴일과 무관하게 정해진 결제일에</t>
  </si>
  <si>
    <r>
      <rPr>
        <sz val="8"/>
        <color rgb="FF2B2B2B"/>
        <rFont val="DejaVu Sans"/>
        <family val="2"/>
      </rPr>
      <t xml:space="preserve">수납 대행사 </t>
    </r>
    <r>
      <rPr>
        <sz val="8"/>
        <color rgb="FF2B2B2B"/>
        <rFont val="맑은 고딕"/>
        <family val="3"/>
        <charset val="129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맑은 고딕"/>
        <family val="3"/>
        <charset val="129"/>
      </rPr>
      <t xml:space="preserve">) </t>
    </r>
    <r>
      <rPr>
        <sz val="8"/>
        <color rgb="FF2B2B2B"/>
        <rFont val="DejaVu Sans"/>
        <family val="2"/>
      </rPr>
      <t>명의 계좌로 납부하여야 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</si>
  <si>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운전자 범위 및 책임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</si>
  <si>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매도인 가격 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정부 정책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보험사 단가 변경 등 불가피한 사정으로 렌트료가 변동될 경우 회사</t>
    </r>
  </si>
  <si>
    <r>
      <rPr>
        <sz val="8"/>
        <rFont val="DejaVu Sans"/>
        <family val="2"/>
      </rPr>
      <t>① 본 계약 차량은 계약자가 직접 운행함을 원칙으로 하며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이륜차를 제</t>
    </r>
    <r>
      <rPr>
        <sz val="8"/>
        <rFont val="DejaVu Sans"/>
        <family val="1"/>
        <charset val="1"/>
      </rPr>
      <t>3</t>
    </r>
    <r>
      <rPr>
        <sz val="8"/>
        <rFont val="DejaVu Sans"/>
        <family val="2"/>
      </rPr>
      <t>자에게 전대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 xml:space="preserve">담보 제공하는 </t>
    </r>
  </si>
  <si>
    <r>
      <rPr>
        <sz val="8"/>
        <color rgb="FF2B2B2B"/>
        <rFont val="DejaVu Sans"/>
        <family val="2"/>
      </rPr>
      <t>는 계약자에게 개별 통지하며</t>
    </r>
    <r>
      <rPr>
        <sz val="8"/>
        <color rgb="FF2B2B2B"/>
        <rFont val="DejaVu Sans"/>
        <family val="2"/>
        <charset val="129"/>
      </rPr>
      <t xml:space="preserve">, </t>
    </r>
    <r>
      <rPr>
        <sz val="8"/>
        <color rgb="FF2B2B2B"/>
        <rFont val="DejaVu Sans"/>
        <family val="2"/>
      </rPr>
      <t>계약자는 출고 이전까지 계약을 취소할 수 있다</t>
    </r>
    <r>
      <rPr>
        <sz val="8"/>
        <color rgb="FF2B2B2B"/>
        <rFont val="DejaVu Sans"/>
        <family val="2"/>
        <charset val="129"/>
      </rPr>
      <t>.</t>
    </r>
  </si>
  <si>
    <r>
      <rPr>
        <sz val="8"/>
        <rFont val="DejaVu Sans"/>
        <family val="2"/>
      </rPr>
      <t>행위는 금지된다</t>
    </r>
    <r>
      <rPr>
        <sz val="8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</si>
  <si>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③ 이륜차 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훼손 등으로 운행이 불가능한 사유가 발생하더라도 계약자는 렌트료 지급의무</t>
    </r>
  </si>
  <si>
    <r>
      <rPr>
        <sz val="8"/>
        <rFont val="DejaVu Sans"/>
        <family val="2"/>
      </rPr>
      <t>② 계약자 외의 자가 운행하는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해당 운전자의 면허 보유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보험연령 충족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음주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약물 미복용 등</t>
    </r>
  </si>
  <si>
    <r>
      <rPr>
        <sz val="8"/>
        <color rgb="FF2B2B2B"/>
        <rFont val="DejaVu Sans"/>
        <family val="2"/>
      </rPr>
      <t>를 거부할 수 없다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</si>
  <si>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운전 자격 일체를 확인할 책임은 계약자에게 있다</t>
    </r>
    <r>
      <rPr>
        <sz val="8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</si>
  <si>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보험연령 변경 등으로 렌트료가 변동될 경우 해당 차량 최초 계약 당시 단가표 기준으로 산정한다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</si>
  <si>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③ 계약자 외의 자가 운행하여 발생한 사고는 보험사 약관에 따라 보험 보장이 거절될 수 있으며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이</t>
    </r>
  </si>
  <si>
    <r>
      <rPr>
        <sz val="8"/>
        <color rgb="FF2B2B2B"/>
        <rFont val="DejaVu Sans"/>
        <family val="2"/>
      </rPr>
      <t>⑤ 계약자가 가맹중인 배달플랫폼 본사와 회사 간의 제휴계약이 체결되어 있는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해당 배달플랫</t>
    </r>
  </si>
  <si>
    <r>
      <rPr>
        <sz val="8"/>
        <color rgb="FF2B2B2B"/>
        <rFont val="DejaVu Sans"/>
        <family val="2"/>
      </rPr>
      <t>폼사의 페이를 통하여 렌트료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과태료 등의 납부가 가능하다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다음 각 호에 해당하는 경우 플랫폼</t>
    </r>
  </si>
  <si>
    <r>
      <rPr>
        <sz val="8"/>
        <color rgb="FF2B2B2B"/>
        <rFont val="DejaVu Sans"/>
        <family val="2"/>
      </rPr>
      <t>일차감 프로그램은 즉시 중단되며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조 제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2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항에 따라 결제방법이 즉시 변경된다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</si>
  <si>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3"/>
        <charset val="129"/>
      </rPr>
      <t xml:space="preserve">   1. </t>
    </r>
    <r>
      <rPr>
        <sz val="8"/>
        <color rgb="FF2B2B2B"/>
        <rFont val="DejaVu Sans"/>
        <family val="2"/>
      </rPr>
      <t>계약자와 배달플랫폼사 간의 가맹계약이 종료된 경우</t>
    </r>
  </si>
  <si>
    <r>
      <rPr>
        <sz val="8"/>
        <color rgb="FF2B2B2B"/>
        <rFont val="DejaVu Sans"/>
        <family val="3"/>
        <charset val="129"/>
      </rPr>
      <t xml:space="preserve">   2. </t>
    </r>
    <r>
      <rPr>
        <sz val="8"/>
        <color rgb="FF2B2B2B"/>
        <rFont val="DejaVu Sans"/>
        <family val="2"/>
      </rPr>
      <t>배달플랫폼 본사와 회사 간의 제휴계약이 종료된 경우</t>
    </r>
  </si>
  <si>
    <r>
      <rPr>
        <sz val="8"/>
        <color rgb="FF2B2B2B"/>
        <rFont val="DejaVu Sans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DejaVu Sans"/>
        <family val="3"/>
        <charset val="129"/>
      </rPr>
      <t>72</t>
    </r>
    <r>
      <rPr>
        <sz val="8"/>
        <color rgb="FF2B2B2B"/>
        <rFont val="DejaVu Sans"/>
        <family val="2"/>
      </rPr>
      <t>시간 연속으로 회사가 요청하는 금액만큼 회사 계좌로 출금되지 아니</t>
    </r>
  </si>
  <si>
    <t xml:space="preserve">   한 경우</t>
  </si>
  <si>
    <r>
      <rPr>
        <sz val="8"/>
        <rFont val="DejaVu Sans"/>
        <family val="2"/>
      </rPr>
      <t>로 인한 모든 손해</t>
    </r>
    <r>
      <rPr>
        <sz val="8"/>
        <rFont val="DejaVu Sans"/>
        <family val="1"/>
        <charset val="129"/>
      </rPr>
      <t>·</t>
    </r>
    <r>
      <rPr>
        <sz val="8"/>
        <rFont val="DejaVu Sans"/>
        <family val="2"/>
      </rPr>
      <t>구상금</t>
    </r>
    <r>
      <rPr>
        <sz val="8"/>
        <rFont val="DejaVu Sans"/>
        <family val="1"/>
        <charset val="129"/>
      </rPr>
      <t>·</t>
    </r>
    <r>
      <rPr>
        <sz val="8"/>
        <rFont val="DejaVu Sans"/>
        <family val="2"/>
      </rPr>
      <t>차량 수리비</t>
    </r>
    <r>
      <rPr>
        <sz val="8"/>
        <rFont val="DejaVu Sans"/>
        <family val="1"/>
        <charset val="129"/>
      </rPr>
      <t>·</t>
    </r>
    <r>
      <rPr>
        <sz val="8"/>
        <rFont val="DejaVu Sans"/>
        <family val="2"/>
      </rPr>
      <t>과태료 등 일체는 계약자가 전적으로 부담한다</t>
    </r>
    <r>
      <rPr>
        <sz val="8"/>
        <rFont val="DejaVu Sans"/>
        <family val="1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</si>
  <si>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</si>
  <si>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④ 회사는 운전자의 신원</t>
    </r>
    <r>
      <rPr>
        <sz val="8"/>
        <rFont val="맑은 고딕"/>
        <family val="1"/>
        <charset val="129"/>
      </rPr>
      <t>·</t>
    </r>
    <r>
      <rPr>
        <sz val="8"/>
        <rFont val="DejaVu Sans"/>
        <family val="2"/>
      </rPr>
      <t>자격</t>
    </r>
    <r>
      <rPr>
        <sz val="8"/>
        <rFont val="맑은 고딕"/>
        <family val="1"/>
        <charset val="129"/>
      </rPr>
      <t>·</t>
    </r>
    <r>
      <rPr>
        <sz val="8"/>
        <rFont val="DejaVu Sans"/>
        <family val="2"/>
      </rPr>
      <t>연령</t>
    </r>
    <r>
      <rPr>
        <sz val="8"/>
        <rFont val="맑은 고딕"/>
        <family val="1"/>
        <charset val="129"/>
      </rPr>
      <t>·</t>
    </r>
    <r>
      <rPr>
        <sz val="8"/>
        <rFont val="DejaVu Sans"/>
        <family val="2"/>
      </rPr>
      <t>면허를 사전에 확인할 의무를 부담하지 아니한다</t>
    </r>
    <r>
      <rPr>
        <sz val="8"/>
        <rFont val="맑은 고딕"/>
        <family val="1"/>
        <charset val="129"/>
      </rPr>
      <t>.</t>
    </r>
  </si>
  <si>
    <r>
      <rPr>
        <sz val="8"/>
        <color rgb="FF2B2B2B"/>
        <rFont val="DejaVu Sans"/>
        <family val="2"/>
      </rPr>
      <t>① 계약자가 약정 금액을 기한 내 이행하지 않는 경우 위약금이 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회사 청구일로부</t>
    </r>
  </si>
  <si>
    <r>
      <rPr>
        <sz val="8"/>
        <color rgb="FF2B2B2B"/>
        <rFont val="DejaVu Sans"/>
        <family val="2"/>
      </rPr>
      <t xml:space="preserve">터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DejaVu Sans"/>
        <family val="2"/>
      </rPr>
      <t>일 이내에 지급한다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</si>
  <si>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보험 면책사고 및 구상금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</si>
  <si>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</si>
  <si>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① 보험사가 면책하거나 회사에 구상금을 청구하는 사고로서 다음 각 호에 해당하는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그 손해 일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</si>
  <si>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1"/>
        <charset val="1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</si>
  <si>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체는 계약자가 부담한다</t>
    </r>
    <r>
      <rPr>
        <sz val="8"/>
        <rFont val="DejaVu Sans"/>
        <family val="3"/>
        <charset val="129"/>
      </rPr>
      <t xml:space="preserve">: (1) </t>
    </r>
    <r>
      <rPr>
        <sz val="8"/>
        <rFont val="DejaVu Sans"/>
        <family val="2"/>
      </rPr>
      <t>고의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범죄 목적 운행 또는 도난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무단이용 중 사고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>무면허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음주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약물</t>
    </r>
    <r>
      <rPr>
        <sz val="8"/>
        <rFont val="DejaVu Sans"/>
        <family val="3"/>
        <charset val="129"/>
      </rPr>
      <t>·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</si>
  <si>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</si>
  <si>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보험연령 미달자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운전자 자격 미충족자의 운전</t>
    </r>
    <r>
      <rPr>
        <sz val="8"/>
        <rFont val="DejaVu Sans"/>
        <family val="3"/>
        <charset val="129"/>
      </rPr>
      <t>, (3) 12</t>
    </r>
    <r>
      <rPr>
        <sz val="8"/>
        <rFont val="DejaVu Sans"/>
        <family val="2"/>
      </rPr>
      <t>대 중과실</t>
    </r>
    <r>
      <rPr>
        <sz val="8"/>
        <rFont val="DejaVu Sans"/>
        <family val="3"/>
        <charset val="129"/>
      </rPr>
      <t>(</t>
    </r>
    <r>
      <rPr>
        <sz val="8"/>
        <rFont val="DejaVu Sans"/>
        <family val="2"/>
      </rPr>
      <t>교통사고처리 특례법상</t>
    </r>
    <r>
      <rPr>
        <sz val="8"/>
        <rFont val="DejaVu Sans"/>
        <family val="3"/>
        <charset val="129"/>
      </rPr>
      <t>)</t>
    </r>
    <r>
      <rPr>
        <sz val="8"/>
        <rFont val="DejaVu Sans"/>
        <family val="2"/>
      </rPr>
      <t>에 해당하는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</si>
  <si>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관련 비용은 계약</t>
    </r>
  </si>
  <si>
    <r>
      <rPr>
        <sz val="8"/>
        <rFont val="DejaVu Sans"/>
        <family val="2"/>
      </rPr>
      <t>사고</t>
    </r>
    <r>
      <rPr>
        <sz val="8"/>
        <rFont val="DejaVu Sans"/>
        <family val="3"/>
        <charset val="129"/>
      </rPr>
      <t xml:space="preserve">, (4) </t>
    </r>
    <r>
      <rPr>
        <sz val="8"/>
        <rFont val="DejaVu Sans"/>
        <family val="2"/>
      </rPr>
      <t>운전자 범위 위반 또는 요금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대가를 받고 이용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>경기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시범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연습용 등 비일상적 사용</t>
    </r>
    <r>
      <rPr>
        <sz val="8"/>
        <rFont val="DejaVu Sans"/>
        <family val="3"/>
        <charset val="129"/>
      </rPr>
      <t>, (6)</t>
    </r>
  </si>
  <si>
    <r>
      <rPr>
        <sz val="8"/>
        <color rgb="FF2B2B2B"/>
        <rFont val="DejaVu Sans"/>
        <family val="2"/>
      </rPr>
      <t>자가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</si>
  <si>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그 밖에 보험약관상 면책사항</t>
    </r>
    <r>
      <rPr>
        <sz val="8"/>
        <rFont val="DejaVu Sans"/>
        <family val="3"/>
        <charset val="129"/>
      </rPr>
      <t xml:space="preserve">, (7) </t>
    </r>
    <r>
      <rPr>
        <sz val="8"/>
        <rFont val="DejaVu Sans"/>
        <family val="2"/>
      </rPr>
      <t>자손사고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자차손해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대물 한도 초과분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대인배상Ⅱ 한도 초과분 등</t>
    </r>
  </si>
  <si>
    <r>
      <rPr>
        <sz val="8"/>
        <rFont val="DejaVu Sans"/>
        <family val="2"/>
      </rPr>
      <t xml:space="preserve"> 본 계약 책임보험으로 보장되지 않는 일체의 손해</t>
    </r>
    <r>
      <rPr>
        <sz val="8"/>
        <rFont val="DejaVu Sans"/>
        <family val="2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</si>
  <si>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계약의 해지 사유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</si>
  <si>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rFont val="DejaVu Sans"/>
        <family val="2"/>
      </rPr>
      <t>② 위 사유로 보험사가 회사에 구상금을 청구한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회사는 그 사실을 계약자에게 통보하며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계약자</t>
    </r>
  </si>
  <si>
    <r>
      <rPr>
        <sz val="8"/>
        <rFont val="DejaVu Sans"/>
        <family val="2"/>
      </rPr>
      <t>다음 각 호에 해당하는 경우 계약자는 사전 통지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최고 없이 기한이익을 상실하며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회사는 본 계약을</t>
    </r>
  </si>
  <si>
    <r>
      <rPr>
        <sz val="8"/>
        <rFont val="DejaVu Sans"/>
        <family val="2"/>
      </rPr>
      <t xml:space="preserve">는 통보 후 </t>
    </r>
    <r>
      <rPr>
        <sz val="8"/>
        <rFont val="DejaVu Sans"/>
        <family val="3"/>
        <charset val="129"/>
      </rPr>
      <t>7</t>
    </r>
    <r>
      <rPr>
        <sz val="8"/>
        <rFont val="DejaVu Sans"/>
        <family val="2"/>
      </rPr>
      <t>일 이내에 구상금 전액 및 회사가 그와 관련하여 지출한 변호사비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소송비 일체를 회사에</t>
    </r>
  </si>
  <si>
    <r>
      <rPr>
        <sz val="8"/>
        <rFont val="DejaVu Sans"/>
        <family val="2"/>
      </rPr>
      <t>해지하고 차량 인도를 청구할 수 있다</t>
    </r>
    <r>
      <rPr>
        <sz val="8"/>
        <rFont val="DejaVu Sans"/>
        <family val="3"/>
        <charset val="129"/>
      </rPr>
      <t xml:space="preserve">: (1) </t>
    </r>
    <r>
      <rPr>
        <sz val="8"/>
        <rFont val="DejaVu Sans"/>
        <family val="2"/>
      </rPr>
      <t>이륜차 무단 양도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전대 또는 보험 인정 사용자 이외의 자</t>
    </r>
  </si>
  <si>
    <r>
      <rPr>
        <sz val="8"/>
        <rFont val="DejaVu Sans"/>
        <family val="2"/>
      </rPr>
      <t>변제한다</t>
    </r>
    <r>
      <rPr>
        <sz val="8"/>
        <rFont val="DejaVu Sans"/>
        <family val="3"/>
        <charset val="129"/>
      </rPr>
      <t>.</t>
    </r>
  </si>
  <si>
    <r>
      <rPr>
        <sz val="8"/>
        <rFont val="DejaVu Sans"/>
        <family val="2"/>
      </rPr>
      <t>에게 사용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>보험연령 미달자 운전 사실 발견</t>
    </r>
    <r>
      <rPr>
        <sz val="8"/>
        <rFont val="DejaVu Sans"/>
        <family val="3"/>
        <charset val="129"/>
      </rPr>
      <t xml:space="preserve">, (3) </t>
    </r>
    <r>
      <rPr>
        <sz val="8"/>
        <rFont val="DejaVu Sans"/>
        <family val="2"/>
      </rPr>
      <t xml:space="preserve">정해진 입금일에 렌트료 미납 및 </t>
    </r>
    <r>
      <rPr>
        <sz val="8"/>
        <rFont val="DejaVu Sans"/>
        <family val="3"/>
        <charset val="129"/>
      </rPr>
      <t>7</t>
    </r>
    <r>
      <rPr>
        <sz val="8"/>
        <rFont val="DejaVu Sans"/>
        <family val="2"/>
      </rPr>
      <t>일 이상 지체</t>
    </r>
    <r>
      <rPr>
        <sz val="8"/>
        <rFont val="DejaVu Sans"/>
        <family val="3"/>
        <charset val="129"/>
      </rPr>
      <t>,</t>
    </r>
  </si>
  <si>
    <r>
      <rPr>
        <sz val="8"/>
        <rFont val="맑은 고딕"/>
        <family val="3"/>
        <charset val="129"/>
      </rPr>
      <t>③ 7</t>
    </r>
    <r>
      <rPr>
        <sz val="8"/>
        <rFont val="DejaVu Sans"/>
        <family val="2"/>
      </rPr>
      <t>일 이내 미변제 시 본 계약은 자동 해지되며 회사는 계약된 모든 차량을 즉시 회수한다</t>
    </r>
    <r>
      <rPr>
        <sz val="8"/>
        <rFont val="맑은 고딕"/>
        <family val="3"/>
        <charset val="129"/>
      </rPr>
      <t xml:space="preserve">. </t>
    </r>
    <r>
      <rPr>
        <sz val="8"/>
        <rFont val="DejaVu Sans"/>
        <family val="2"/>
      </rPr>
      <t>보증금은</t>
    </r>
  </si>
  <si>
    <r>
      <rPr>
        <sz val="8"/>
        <rFont val="DejaVu Sans"/>
        <family val="3"/>
        <charset val="129"/>
      </rPr>
      <t xml:space="preserve">(4) </t>
    </r>
    <r>
      <rPr>
        <sz val="8"/>
        <rFont val="DejaVu Sans"/>
        <family val="2"/>
      </rPr>
      <t>통지받은 수리비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과태료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 xml:space="preserve">구상금 등을 정당한 사유 없이 </t>
    </r>
    <r>
      <rPr>
        <sz val="8"/>
        <rFont val="DejaVu Sans"/>
        <family val="3"/>
        <charset val="129"/>
      </rPr>
      <t>5</t>
    </r>
    <r>
      <rPr>
        <sz val="8"/>
        <rFont val="DejaVu Sans"/>
        <family val="2"/>
      </rPr>
      <t>일 이내 미납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>무면허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음주운전 등 운</t>
    </r>
  </si>
  <si>
    <r>
      <rPr>
        <sz val="8"/>
        <rFont val="DejaVu Sans"/>
        <family val="2"/>
      </rPr>
      <t>반환하지 아니하며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>위약금 및 손해배상금은 별도로 청구한다</t>
    </r>
    <r>
      <rPr>
        <sz val="8"/>
        <rFont val="DejaVu Sans"/>
        <family val="3"/>
        <charset val="129"/>
      </rPr>
      <t>.</t>
    </r>
  </si>
  <si>
    <r>
      <rPr>
        <sz val="8"/>
        <rFont val="DejaVu Sans"/>
        <family val="2"/>
      </rPr>
      <t xml:space="preserve">전자 귀책 배상금 청구 후 </t>
    </r>
    <r>
      <rPr>
        <sz val="8"/>
        <rFont val="DejaVu Sans"/>
        <family val="2"/>
        <charset val="129"/>
      </rPr>
      <t>3</t>
    </r>
    <r>
      <rPr>
        <sz val="8"/>
        <rFont val="DejaVu Sans"/>
        <family val="2"/>
      </rPr>
      <t>일 이내 미납</t>
    </r>
    <r>
      <rPr>
        <sz val="8"/>
        <rFont val="DejaVu Sans"/>
        <family val="2"/>
        <charset val="129"/>
      </rPr>
      <t xml:space="preserve">, (6) </t>
    </r>
    <r>
      <rPr>
        <sz val="8"/>
        <rFont val="DejaVu Sans"/>
        <family val="2"/>
      </rPr>
      <t>제</t>
    </r>
    <r>
      <rPr>
        <sz val="8"/>
        <rFont val="DejaVu Sans"/>
        <family val="2"/>
        <charset val="129"/>
      </rPr>
      <t>3</t>
    </r>
    <r>
      <rPr>
        <sz val="8"/>
        <rFont val="DejaVu Sans"/>
        <family val="2"/>
      </rPr>
      <t>자 담보 제공 등 회사 소유권 침해 또는 차량 규격</t>
    </r>
    <r>
      <rPr>
        <sz val="8"/>
        <rFont val="DejaVu Sans"/>
        <family val="2"/>
        <charset val="129"/>
      </rPr>
      <t>·</t>
    </r>
    <r>
      <rPr>
        <sz val="8"/>
        <rFont val="DejaVu Sans"/>
        <family val="2"/>
      </rPr>
      <t>성</t>
    </r>
  </si>
  <si>
    <r>
      <rPr>
        <sz val="8"/>
        <rFont val="DejaVu Sans"/>
        <family val="2"/>
      </rPr>
      <t>④ 계약자가 회사를 면책시키지 못하여 회사가 직접 손해배상을 한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회사가 제</t>
    </r>
    <r>
      <rPr>
        <sz val="8"/>
        <rFont val="DejaVu Sans"/>
        <family val="1"/>
        <charset val="1"/>
      </rPr>
      <t>3</t>
    </r>
    <r>
      <rPr>
        <sz val="8"/>
        <rFont val="DejaVu Sans"/>
        <family val="2"/>
      </rPr>
      <t>자에게 지급한 금</t>
    </r>
  </si>
  <si>
    <r>
      <rPr>
        <sz val="8"/>
        <rFont val="DejaVu Sans"/>
        <family val="2"/>
      </rPr>
      <t>능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표지의 무단 변경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훼손</t>
    </r>
    <r>
      <rPr>
        <sz val="8"/>
        <rFont val="DejaVu Sans"/>
        <family val="3"/>
        <charset val="129"/>
      </rPr>
      <t xml:space="preserve">, (7) </t>
    </r>
    <r>
      <rPr>
        <sz val="8"/>
        <rFont val="DejaVu Sans"/>
        <family val="2"/>
      </rPr>
      <t>위치정보 장치 훼손</t>
    </r>
    <r>
      <rPr>
        <sz val="8"/>
        <rFont val="DejaVu Sans"/>
        <family val="3"/>
        <charset val="129"/>
      </rPr>
      <t>·</t>
    </r>
    <r>
      <rPr>
        <sz val="8"/>
        <rFont val="DejaVu Sans"/>
        <family val="2"/>
      </rPr>
      <t>은닉</t>
    </r>
    <r>
      <rPr>
        <sz val="8"/>
        <rFont val="DejaVu Sans"/>
        <family val="3"/>
        <charset val="129"/>
      </rPr>
      <t xml:space="preserve">, (8) </t>
    </r>
    <r>
      <rPr>
        <sz val="8"/>
        <rFont val="DejaVu Sans"/>
        <family val="2"/>
      </rPr>
      <t xml:space="preserve">보험사 구상금 통보 후 </t>
    </r>
    <r>
      <rPr>
        <sz val="8"/>
        <rFont val="DejaVu Sans"/>
        <family val="3"/>
        <charset val="129"/>
      </rPr>
      <t>7</t>
    </r>
    <r>
      <rPr>
        <sz val="8"/>
        <rFont val="DejaVu Sans"/>
        <family val="2"/>
      </rPr>
      <t>일 이내 미변제</t>
    </r>
    <r>
      <rPr>
        <sz val="8"/>
        <rFont val="DejaVu Sans"/>
        <family val="3"/>
        <charset val="129"/>
      </rPr>
      <t>,</t>
    </r>
  </si>
  <si>
    <r>
      <rPr>
        <sz val="8"/>
        <rFont val="DejaVu Sans"/>
        <family val="2"/>
      </rPr>
      <t>액과 관련 비용 일체를 즉시 회사에 상환한다</t>
    </r>
    <r>
      <rPr>
        <sz val="8"/>
        <rFont val="DejaVu Sans"/>
        <family val="3"/>
        <charset val="129"/>
      </rPr>
      <t>.</t>
    </r>
  </si>
  <si>
    <r>
      <rPr>
        <sz val="8"/>
        <rFont val="DejaVu Sans"/>
        <family val="3"/>
        <charset val="129"/>
      </rPr>
      <t xml:space="preserve">(9) </t>
    </r>
    <r>
      <rPr>
        <sz val="8"/>
        <rFont val="DejaVu Sans"/>
        <family val="2"/>
      </rPr>
      <t>사고 발생 시 고지 의무 위반</t>
    </r>
    <r>
      <rPr>
        <sz val="8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</si>
  <si>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</si>
  <si>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해지위약금 등의 부과방법</t>
    </r>
    <r>
      <rPr>
        <b/>
        <sz val="9"/>
        <color rgb="FF1F4E89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</si>
  <si>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사고 발생 시 계약자는 지정 수리센터로 입고하여 수리를 받으며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관계 법령 및 보험계약상의 절차</t>
    </r>
  </si>
  <si>
    <r>
      <rPr>
        <sz val="8"/>
        <rFont val="DejaVu Sans"/>
        <family val="2"/>
      </rPr>
      <t>① 위약금 산식</t>
    </r>
    <r>
      <rPr>
        <sz val="8"/>
        <rFont val="DejaVu Sans"/>
        <family val="1"/>
        <charset val="1"/>
      </rPr>
      <t xml:space="preserve">: </t>
    </r>
    <r>
      <rPr>
        <sz val="8"/>
        <rFont val="DejaVu Sans"/>
        <family val="2"/>
      </rPr>
      <t xml:space="preserve">위약금 </t>
    </r>
    <r>
      <rPr>
        <sz val="8"/>
        <rFont val="DejaVu Sans"/>
        <family val="1"/>
        <charset val="1"/>
      </rPr>
      <t xml:space="preserve">= </t>
    </r>
    <r>
      <rPr>
        <sz val="8"/>
        <rFont val="DejaVu Sans"/>
        <family val="2"/>
      </rPr>
      <t xml:space="preserve">보증금 </t>
    </r>
    <r>
      <rPr>
        <sz val="8"/>
        <rFont val="DejaVu Sans"/>
        <family val="1"/>
        <charset val="1"/>
      </rPr>
      <t>+ (</t>
    </r>
    <r>
      <rPr>
        <sz val="8"/>
        <rFont val="DejaVu Sans"/>
        <family val="2"/>
      </rPr>
      <t xml:space="preserve">잔여기간에 대한 총 렌트료 </t>
    </r>
    <r>
      <rPr>
        <sz val="8"/>
        <rFont val="DejaVu Sans"/>
        <family val="1"/>
        <charset val="1"/>
      </rPr>
      <t>× 20%).</t>
    </r>
  </si>
  <si>
    <r>
      <rPr>
        <sz val="8"/>
        <color rgb="FF2B2B2B"/>
        <rFont val="DejaVu Sans"/>
        <family val="2"/>
      </rPr>
      <t>에 따라 사고를 처리한다</t>
    </r>
    <r>
      <rPr>
        <sz val="8"/>
        <color rgb="FF2B2B2B"/>
        <rFont val="DejaVu Sans"/>
        <family val="2"/>
        <charset val="129"/>
      </rPr>
      <t>.</t>
    </r>
  </si>
  <si>
    <r>
      <rPr>
        <sz val="8"/>
        <rFont val="DejaVu Sans"/>
        <family val="2"/>
      </rPr>
      <t>계약자는 위약금을 계약 해지일까지 회사에 지급한다</t>
    </r>
    <r>
      <rPr>
        <sz val="8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</si>
  <si>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② 렌트 기간 중 미수선처리는 불가하다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</si>
  <si>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rFont val="DejaVu Sans"/>
        <family val="2"/>
      </rPr>
      <t>② 보증금은 어떠한 경우에도 반환하지 아니하며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>위약금</t>
    </r>
    <r>
      <rPr>
        <sz val="8"/>
        <rFont val="DejaVu Sans"/>
        <family val="1"/>
        <charset val="1"/>
      </rPr>
      <t>·</t>
    </r>
    <r>
      <rPr>
        <sz val="8"/>
        <rFont val="DejaVu Sans"/>
        <family val="2"/>
      </rPr>
      <t>손해배상금은 별도로 청구한다</t>
    </r>
    <r>
      <rPr>
        <sz val="8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</si>
  <si>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③ 회사는 차량 가치 감가하락의 대가로 지급되는 격락손해금을 계약 만기 시 지급한다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렌트료 미</t>
    </r>
  </si>
  <si>
    <r>
      <rPr>
        <sz val="8"/>
        <color rgb="FF2B2B2B"/>
        <rFont val="DejaVu Sans"/>
        <family val="2"/>
      </rPr>
      <t>③ 반환된 이륜차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부착물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</si>
  <si>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>납이 없는 경우에 한한다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</si>
  <si>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DejaVu Sans"/>
        <family val="2"/>
      </rPr>
      <t>일 이내에 지급하여야 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</si>
  <si>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계약자의 책임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</si>
  <si>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</si>
  <si>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계약자가 운행 중 발생하는 모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</si>
  <si>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</si>
  <si>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든 사고에 대한 책임을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</si>
  <si>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형사</t>
    </r>
  </si>
  <si>
    <r>
      <rPr>
        <sz val="8"/>
        <color rgb="FF2B2B2B"/>
        <rFont val="DejaVu Sans"/>
        <family val="2"/>
      </rPr>
      <t>② 계약자는 계약기간 중 임의로 부착물을 추가하거나 이륜차 구조를 변경할 수 없다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</si>
  <si>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상 어떠한 이의도 제기할 수 없다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회수 비용 일체는 계약자가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</si>
  <si>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③ 본 계약 차량의 소유권은 회사에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본인이 차량을 직접 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운행하는 한도에서 사</t>
    </r>
  </si>
  <si>
    <r>
      <rPr>
        <sz val="8"/>
        <color rgb="FF2B2B2B"/>
        <rFont val="DejaVu Sans"/>
        <family val="2"/>
      </rPr>
      <t>③ 계약자는 계약 해지일부터 이륜차 최종 반환일까지의 손해배상금을 회사에 지급한다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</si>
  <si>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용수익권 및 운행이익권을 가진다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계약자는 이륜차를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전대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담보 제공할 수 없다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</si>
  <si>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>계약이 해지된 경우 즉시 운행을 중단하고 이륜차를 반환한다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</si>
  <si>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</si>
  <si>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④ 계약자는 본 계약 차량 운행에 필요한 자격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DejaVu Sans"/>
        <family val="2"/>
      </rPr>
      <t>보험연령 충족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약물 미복용 등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DejaVu Sans"/>
        <family val="2"/>
      </rPr>
      <t>을 갖추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</si>
  <si>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만료 후 임의 운행으로 발생하는 사</t>
    </r>
  </si>
  <si>
    <r>
      <rPr>
        <sz val="8"/>
        <color rgb="FF2B2B2B"/>
        <rFont val="DejaVu Sans"/>
        <family val="2"/>
      </rPr>
      <t>어야 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위반으로 발생한 사고 손해 일체를 부담한다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</si>
  <si>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고에 회사는 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</si>
  <si>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자가 이륜차에 대해 권리를 주장하거나 강제집행 등으로 회사 소유권을 침해할 위험이 있는 경</t>
    </r>
  </si>
  <si>
    <r>
      <rPr>
        <sz val="8"/>
        <color rgb="FF2B2B2B"/>
        <rFont val="DejaVu Sans"/>
        <family val="2"/>
      </rPr>
      <t>계약자는 회사의 소유임을 주장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입증하고 즉시 회사에 통지한다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</si>
  <si>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⑥ 계약자는 인도일부터 반환일까지 이륜차의 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훼손에 대한 책임을 부담하며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자비로 원상복</t>
    </r>
  </si>
  <si>
    <r>
      <rPr>
        <sz val="8"/>
        <color rgb="FF2B2B2B"/>
        <rFont val="DejaVu Sans"/>
        <family val="2"/>
      </rPr>
      <t>③ 인수형 계약에서 명의이전 시 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등록세는 계약자가 부담하며 신고는 회사가 대행한다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</si>
  <si>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구하거나 동일 모델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사양으로 교체한다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</si>
  <si>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④ 인수형 계약에 미납금이 있는 경우 만료일까지 전액 완납되어야 인수가 가능하다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만료일이후 </t>
    </r>
    <r>
      <rPr>
        <sz val="8"/>
        <color rgb="FF2B2B2B"/>
        <rFont val="DejaVu Sans"/>
        <family val="1"/>
        <charset val="1"/>
      </rPr>
      <t>D+</t>
    </r>
  </si>
  <si>
    <r>
      <rPr>
        <sz val="8"/>
        <color rgb="FF2B2B2B"/>
        <rFont val="DejaVu Sans"/>
        <family val="1"/>
        <charset val="129"/>
      </rPr>
      <t>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DejaVu Sans"/>
        <family val="1"/>
        <charset val="129"/>
      </rPr>
      <t>, D+15</t>
    </r>
    <r>
      <rPr>
        <sz val="8"/>
        <color rgb="FF2B2B2B"/>
        <rFont val="DejaVu Sans"/>
        <family val="2"/>
      </rPr>
      <t>일까지 미완납 시 계약자는 기한이익을 상실하며 회사</t>
    </r>
  </si>
  <si>
    <r>
      <rPr>
        <sz val="8"/>
        <color rgb="FF2B2B2B"/>
        <rFont val="DejaVu Sans"/>
        <family val="2"/>
      </rPr>
      <t>는 차량을 자체 처분할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</si>
  <si>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⑤ 반납형 계약은 만료일 익일에 이륜차를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회사는 수리견적에 따라 수리비를 보증금에서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</si>
  <si>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</si>
  <si>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차감하고 잔액 지급 또는 초과분 청구한다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</si>
  <si>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계약자는 회사의 사전 승인 없이 본 계약상 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</si>
  <si>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영업상황 등 필요 정보를 제공하며</t>
    </r>
    <r>
      <rPr>
        <sz val="8"/>
        <color rgb="FF2B2B2B"/>
        <rFont val="DejaVu Sans"/>
        <family val="1"/>
        <charset val="1"/>
      </rPr>
      <t>,</t>
    </r>
  </si>
  <si>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</si>
  <si>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렌트료 지급의무 및 기타 채무를 계속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</si>
  <si>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</si>
  <si>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이행한다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</si>
  <si>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회사는 납기일 기준으로 먼저 도래</t>
    </r>
  </si>
  <si>
    <r>
      <rPr>
        <sz val="8"/>
        <color rgb="FF2B2B2B"/>
        <rFont val="DejaVu Sans"/>
        <family val="2"/>
      </rPr>
      <t>④ 계약이관을 위해서는 렌트료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과태료 등 일체의 미납금이 없어야 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승계받을 제</t>
    </r>
    <r>
      <rPr>
        <sz val="8"/>
        <color rgb="FF2B2B2B"/>
        <rFont val="DejaVu Sans"/>
        <family val="1"/>
        <charset val="1"/>
      </rPr>
      <t>3</t>
    </r>
  </si>
  <si>
    <r>
      <rPr>
        <sz val="8"/>
        <color rgb="FF2B2B2B"/>
        <rFont val="DejaVu Sans"/>
        <family val="2"/>
      </rPr>
      <t>한 채무액부터 우선 충당한다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</si>
  <si>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</si>
  <si>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DejaVu Sans"/>
        <family val="1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</si>
  <si>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</si>
  <si>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</si>
  <si>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이</t>
    </r>
  </si>
  <si>
    <r>
      <rPr>
        <sz val="8"/>
        <color rgb="FF2B2B2B"/>
        <rFont val="DejaVu Sans"/>
        <family val="2"/>
      </rPr>
      <t>를 인지하고 동의한다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</si>
  <si>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현금영수증을 발급한다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모든 대금의 수납 업무는 포어스바이크 유한회사가 대행한다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</si>
  <si>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② 계약자는 본 계약 차량 운행 전 기간에 대하여 위치정보 수집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제공의 적법성을 확보할 책임을</t>
    </r>
  </si>
  <si>
    <r>
      <rPr>
        <sz val="8"/>
        <color rgb="FF2B2B2B"/>
        <rFont val="DejaVu Sans"/>
        <family val="2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과태료에 대해 계약자가 전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</si>
  <si>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1"/>
        <charset val="1"/>
      </rPr>
      <t>5</t>
    </r>
    <r>
      <rPr>
        <sz val="8"/>
        <color rgb="FF2B2B2B"/>
        <rFont val="DejaVu Sans"/>
        <family val="2"/>
      </rPr>
      <t>일까지 회사에 통지한다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</si>
  <si>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적으로 책임진다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</si>
  <si>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</si>
  <si>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</si>
  <si>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계약과 관련하여 분쟁이 발생하는 경우 수원지방</t>
    </r>
  </si>
  <si>
    <r>
      <rPr>
        <sz val="8"/>
        <color rgb="FF2B2B2B"/>
        <rFont val="DejaVu Sans"/>
        <family val="2"/>
      </rPr>
      <t>법원을 전속 관할 법원으로 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</si>
  <si>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기능의 임의 변경 또는 번호판 훼손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자에게 담보 제공 등 회사 소유권 침해 행위</t>
    </r>
    <r>
      <rPr>
        <sz val="8"/>
        <color rgb="FF2B2B2B"/>
        <rFont val="DejaVu Sans"/>
        <family val="3"/>
        <charset val="129"/>
      </rPr>
      <t>,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</si>
  <si>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3"/>
        <charset val="129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3"/>
        <charset val="129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3"/>
        <charset val="129"/>
      </rPr>
      <t>)</t>
    </r>
  </si>
  <si>
    <r>
      <rPr>
        <sz val="8"/>
        <color rgb="FF2B2B2B"/>
        <rFont val="DejaVu Sans"/>
        <family val="3"/>
        <charset val="129"/>
      </rPr>
      <t xml:space="preserve">(5) </t>
    </r>
    <r>
      <rPr>
        <sz val="8"/>
        <color rgb="FF2B2B2B"/>
        <rFont val="DejaVu Sans"/>
        <family val="2"/>
      </rPr>
      <t>이륜차 부착 표지 또는 위치정보 수집 장치의 훼손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은닉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위치 변경 등 본래의 효용을 해하는 행위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</si>
  <si>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계약 만료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해지로 이륜차가 회사에 반환된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다음 기준에 따라 감가액을 산정한다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>커</t>
    </r>
  </si>
  <si>
    <r>
      <rPr>
        <sz val="8"/>
        <color rgb="FF2B2B2B"/>
        <rFont val="DejaVu Sans"/>
        <family val="2"/>
      </rPr>
      <t>버류 교체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4%, (2) </t>
    </r>
    <r>
      <rPr>
        <sz val="8"/>
        <color rgb="FF2B2B2B"/>
        <rFont val="DejaVu Sans"/>
        <family val="2"/>
      </rPr>
      <t>차대 교체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6%, (3) </t>
    </r>
    <r>
      <rPr>
        <sz val="8"/>
        <color rgb="FF2B2B2B"/>
        <rFont val="DejaVu Sans"/>
        <family val="2"/>
      </rPr>
      <t>도장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판금 작업 필요 시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</si>
  <si>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</si>
  <si>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1"/>
        <charset val="129"/>
      </rPr>
      <t>30~50</t>
    </r>
    <r>
      <rPr>
        <sz val="8"/>
        <color rgb="FF2B2B2B"/>
        <rFont val="DejaVu Sans"/>
        <family val="2"/>
      </rPr>
      <t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>.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</si>
  <si>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이륜차 인수일부터 반환일까지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자가 회사를 상대로 인적</t>
    </r>
    <r>
      <rPr>
        <sz val="8"/>
        <color rgb="FF2B2B2B"/>
        <rFont val="DejaVu Sans"/>
        <family val="1"/>
        <charset val="1"/>
      </rPr>
      <t>·</t>
    </r>
  </si>
  <si>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책임으로 회사를 면책시킨다</t>
    </r>
    <r>
      <rPr>
        <sz val="8"/>
        <color rgb="FF2B2B2B"/>
        <rFont val="맑은 고딕"/>
        <family val="3"/>
        <charset val="129"/>
      </rPr>
      <t>.</t>
    </r>
  </si>
  <si>
    <t>② 회사가 소유자라는 이유로 직접 손해배상한 경우 계약자는 회사가 지급한 금액과 관련 제비용을 즉</t>
  </si>
  <si>
    <t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</si>
  <si>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>시 상환한다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</si>
  <si>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3"/>
        <charset val="129"/>
      </rPr>
      <t xml:space="preserve">A/S </t>
    </r>
    <r>
      <rPr>
        <sz val="8"/>
        <color rgb="FF2B2B2B"/>
        <rFont val="DejaVu Sans"/>
        <family val="2"/>
      </rPr>
      <t>정책에 따르며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처리 과정에서 발생하는 비용 및 손해는 회사가 책임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</si>
  <si>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</si>
  <si>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지지 아니하고 이로 인하여 계약자의 렌트료 지급의무에는 영향을 미치지 않는다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</si>
  <si>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3"/>
        <charset val="129"/>
      </rPr>
      <t xml:space="preserve">A/S </t>
    </r>
    <r>
      <rPr>
        <sz val="8"/>
        <color rgb="FF2B2B2B"/>
        <rFont val="DejaVu Sans"/>
        <family val="2"/>
      </rPr>
      <t>처리를 사유로 차량의 교체 또는 반납을 요구할 수 없다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</si>
  <si>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2"/>
        <charset val="1"/>
      </rPr>
      <t>.</t>
    </r>
  </si>
  <si>
    <t>구상금 관련 특약 확인서</t>
  </si>
  <si>
    <r>
      <rPr>
        <i/>
        <sz val="10"/>
        <color rgb="FF6B7280"/>
        <rFont val="DejaVu Sans"/>
        <family val="2"/>
      </rPr>
      <t>본 별지는 이륜차 책임렌트 계약에 부속되며 본 계약서 본문과 동일한 효력을 가집니다</t>
    </r>
    <r>
      <rPr>
        <i/>
        <sz val="10"/>
        <color rgb="FF6B7280"/>
        <rFont val="DejaVu Sans"/>
        <family val="2"/>
        <charset val="1"/>
      </rPr>
      <t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</si>
  <si>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구상금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아래 내용 전부에 동의합니다</t>
    </r>
    <r>
      <rPr>
        <sz val="10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</si>
  <si>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1</t>
    </r>
    <r>
      <rPr>
        <b/>
        <sz val="12"/>
        <color rgb="FF0F172A"/>
        <rFont val="DejaVu Sans"/>
        <family val="2"/>
      </rPr>
      <t>조  구상금의 정의</t>
    </r>
  </si>
  <si>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구상금</t>
    </r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>3</t>
    </r>
    <r>
      <rPr>
        <sz val="9"/>
        <color rgb="FF111111"/>
        <rFont val="DejaVu Sans"/>
        <family val="2"/>
      </rPr>
      <t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>원금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지연이자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소송비용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</si>
  <si>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2</t>
    </r>
    <r>
      <rPr>
        <b/>
        <sz val="12"/>
        <color rgb="FF0F172A"/>
        <rFont val="DejaVu Sans"/>
        <family val="2"/>
      </rPr>
      <t>조  구상금이 발생하는 주요 사유</t>
    </r>
  </si>
  <si>
    <r>
      <rPr>
        <sz val="9"/>
        <color rgb="FF111111"/>
        <rFont val="DejaVu Sans"/>
        <family val="2"/>
      </rPr>
      <t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>.</t>
    </r>
  </si>
  <si>
    <t>①</t>
  </si>
  <si>
    <r>
      <rPr>
        <sz val="9"/>
        <color rgb="FF111111"/>
        <rFont val="DejaVu Sans"/>
        <family val="2"/>
      </rPr>
      <t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보험사가 회사에 청구하는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</si>
  <si>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②</t>
  </si>
  <si>
    <t>사고 미고지 위반</t>
  </si>
  <si>
    <r>
      <rPr>
        <sz val="9"/>
        <color rgb="FF111111"/>
        <rFont val="DejaVu Sans"/>
        <family val="2"/>
      </rPr>
      <t>사고 발생 시 즉시 회사에 고지하지 아니하거나 지연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>.</t>
    </r>
  </si>
  <si>
    <t>③</t>
  </si>
  <si>
    <r>
      <rPr>
        <sz val="9"/>
        <color rgb="FF111111"/>
        <rFont val="DejaVu Sans"/>
        <family val="2"/>
      </rPr>
      <t>보험연령 미달자가 본 차량을 운행하여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손해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회사의 신원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연령 확인 여부와 관계없이 계약자가 책임진다</t>
    </r>
    <r>
      <rPr>
        <sz val="9"/>
        <color rgb="FF111111"/>
        <rFont val="DejaVu Sans"/>
        <family val="2"/>
        <charset val="1"/>
      </rPr>
      <t>.</t>
    </r>
  </si>
  <si>
    <t>④</t>
  </si>
  <si>
    <r>
      <rPr>
        <b/>
        <sz val="9"/>
        <color rgb="FF991B1B"/>
        <rFont val="맑은 고딕"/>
        <family val="3"/>
        <charset val="129"/>
      </rPr>
      <t>12</t>
    </r>
    <r>
      <rPr>
        <b/>
        <sz val="9"/>
        <color rgb="FF991B1B"/>
        <rFont val="DejaVu Sans"/>
        <family val="2"/>
      </rPr>
      <t>대 중과실</t>
    </r>
    <r>
      <rPr>
        <b/>
        <sz val="9"/>
        <color rgb="FF991B1B"/>
        <rFont val="맑은 고딕"/>
        <family val="3"/>
        <charset val="129"/>
      </rPr>
      <t>·</t>
    </r>
    <r>
      <rPr>
        <b/>
        <sz val="9"/>
        <color rgb="FF991B1B"/>
        <rFont val="DejaVu Sans"/>
        <family val="2"/>
      </rPr>
      <t>면책사고</t>
    </r>
  </si>
  <si>
    <r>
      <rPr>
        <sz val="9"/>
        <color rgb="FF111111"/>
        <rFont val="DejaVu Sans"/>
        <family val="2"/>
      </rPr>
      <t>신호위반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>12</t>
    </r>
    <r>
      <rPr>
        <sz val="9"/>
        <color rgb="FF111111"/>
        <rFont val="DejaVu Sans"/>
        <family val="2"/>
      </rPr>
      <t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</si>
  <si>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⑤</t>
  </si>
  <si>
    <r>
      <rPr>
        <b/>
        <sz val="9"/>
        <color rgb="FF991B1B"/>
        <rFont val="DejaVu Sans"/>
        <family val="2"/>
      </rPr>
      <t>무면허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음주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약물 운전</t>
    </r>
  </si>
  <si>
    <r>
      <rPr>
        <sz val="9"/>
        <color rgb="FF111111"/>
        <rFont val="DejaVu Sans"/>
        <family val="2"/>
      </rPr>
      <t>무면허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음주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계약자가 전적으로 책임진다</t>
    </r>
    <r>
      <rPr>
        <sz val="9"/>
        <color rgb="FF111111"/>
        <rFont val="DejaVu Sans"/>
        <family val="2"/>
        <charset val="1"/>
      </rPr>
      <t>.</t>
    </r>
  </si>
  <si>
    <t>⑥</t>
  </si>
  <si>
    <t>보험 보장 한도 초과</t>
  </si>
  <si>
    <r>
      <rPr>
        <sz val="9"/>
        <color rgb="FF111111"/>
        <rFont val="DejaVu Sans"/>
        <family val="2"/>
      </rPr>
      <t>대물배상 한도 초과분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</si>
  <si>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3</t>
    </r>
    <r>
      <rPr>
        <b/>
        <sz val="12"/>
        <color rgb="FF0F172A"/>
        <rFont val="DejaVu Sans"/>
        <family val="2"/>
      </rPr>
      <t>조  구상금의 변제 기한</t>
    </r>
  </si>
  <si>
    <r>
      <rPr>
        <sz val="9"/>
        <color rgb="FF111111"/>
        <rFont val="DejaVu Sans"/>
        <family val="2"/>
      </rPr>
      <t>회사가 보험사 또는 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>7</t>
    </r>
    <r>
      <rPr>
        <sz val="9"/>
        <color rgb="FF111111"/>
        <rFont val="DejaVu Sans"/>
        <family val="2"/>
      </rPr>
      <t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계약자는 구상금 전액 및 회사가 지출한 변호사비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소송비 일체를 회사에 변제하여야 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</si>
  <si>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4</t>
    </r>
    <r>
      <rPr>
        <b/>
        <sz val="12"/>
        <color rgb="FF0F172A"/>
        <rFont val="DejaVu Sans"/>
        <family val="2"/>
      </rPr>
      <t>조  미변제 시 즉시 처리</t>
    </r>
  </si>
  <si>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>.</t>
    </r>
  </si>
  <si>
    <t>차량 즉시 회수</t>
  </si>
  <si>
    <r>
      <rPr>
        <sz val="9"/>
        <color rgb="FF111111"/>
        <rFont val="DejaVu Sans"/>
        <family val="2"/>
      </rPr>
      <t>회수에 소요된 일체의 비용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출장비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운송비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원상복구비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은 계약자가 부담한다</t>
    </r>
    <r>
      <rPr>
        <sz val="9"/>
        <color rgb="FF111111"/>
        <rFont val="DejaVu Sans"/>
        <family val="2"/>
        <charset val="1"/>
      </rPr>
      <t>.</t>
    </r>
  </si>
  <si>
    <t>보증금 전액 미반환</t>
  </si>
  <si>
    <r>
      <rPr>
        <sz val="9"/>
        <color rgb="FF111111"/>
        <rFont val="DejaVu Sans"/>
        <family val="2"/>
      </rPr>
      <t>어떠한 사유로도 보증금은 반환되지 아니한다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</si>
  <si>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위약금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</si>
  <si>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손해배상금도 별도 청구한다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</si>
  <si>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 xml:space="preserve">연 </t>
    </r>
    <r>
      <rPr>
        <b/>
        <sz val="9"/>
        <color rgb="FF991B1B"/>
        <rFont val="DejaVu Sans"/>
        <family val="2"/>
        <charset val="1"/>
      </rPr>
      <t xml:space="preserve">15% </t>
    </r>
    <r>
      <rPr>
        <b/>
        <sz val="9"/>
        <color rgb="FF991B1B"/>
        <rFont val="DejaVu Sans"/>
        <family val="2"/>
      </rPr>
      <t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</si>
  <si>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>15%</t>
    </r>
    <r>
      <rPr>
        <sz val="9"/>
        <color rgb="FF111111"/>
        <rFont val="DejaVu Sans"/>
        <family val="2"/>
      </rPr>
      <t>의 지연손해금을 변제일까지 가산한다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</si>
  <si>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신용정보 등록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채권추심</t>
    </r>
  </si>
  <si>
    <r>
      <rPr>
        <sz val="9"/>
        <color rgb="FF111111"/>
        <rFont val="DejaVu Sans"/>
        <family val="2"/>
      </rPr>
      <t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>.</t>
    </r>
  </si>
  <si>
    <t>계열사 계약 동시 해지</t>
  </si>
  <si>
    <r>
      <rPr>
        <sz val="9"/>
        <color rgb="FF111111"/>
        <rFont val="DejaVu Sans"/>
        <family val="2"/>
      </rPr>
      <t>회사 또는 계열사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한국모터사이클리스 유한회사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>.</t>
    </r>
  </si>
  <si>
    <t>⑦</t>
  </si>
  <si>
    <r>
      <rPr>
        <b/>
        <sz val="9"/>
        <color rgb="FF991B1B"/>
        <rFont val="DejaVu Sans"/>
        <family val="2"/>
      </rPr>
      <t>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형사상 법적 조치</t>
    </r>
  </si>
  <si>
    <r>
      <rPr>
        <sz val="9"/>
        <color rgb="FF111111"/>
        <rFont val="DejaVu Sans"/>
        <family val="2"/>
      </rPr>
      <t>계약자에 대하여 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형사상 모든 법적 조치를 취할 수 있다</t>
    </r>
    <r>
      <rPr>
        <sz val="9"/>
        <color rgb="FF111111"/>
        <rFont val="DejaVu Sans"/>
        <family val="2"/>
        <charset val="1"/>
      </rPr>
      <t>.</t>
    </r>
  </si>
  <si>
    <r>
      <rPr>
        <sz val="9"/>
        <color rgb="FF111111"/>
        <rFont val="DejaVu Sans"/>
        <family val="2"/>
      </rPr>
      <t>본인은 위 특약 내용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4</t>
    </r>
    <r>
      <rPr>
        <sz val="9"/>
        <color rgb="FF111111"/>
        <rFont val="DejaVu Sans"/>
        <family val="2"/>
      </rPr>
      <t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본 특약에 동의함을 확인합니다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</si>
  <si>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1"/>
        <color rgb="FF111111"/>
        <rFont val="맑은 고딕"/>
        <family val="3"/>
        <charset val="129"/>
      </rPr>
      <t>(</t>
    </r>
    <r>
      <rPr>
        <b/>
        <sz val="11"/>
        <color rgb="FF111111"/>
        <rFont val="DejaVu Sans"/>
        <family val="2"/>
      </rPr>
      <t>인</t>
    </r>
    <r>
      <rPr>
        <b/>
        <sz val="11"/>
        <color rgb="FF111111"/>
        <rFont val="맑은 고딕"/>
        <family val="3"/>
        <charset val="129"/>
      </rPr>
      <t>)</t>
    </r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</si>
  <si>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  <charset val="1"/>
      </rPr>
      <t xml:space="preserve">)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사전동의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phoneticPr fontId="69" type="noConversion"/>
  </si>
  <si>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7일까지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69" type="noConversion"/>
  </si>
  <si>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손해(대물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초과분·대인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등)는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69" type="noConversion"/>
  </si>
  <si>
    <r>
      <rPr>
        <sz val="8"/>
        <color rgb="FF2B2B2B"/>
        <rFont val="맑은 고딕"/>
        <family val="3"/>
        <charset val="129"/>
      </rPr>
      <t>한다. 보험료는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납부한다.</t>
    </r>
    <phoneticPr fontId="69" type="noConversion"/>
  </si>
  <si>
    <t>제28조 (제조사 A/S 및 차량 하자)</t>
    <phoneticPr fontId="6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</si>
  <si>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phoneticPr fontId="6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</si>
  <si>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</t>
    </r>
    <r>
      <rPr>
        <sz val="8"/>
        <color rgb="FF2B2B2B"/>
        <rFont val="DejaVu Sans"/>
        <family val="1"/>
      </rPr>
      <t>하며, 통지의무 해</t>
    </r>
    <phoneticPr fontId="69" type="noConversion"/>
  </si>
  <si>
    <r>
      <rPr>
        <sz val="8"/>
        <color rgb="FF2B2B2B"/>
        <rFont val="맑은 고딕"/>
        <family val="3"/>
        <charset val="129"/>
      </rPr>
      <t>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6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</si>
  <si>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반납에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69" type="noConversion"/>
  </si>
  <si>
    <r>
      <t>제7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1"/>
        <charset val="129"/>
      </rPr>
      <t>.</t>
    </r>
    <phoneticPr fontId="6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</si>
  <si>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  <charset val="1"/>
      </rPr>
      <t xml:space="preserve">: (1)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</t>
    </r>
    <phoneticPr fontId="69" type="noConversion"/>
  </si>
  <si>
    <r>
      <rPr>
        <sz val="8"/>
        <color rgb="FF2B2B2B"/>
        <rFont val="맑은 고딕"/>
        <family val="3"/>
        <charset val="129"/>
      </rPr>
      <t>판 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</si>
  <si>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소유자이나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자동차손해배상보장법상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운행지배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운행이익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따라서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이로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</si>
  <si>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인지할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단독사고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파손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도난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멸실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</t>
    </r>
    <r>
      <rPr>
        <b/>
        <sz val="8"/>
        <color rgb="FFC00000"/>
        <rFont val="DejaVu Sans"/>
        <family val="3"/>
        <charset val="129"/>
      </rPr>
      <t xml:space="preserve">)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보험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미보장분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추가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</si>
  <si>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이상의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운전자만이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운행해야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확인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여부와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관계없이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보험사로부터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청구받는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</si>
  <si>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신호위반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중앙선침범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무면허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음주운전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면책사항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고의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약물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범죄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범위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도난중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</si>
  <si>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이란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제</t>
    </r>
    <r>
      <rPr>
        <b/>
        <sz val="8"/>
        <color rgb="FFC00000"/>
        <rFont val="DejaVu Sans"/>
        <family val="3"/>
        <charset val="129"/>
      </rPr>
      <t>3</t>
    </r>
    <r>
      <rPr>
        <b/>
        <sz val="8"/>
        <color rgb="FFC00000"/>
        <rFont val="맑은 고딕"/>
        <family val="3"/>
        <charset val="129"/>
      </rPr>
      <t>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말합니다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DejaVu Sans"/>
        <family val="3"/>
        <charset val="129"/>
      </rPr>
      <t>·12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면책사고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보장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초과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통보일로부터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그와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관련하여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지출한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변호사비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소송비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</si>
  <si>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최고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(1)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임의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소요된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출장비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운송비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원상복구비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DejaVu Sans"/>
        <family val="3"/>
        <charset val="129"/>
      </rPr>
      <t xml:space="preserve">, (2) </t>
    </r>
    <r>
      <rPr>
        <b/>
        <sz val="8"/>
        <color rgb="FFC00000"/>
        <rFont val="맑은 고딕"/>
        <family val="3"/>
        <charset val="129"/>
      </rPr>
      <t>보증금은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반환하지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아니하고</t>
    </r>
    <r>
      <rPr>
        <b/>
        <sz val="8"/>
        <color rgb="FFC00000"/>
        <rFont val="DejaVu Sans"/>
        <family val="3"/>
        <charset val="129"/>
      </rPr>
      <t xml:space="preserve">, (3) </t>
    </r>
    <r>
      <rPr>
        <b/>
        <sz val="8"/>
        <color rgb="FFC00000"/>
        <rFont val="맑은 고딕"/>
        <family val="3"/>
        <charset val="129"/>
      </rPr>
      <t>위약금</t>
    </r>
    <r>
      <rPr>
        <b/>
        <sz val="8"/>
        <color rgb="FFC00000"/>
        <rFont val="DejaVu Sans"/>
        <family val="3"/>
        <charset val="129"/>
      </rPr>
      <t>[</t>
    </r>
    <r>
      <rPr>
        <b/>
        <sz val="8"/>
        <color rgb="FFC00000"/>
        <rFont val="맑은 고딕"/>
        <family val="3"/>
        <charset val="129"/>
      </rPr>
      <t>보증금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+ </t>
    </r>
    <r>
      <rPr>
        <b/>
        <sz val="8"/>
        <color rgb="FFC00000"/>
        <rFont val="맑은 고딕"/>
        <family val="3"/>
        <charset val="129"/>
      </rPr>
      <t>잔여기간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렌트료의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20%]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손해배상금을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DejaVu Sans"/>
        <family val="3"/>
        <charset val="129"/>
      </rPr>
      <t xml:space="preserve">, (4) </t>
    </r>
    <r>
      <rPr>
        <b/>
        <sz val="8"/>
        <color rgb="FFC00000"/>
        <rFont val="맑은 고딕"/>
        <family val="3"/>
        <charset val="129"/>
      </rPr>
      <t>미변제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15%</t>
    </r>
    <r>
      <rPr>
        <b/>
        <sz val="8"/>
        <color rgb="FFC00000"/>
        <rFont val="맑은 고딕"/>
        <family val="3"/>
        <charset val="129"/>
      </rPr>
      <t>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지연손해금을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변제일까지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가산하고</t>
    </r>
    <r>
      <rPr>
        <b/>
        <sz val="8"/>
        <color rgb="FFC00000"/>
        <rFont val="DejaVu Sans"/>
        <family val="3"/>
        <charset val="129"/>
      </rPr>
      <t xml:space="preserve">, (5) </t>
    </r>
    <r>
      <rPr>
        <b/>
        <sz val="8"/>
        <color rgb="FFC00000"/>
        <rFont val="맑은 고딕"/>
        <family val="3"/>
        <charset val="129"/>
      </rPr>
      <t>계약자의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신용정보집중기관에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채무불이행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등록하거나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신용정보업체에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채권추심을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의뢰할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있으며</t>
    </r>
    <r>
      <rPr>
        <b/>
        <sz val="8"/>
        <color rgb="FFC00000"/>
        <rFont val="DejaVu Sans"/>
        <family val="3"/>
        <charset val="129"/>
      </rPr>
      <t xml:space="preserve">, (6)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계열사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한국모터사이클리스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유한회사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체결한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다른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이륜차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동시에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차량들도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있고</t>
    </r>
    <r>
      <rPr>
        <b/>
        <sz val="8"/>
        <color rgb="FFC00000"/>
        <rFont val="DejaVu Sans"/>
        <family val="3"/>
        <charset val="129"/>
      </rPr>
      <t xml:space="preserve">, (7) </t>
    </r>
    <r>
      <rPr>
        <b/>
        <sz val="8"/>
        <color rgb="FFC00000"/>
        <rFont val="맑은 고딕"/>
        <family val="3"/>
        <charset val="129"/>
      </rPr>
      <t>계약자에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형사상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법적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조치를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취할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</si>
  <si>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t>1. 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대금(렌트료·보증금·부대비용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등)의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업무는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대행하며, 현금영수증은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주민번호로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명의로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발행됩니다.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불가합니다.</t>
    </r>
    <phoneticPr fontId="69" type="noConversion"/>
  </si>
  <si>
    <r>
      <t>2. 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배달통·슬라이더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비품을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지정하는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장소로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반납하여야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하며, 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아니하고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위약금과는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회수비용(출장비·운송비·원상복구비)은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부담합니다.</t>
    </r>
    <phoneticPr fontId="69" type="noConversion"/>
  </si>
  <si>
    <r>
      <t>3. 보증금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미지급으로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(1) 인도일부터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반환일까지의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일할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사용료, (2) 감가손실액, (3) 등록비·번호판·보험료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지출한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부대비용을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배상합니다.</t>
    </r>
    <phoneticPr fontId="69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</si>
  <si>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설정·유지, 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제공, 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이행, 분쟁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방지, 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대응, 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운전자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보험연령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검증, 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69" type="noConversion"/>
  </si>
  <si>
    <r>
      <rPr>
        <sz val="8"/>
        <color rgb="FF404040"/>
        <rFont val="맑은 고딕"/>
        <family val="3"/>
        <charset val="129"/>
      </rPr>
      <t>성명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실명</t>
    </r>
    <r>
      <rPr>
        <sz val="8"/>
        <color rgb="FF404040"/>
        <rFont val="DejaVu Sans"/>
        <family val="3"/>
        <charset val="129"/>
      </rPr>
      <t>)·</t>
    </r>
    <r>
      <rPr>
        <sz val="8"/>
        <color rgb="FF404040"/>
        <rFont val="맑은 고딕"/>
        <family val="3"/>
        <charset val="129"/>
      </rPr>
      <t>주민등록번호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휴대전화번호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현주소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신분증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거래카드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</t>
    </r>
    <r>
      <rPr>
        <sz val="8"/>
        <color rgb="FF404040"/>
        <rFont val="DejaVu Sans"/>
        <family val="3"/>
        <charset val="129"/>
      </rPr>
      <t>)</t>
    </r>
    <phoneticPr fontId="69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</si>
  <si>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이용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맑은 고딕"/>
        <family val="3"/>
        <charset val="129"/>
      </rPr>
      <t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1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69" type="noConversion"/>
  </si>
  <si>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</t>
    </r>
    <r>
      <rPr>
        <sz val="8"/>
        <color rgb="FF404040"/>
        <rFont val="DejaVu Sans"/>
        <family val="3"/>
        <charset val="129"/>
      </rPr>
      <t>)</t>
    </r>
    <phoneticPr fontId="69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</si>
  <si>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69" type="noConversion"/>
  </si>
  <si>
    <r>
      <rPr>
        <sz val="8"/>
        <color rgb="FF404040"/>
        <rFont val="맑은 고딕"/>
        <family val="3"/>
        <charset val="129"/>
      </rPr>
      <t>협력사(공급·운송·출고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정보), 수납대행사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포어스바이크(유)(대금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수납·채권관리), 배달대행사(고객정보), 차량등록소(등록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사무), 효성에프엠에스(자동이체)</t>
    </r>
    <phoneticPr fontId="69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</si>
  <si>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보험연령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</t>
    </r>
    <r>
      <rPr>
        <sz val="9"/>
        <color rgb="FF000000"/>
        <rFont val="DejaVu Sans"/>
        <family val="3"/>
        <charset val="129"/>
      </rPr>
      <t>.</t>
    </r>
    <phoneticPr fontId="69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</si>
  <si>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</t>
    </r>
    <phoneticPr fontId="69" type="noConversion"/>
  </si>
  <si>
    <r>
      <t>금(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6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</si>
  <si>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</t>
    </r>
    <phoneticPr fontId="69" type="noConversion"/>
  </si>
  <si>
    <r>
      <rPr>
        <sz val="8"/>
        <color rgb="FF2B2B2B"/>
        <rFont val="맑은 고딕"/>
        <family val="3"/>
        <charset val="129"/>
      </rPr>
      <t>수 절차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DejaVu Sans"/>
        <family val="3"/>
        <charset val="129"/>
      </rPr>
      <t>.</t>
    </r>
    <phoneticPr fontId="6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</si>
  <si>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</t>
    </r>
    <phoneticPr fontId="69" type="noConversion"/>
  </si>
  <si>
    <r>
      <rPr>
        <sz val="8"/>
        <color rgb="FF2B2B2B"/>
        <rFont val="맑은 고딕"/>
        <family val="2"/>
        <charset val="129"/>
      </rPr>
      <t>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성</t>
    </r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</si>
</sst>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,###&quot;원&quot;"/>
    <numFmt numFmtId="177" formatCode="m/d/yyyy"/>
  </numFmts>
  <fonts count="79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b/>
      <sz val="8"/>
      <color rgb="FFC00000"/>
      <name val="DejaVu Sans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3"/>
      <charset val="129"/>
    </font>
    <font>
      <b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1"/>
      <charset val="129"/>
    </font>
    <font>
      <b/>
      <sz val="9"/>
      <color rgb="FF1F4E89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1"/>
      <charset val="1"/>
    </font>
    <font>
      <sz val="8"/>
      <name val="DejaVu Sans"/>
      <family val="3"/>
      <charset val="129"/>
    </font>
    <font>
      <sz val="8"/>
      <name val="맑은 고딕"/>
      <family val="3"/>
      <charset val="129"/>
    </font>
    <font>
      <sz val="8"/>
      <color rgb="FF2B2B2B"/>
      <name val="DejaVu Sans"/>
      <family val="2"/>
      <charset val="129"/>
    </font>
    <font>
      <sz val="8"/>
      <name val="DejaVu Sans"/>
      <family val="1"/>
      <charset val="129"/>
    </font>
    <font>
      <sz val="8"/>
      <name val="맑은 고딕"/>
      <family val="1"/>
      <charset val="129"/>
    </font>
    <font>
      <sz val="8"/>
      <name val="DejaVu Sans"/>
      <family val="2"/>
      <charset val="129"/>
    </font>
    <font>
      <b/>
      <sz val="9"/>
      <color rgb="FF1F4E89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i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/>
      <sz val="12"/>
      <color rgb="FF0F172A"/>
      <name val="DejaVu Sans"/>
      <family val="2"/>
    </font>
    <font>
      <b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9"/>
      <color rgb="FF991B1B"/>
      <name val="DejaVu Sans"/>
      <family val="2"/>
      <charset val="1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b/>
      <sz val="8"/>
      <color rgb="FFC00000"/>
      <name val="맑은 고딕"/>
      <family val="3"/>
      <charset val="129"/>
    </font>
    <font>
      <b/>
      <sz val="8"/>
      <color rgb="FFC00000"/>
      <name val="Arial"/>
      <family val="2"/>
    </font>
    <font>
      <sz val="8"/>
      <color rgb="FF404040"/>
      <name val="Arial"/>
      <family val="2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8"/>
      <color rgb="FF2B2B2B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31" fillId="0" borderId="0" xfId="0" applyFont="1" applyAlignment="1">
      <alignment horizontal="left" vertical="top" wrapText="1" indent="1"/>
    </xf>
    <xf numFmtId="0" fontId="34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6" fillId="6" borderId="0" xfId="0" applyFont="1" applyFill="1" applyAlignment="1">
      <alignment horizontal="left" vertical="center" wrapText="1" indent="1"/>
    </xf>
    <xf numFmtId="0" fontId="40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top" wrapText="1" indent="1"/>
    </xf>
    <xf numFmtId="0" fontId="42" fillId="0" borderId="0" xfId="0" applyFont="1" applyAlignment="1">
      <alignment horizontal="left" vertical="top" wrapText="1" indent="1"/>
    </xf>
    <xf numFmtId="0" fontId="43" fillId="0" borderId="0" xfId="0" applyFont="1" applyAlignment="1">
      <alignment horizontal="left" vertical="top" wrapText="1" indent="1"/>
    </xf>
    <xf numFmtId="0" fontId="49" fillId="0" borderId="0" xfId="0" applyFont="1" applyAlignment="1">
      <alignment horizontal="left" vertical="center" indent="1"/>
    </xf>
    <xf numFmtId="0" fontId="50" fillId="0" borderId="0" xfId="0" applyFont="1" applyAlignment="1">
      <alignment horizontal="left" vertical="center" indent="1"/>
    </xf>
    <xf numFmtId="0" fontId="10" fillId="11" borderId="0" xfId="0" applyFont="1" applyFill="1" applyAlignment="1">
      <alignment horizontal="left" vertical="center" wrapText="1"/>
    </xf>
    <xf numFmtId="0" fontId="51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 indent="1"/>
    </xf>
    <xf numFmtId="0" fontId="52" fillId="0" borderId="0" xfId="0" applyFont="1"/>
    <xf numFmtId="0" fontId="63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wrapText="1"/>
    </xf>
    <xf numFmtId="0" fontId="65" fillId="0" borderId="0" xfId="0" applyFont="1" applyAlignment="1">
      <alignment horizontal="left" vertical="top" wrapText="1"/>
    </xf>
    <xf numFmtId="0" fontId="0" fillId="0" borderId="6" xfId="0" applyBorder="1"/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right" vertical="center"/>
    </xf>
    <xf numFmtId="0" fontId="72" fillId="0" borderId="0" xfId="0" applyFont="1" applyAlignment="1">
      <alignment horizontal="left" vertical="top" wrapText="1" indent="1"/>
    </xf>
    <xf numFmtId="0" fontId="39" fillId="6" borderId="0" xfId="0" applyFont="1" applyFill="1" applyAlignment="1">
      <alignment horizontal="left" vertical="center" wrapText="1" indent="1"/>
    </xf>
    <xf numFmtId="0" fontId="30" fillId="1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 indent="1"/>
    </xf>
    <xf numFmtId="0" fontId="24" fillId="10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23" fillId="8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left" vertical="center" wrapText="1" indent="1"/>
    </xf>
    <xf numFmtId="177" fontId="4" fillId="5" borderId="1" xfId="0" applyNumberFormat="1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righ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7" fillId="0" borderId="7" xfId="0" applyFont="1" applyBorder="1" applyAlignment="1">
      <alignment horizontal="center" vertical="center"/>
    </xf>
    <xf numFmtId="0" fontId="61" fillId="0" borderId="0" xfId="0" applyFont="1" applyAlignment="1">
      <alignment horizontal="left" vertical="top" wrapText="1"/>
    </xf>
    <xf numFmtId="0" fontId="61" fillId="0" borderId="0" xfId="0" applyFont="1" applyAlignment="1">
      <alignment horizontal="left" vertical="center" wrapText="1"/>
    </xf>
    <xf numFmtId="0" fontId="58" fillId="0" borderId="5" xfId="0" applyFont="1" applyBorder="1" applyAlignment="1">
      <alignment horizontal="left"/>
    </xf>
    <xf numFmtId="0" fontId="61" fillId="0" borderId="0" xfId="0" applyFont="1" applyAlignment="1">
      <alignment horizontal="left" vertical="top" wrapText="1" indent="1"/>
    </xf>
    <xf numFmtId="0" fontId="53" fillId="0" borderId="0" xfId="0" applyFont="1" applyAlignment="1">
      <alignment horizontal="left" vertical="center"/>
    </xf>
    <xf numFmtId="0" fontId="54" fillId="0" borderId="4" xfId="0" applyFont="1" applyBorder="1" applyAlignment="1">
      <alignment horizontal="left" vertical="center"/>
    </xf>
    <xf numFmtId="0" fontId="56" fillId="13" borderId="0" xfId="0" applyFont="1" applyFill="1" applyAlignment="1">
      <alignment horizontal="left" vertical="center" wrapText="1" indent="1"/>
    </xf>
    <xf numFmtId="0" fontId="60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</row>
    <row r="2" spans="1:19" ht="46.5" customHeight="1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3" t="s">
        <v>24</v>
      </c>
      <c r="I2" s="2">
        <v>26400</v>
      </c>
      <c r="J2" s="2">
        <v>365</v>
      </c>
      <c r="K2" s="2">
        <v>300000</v>
      </c>
      <c r="L2" s="3" t="s">
        <v>25</v>
      </c>
      <c r="M2" s="2" t="s">
        <v>26</v>
      </c>
      <c r="N2" s="3" t="s">
        <v>27</v>
      </c>
      <c r="O2" s="4" t="s">
        <v>28</v>
      </c>
      <c r="P2" s="3" t="s">
        <v>29</v>
      </c>
      <c r="Q2" s="3" t="s">
        <v>30</v>
      </c>
      <c r="R2" s="3" t="s">
        <v>31</v>
      </c>
      <c r="S2" s="3" t="s">
        <v>32</v>
      </c>
    </row>
  </sheetData>
  <phoneticPr fontId="69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view="pageBreakPreview" topLeftCell="A5" zoomScaleNormal="100" workbookViewId="0">
      <selection activeCell="C20" sqref="C20:J20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8" customWidth="1"/>
    <col min="5" max="5" width="11" style="5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33</v>
      </c>
    </row>
    <row r="2" spans="1:12" ht="48" customHeight="1">
      <c r="A2" s="6"/>
      <c r="B2" s="60" t="s">
        <v>34</v>
      </c>
      <c r="C2" s="60"/>
      <c r="D2" s="60"/>
      <c r="E2" s="60"/>
      <c r="F2" s="60"/>
      <c r="G2" s="60"/>
      <c r="H2" s="60"/>
      <c r="I2" s="60"/>
      <c r="J2" s="60"/>
      <c r="K2" s="6"/>
      <c r="L2" s="9">
        <v>1</v>
      </c>
    </row>
    <row r="3" spans="1:12" ht="24" customHeight="1">
      <c r="A3" s="6"/>
      <c r="B3" s="61" t="s">
        <v>35</v>
      </c>
      <c r="C3" s="61"/>
      <c r="D3" s="61"/>
      <c r="E3" s="61"/>
      <c r="F3" s="62" t="s">
        <v>0</v>
      </c>
      <c r="G3" s="62"/>
      <c r="H3" s="62"/>
      <c r="I3" s="63" t="str">
        <f>IFERROR(TEXT($L$2,"0000"),"")</f>
        <v>0001</v>
      </c>
      <c r="J3" s="63"/>
      <c r="K3" s="6"/>
      <c r="L3" s="6"/>
    </row>
    <row r="4" spans="1:12" ht="7.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spans="1:12" ht="25.5" customHeight="1">
      <c r="A5" s="6"/>
      <c r="B5" s="55" t="s">
        <v>36</v>
      </c>
      <c r="C5" s="55"/>
      <c r="D5" s="55"/>
      <c r="E5" s="55"/>
      <c r="F5" s="55"/>
      <c r="G5" s="55"/>
      <c r="H5" s="55"/>
      <c r="I5" s="55"/>
      <c r="J5" s="55"/>
      <c r="K5" s="6"/>
      <c r="L5" s="6"/>
    </row>
    <row r="6" spans="1:12" ht="21.75" customHeight="1">
      <c r="A6" s="6"/>
      <c r="B6" s="10" t="s">
        <v>2</v>
      </c>
      <c r="C6" s="53" t="str">
        <f>IFERROR(IF(VLOOKUP($L$2,계약리스트!$A$2:$AD$10000,3,0)="","",VLOOKUP($L$2,계약리스트!$A$2:$AD$10000,3,0)),"")</f>
        <v>UHR150</v>
      </c>
      <c r="D6" s="53"/>
      <c r="E6" s="10" t="s">
        <v>4</v>
      </c>
      <c r="F6" s="53" t="str">
        <f>IFERROR(IF(VLOOKUP($L$2,계약리스트!$A$2:$AD$10000,5,0)="","",VLOOKUP($L$2,계약리스트!$A$2:$AD$10000,5,0)),"")</f>
        <v>1나88370</v>
      </c>
      <c r="G6" s="53"/>
      <c r="H6" s="10" t="s">
        <v>5</v>
      </c>
      <c r="I6" s="53" t="str">
        <f>IFERROR(IF(VLOOKUP($L$2,계약리스트!$A$2:$AD$10000,6,0)="","",VLOOKUP($L$2,계약리스트!$A$2:$AD$10000,6,0)),"")</f>
        <v>화이트</v>
      </c>
      <c r="J6" s="53"/>
      <c r="K6" s="6"/>
      <c r="L6" s="6"/>
    </row>
    <row r="7" spans="1:12" ht="21.75" customHeight="1">
      <c r="A7" s="6"/>
      <c r="B7" s="10" t="s">
        <v>3</v>
      </c>
      <c r="C7" s="53" t="str">
        <f>IFERROR(IF(VLOOKUP($L$2,계약리스트!$A$2:$AD$10000,4,0)="","",VLOOKUP($L$2,계약리스트!$A$2:$AD$10000,4,0)),"")</f>
        <v>LWMTDKH95THJ00467</v>
      </c>
      <c r="D7" s="53"/>
      <c r="E7" s="10" t="s">
        <v>6</v>
      </c>
      <c r="F7" s="53" t="str">
        <f>IFERROR(IF(VLOOKUP($L$2,계약리스트!$A$2:$AD$10000,7,0)="","",VLOOKUP($L$2,계약리스트!$A$2:$AD$10000,7,0)),"")</f>
        <v>비포함</v>
      </c>
      <c r="G7" s="53"/>
      <c r="H7" s="10" t="s">
        <v>37</v>
      </c>
      <c r="I7" s="53" t="str">
        <f>IFERROR(IF(VLOOKUP($L$2,계약리스트!$A$2:$AD$10000,2,0)="","",VLOOKUP($L$2,계약리스트!$A$2:$AD$10000,2,0)),"")</f>
        <v>2026-04-24</v>
      </c>
      <c r="J7" s="53"/>
      <c r="K7" s="6"/>
      <c r="L7" s="6"/>
    </row>
    <row r="8" spans="1:12" ht="25.5" customHeight="1">
      <c r="A8" s="6"/>
      <c r="B8" s="11" t="s">
        <v>7</v>
      </c>
      <c r="C8" s="59" t="str">
        <f>IFERROR(IF(VLOOKUP($L$2,계약리스트!$A$2:$AD$10000,8,0)="","",VLOOKUP($L$2,계약리스트!$A$2:$AD$10000,8,0)),"")</f>
        <v>만30세</v>
      </c>
      <c r="D8" s="59"/>
      <c r="E8" s="50" t="s">
        <v>38</v>
      </c>
      <c r="F8" s="50"/>
      <c r="G8" s="50"/>
      <c r="H8" s="50"/>
      <c r="I8" s="50"/>
      <c r="J8" s="50"/>
      <c r="K8" s="6"/>
      <c r="L8" s="6"/>
    </row>
    <row r="9" spans="1:12" ht="7.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spans="1:12" ht="25.5" customHeight="1">
      <c r="A10" s="6"/>
      <c r="B10" s="55" t="s">
        <v>39</v>
      </c>
      <c r="C10" s="55"/>
      <c r="D10" s="55"/>
      <c r="E10" s="55"/>
      <c r="F10" s="55"/>
      <c r="G10" s="55"/>
      <c r="H10" s="55"/>
      <c r="I10" s="55"/>
      <c r="J10" s="55"/>
      <c r="K10" s="6"/>
      <c r="L10" s="6"/>
    </row>
    <row r="11" spans="1:12" ht="21.75" customHeight="1">
      <c r="A11" s="6"/>
      <c r="B11" s="10" t="s">
        <v>40</v>
      </c>
      <c r="C11" s="53" t="str">
        <f>_xlfn.XLOOKUP(L2,계약리스트!A:A,계약리스트!L:L)</f>
        <v>안종식</v>
      </c>
      <c r="D11" s="53"/>
      <c r="E11" s="10" t="s">
        <v>41</v>
      </c>
      <c r="F11" s="53" t="str">
        <f>_xlfn.XLOOKUP(L2,계약리스트!A:A,계약리스트!M:M)</f>
        <v>820530-1046518</v>
      </c>
      <c r="G11" s="53"/>
      <c r="H11" s="10" t="s">
        <v>14</v>
      </c>
      <c r="I11" s="53" t="str">
        <f>_xlfn.XLOOKUP(L2,계약리스트!A:A,계약리스트!O:O)</f>
        <v>010-5813-7336</v>
      </c>
      <c r="J11" s="53"/>
      <c r="K11" s="6"/>
      <c r="L11" s="6"/>
    </row>
    <row r="12" spans="1:12" ht="21.75" customHeight="1">
      <c r="A12" s="6"/>
      <c r="B12" s="10" t="s">
        <v>13</v>
      </c>
      <c r="C12" s="52" t="str">
        <f>_xlfn.XLOOKUP(L2,계약리스트!A:A,계약리스트!N:N)</f>
        <v>경기도 오산시 궐동로 77, 1층(궐동)</v>
      </c>
      <c r="D12" s="52"/>
      <c r="E12" s="52"/>
      <c r="F12" s="52"/>
      <c r="G12" s="52"/>
      <c r="H12" s="52"/>
      <c r="I12" s="52"/>
      <c r="J12" s="52"/>
      <c r="K12" s="6"/>
      <c r="L12" s="6"/>
    </row>
    <row r="13" spans="1:12" ht="19.5" customHeight="1">
      <c r="A13" s="6"/>
      <c r="B13" s="58" t="s">
        <v>42</v>
      </c>
      <c r="C13" s="58"/>
      <c r="D13" s="58"/>
      <c r="E13" s="58"/>
      <c r="F13" s="58"/>
      <c r="G13" s="58"/>
      <c r="H13" s="58"/>
      <c r="I13" s="58"/>
      <c r="J13" s="58"/>
      <c r="K13" s="6"/>
      <c r="L13" s="6"/>
    </row>
    <row r="14" spans="1:12" ht="7.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spans="1:12" ht="7.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spans="1:12" ht="25.5" customHeight="1">
      <c r="A16" s="6"/>
      <c r="B16" s="39" t="s">
        <v>43</v>
      </c>
      <c r="C16" s="39"/>
      <c r="D16" s="39"/>
      <c r="E16" s="39"/>
      <c r="F16" s="39"/>
      <c r="G16" s="39"/>
      <c r="H16" s="39"/>
      <c r="I16" s="39"/>
      <c r="J16" s="39"/>
      <c r="K16" s="6"/>
      <c r="L16" s="6"/>
    </row>
    <row r="17" spans="1:12" ht="21.75" customHeight="1">
      <c r="A17" s="6"/>
      <c r="B17" s="10" t="s">
        <v>15</v>
      </c>
      <c r="C17" s="53" t="str">
        <f>_xlfn.XLOOKUP(L2,계약리스트!A:A,계약리스트!P:P)</f>
        <v>렌트</v>
      </c>
      <c r="D17" s="53"/>
      <c r="E17" s="10" t="s">
        <v>16</v>
      </c>
      <c r="F17" s="53" t="str">
        <f>_xlfn.XLOOKUP(L2,계약리스트!A:A,계약리스트!Q:Q)</f>
        <v>인수형</v>
      </c>
      <c r="G17" s="53"/>
      <c r="H17" s="10" t="s">
        <v>44</v>
      </c>
      <c r="I17" s="53">
        <f>_xlfn.XLOOKUP(L2,계약리스트!A:A,계약리스트!J:J)</f>
        <v>365</v>
      </c>
      <c r="J17" s="53"/>
      <c r="K17" s="6"/>
      <c r="L17" s="6"/>
    </row>
    <row r="18" spans="1:12" ht="21.75" customHeight="1">
      <c r="A18" s="6"/>
      <c r="B18" s="10" t="s">
        <v>45</v>
      </c>
      <c r="C18" s="56">
        <f>_xlfn.XLOOKUP(L2,계약리스트!A:A,계약리스트!I:I)</f>
        <v>26400</v>
      </c>
      <c r="D18" s="56"/>
      <c r="E18" s="10" t="s">
        <v>10</v>
      </c>
      <c r="F18" s="56">
        <f>_xlfn.XLOOKUP(L2,계약리스트!A:A,계약리스트!K:K)</f>
        <v>300000</v>
      </c>
      <c r="G18" s="56"/>
      <c r="H18" s="10" t="s">
        <v>17</v>
      </c>
      <c r="I18" s="53" t="str">
        <f>_xlfn.XLOOKUP(L2,계약리스트!A:A,계약리스트!S:S)</f>
        <v>월2회(15일,말일)</v>
      </c>
      <c r="J18" s="53"/>
      <c r="K18" s="6"/>
      <c r="L18" s="6"/>
    </row>
    <row r="19" spans="1:12" ht="21.75" customHeight="1">
      <c r="A19" s="6"/>
      <c r="B19" s="10" t="s">
        <v>46</v>
      </c>
      <c r="C19" s="52" t="s">
        <v>31</v>
      </c>
      <c r="D19" s="52"/>
      <c r="E19" s="10" t="s">
        <v>47</v>
      </c>
      <c r="F19" s="57" t="str">
        <f>TEXT(_xlfn.XLOOKUP(L2,계약리스트!A:A,계약리스트!B:B),"yyyy년 mm월 dd일")</f>
        <v>2026년 04월 24일</v>
      </c>
      <c r="G19" s="57"/>
      <c r="H19" s="57"/>
      <c r="I19" s="57"/>
      <c r="J19" s="57"/>
      <c r="K19" s="6"/>
      <c r="L19" s="6"/>
    </row>
    <row r="20" spans="1:12" ht="21.75" customHeight="1">
      <c r="A20" s="6"/>
      <c r="B20" s="10" t="s">
        <v>48</v>
      </c>
      <c r="C20" s="52" t="s">
        <v>49</v>
      </c>
      <c r="D20" s="52"/>
      <c r="E20" s="52"/>
      <c r="F20" s="52"/>
      <c r="G20" s="52"/>
      <c r="H20" s="52"/>
      <c r="I20" s="52"/>
      <c r="J20" s="52"/>
      <c r="K20" s="6"/>
      <c r="L20" s="6"/>
    </row>
    <row r="21" spans="1:12" ht="7.5" customHeight="1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spans="1:12" ht="25.5" customHeight="1">
      <c r="A22" s="6"/>
      <c r="B22" s="55" t="s">
        <v>50</v>
      </c>
      <c r="C22" s="55"/>
      <c r="D22" s="55"/>
      <c r="E22" s="55"/>
      <c r="F22" s="55"/>
      <c r="G22" s="55"/>
      <c r="H22" s="55"/>
      <c r="I22" s="55"/>
      <c r="J22" s="55"/>
      <c r="K22" s="6"/>
      <c r="L22" s="6"/>
    </row>
    <row r="23" spans="1:12" ht="21.75" customHeight="1">
      <c r="A23" s="6"/>
      <c r="B23" s="10" t="s">
        <v>51</v>
      </c>
      <c r="C23" s="52" t="s">
        <v>35</v>
      </c>
      <c r="D23" s="52"/>
      <c r="E23" s="10" t="s">
        <v>52</v>
      </c>
      <c r="F23" s="53" t="s">
        <v>53</v>
      </c>
      <c r="G23" s="53"/>
      <c r="H23" s="10" t="s">
        <v>54</v>
      </c>
      <c r="I23" s="52" t="s">
        <v>55</v>
      </c>
      <c r="J23" s="52"/>
      <c r="K23" s="6"/>
      <c r="L23" s="6"/>
    </row>
    <row r="24" spans="1:12" ht="21.75" customHeight="1">
      <c r="A24" s="6"/>
      <c r="B24" s="10" t="s">
        <v>13</v>
      </c>
      <c r="C24" s="52" t="s">
        <v>56</v>
      </c>
      <c r="D24" s="52"/>
      <c r="E24" s="52"/>
      <c r="F24" s="52"/>
      <c r="G24" s="10" t="s">
        <v>57</v>
      </c>
      <c r="H24" s="53" t="s">
        <v>58</v>
      </c>
      <c r="I24" s="53"/>
      <c r="J24" s="53"/>
      <c r="K24" s="6"/>
      <c r="L24" s="6"/>
    </row>
    <row r="25" spans="1:12" ht="7.5" customHeight="1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spans="1:12" ht="25.5" customHeight="1">
      <c r="A26" s="6"/>
      <c r="B26" s="54" t="s">
        <v>59</v>
      </c>
      <c r="C26" s="54"/>
      <c r="D26" s="54"/>
      <c r="E26" s="54"/>
      <c r="F26" s="54"/>
      <c r="G26" s="54"/>
      <c r="H26" s="54"/>
      <c r="I26" s="54"/>
      <c r="J26" s="54"/>
      <c r="K26" s="6"/>
      <c r="L26" s="6"/>
    </row>
    <row r="27" spans="1:12" ht="33.75" customHeight="1">
      <c r="A27" s="6"/>
      <c r="B27" s="48" t="s">
        <v>60</v>
      </c>
      <c r="C27" s="48"/>
      <c r="D27" s="49" t="s">
        <v>351</v>
      </c>
      <c r="E27" s="50"/>
      <c r="F27" s="50"/>
      <c r="G27" s="50"/>
      <c r="H27" s="50"/>
      <c r="I27" s="50"/>
      <c r="J27" s="50"/>
      <c r="K27" s="6"/>
      <c r="L27" s="6"/>
    </row>
    <row r="28" spans="1:12" ht="33.75" customHeight="1">
      <c r="A28" s="6"/>
      <c r="B28" s="48" t="s">
        <v>61</v>
      </c>
      <c r="C28" s="48"/>
      <c r="D28" s="49" t="s">
        <v>352</v>
      </c>
      <c r="E28" s="50"/>
      <c r="F28" s="50"/>
      <c r="G28" s="50"/>
      <c r="H28" s="50"/>
      <c r="I28" s="50"/>
      <c r="J28" s="50"/>
      <c r="K28" s="6"/>
      <c r="L28" s="6"/>
    </row>
    <row r="29" spans="1:12" ht="33.75" customHeight="1">
      <c r="A29" s="6"/>
      <c r="B29" s="48" t="s">
        <v>62</v>
      </c>
      <c r="C29" s="48"/>
      <c r="D29" s="49" t="s">
        <v>353</v>
      </c>
      <c r="E29" s="50"/>
      <c r="F29" s="50"/>
      <c r="G29" s="50"/>
      <c r="H29" s="50"/>
      <c r="I29" s="50"/>
      <c r="J29" s="50"/>
      <c r="K29" s="6"/>
      <c r="L29" s="6"/>
    </row>
    <row r="30" spans="1:12" ht="31.5" customHeight="1">
      <c r="A30" s="6"/>
      <c r="B30" s="51" t="s">
        <v>63</v>
      </c>
      <c r="C30" s="51"/>
      <c r="D30" s="49" t="s">
        <v>354</v>
      </c>
      <c r="E30" s="50"/>
      <c r="F30" s="50"/>
      <c r="G30" s="50"/>
      <c r="H30" s="50"/>
      <c r="I30" s="50"/>
      <c r="J30" s="50"/>
      <c r="K30" s="6"/>
      <c r="L30" s="6"/>
    </row>
    <row r="31" spans="1:12" ht="39" customHeight="1">
      <c r="A31" s="6"/>
      <c r="B31" s="48" t="s">
        <v>64</v>
      </c>
      <c r="C31" s="48"/>
      <c r="D31" s="49" t="s">
        <v>355</v>
      </c>
      <c r="E31" s="50"/>
      <c r="F31" s="50"/>
      <c r="G31" s="50"/>
      <c r="H31" s="50"/>
      <c r="I31" s="50"/>
      <c r="J31" s="50"/>
      <c r="K31" s="6"/>
      <c r="L31" s="6"/>
    </row>
    <row r="32" spans="1:12" ht="75" customHeight="1">
      <c r="A32" s="6"/>
      <c r="B32" s="48" t="s">
        <v>65</v>
      </c>
      <c r="C32" s="48"/>
      <c r="D32" s="49" t="s">
        <v>356</v>
      </c>
      <c r="E32" s="50"/>
      <c r="F32" s="50"/>
      <c r="G32" s="50"/>
      <c r="H32" s="50"/>
      <c r="I32" s="50"/>
      <c r="J32" s="50"/>
      <c r="K32" s="6"/>
      <c r="L32" s="6"/>
    </row>
    <row r="33" spans="1:12" ht="31.5" customHeight="1">
      <c r="A33" s="6"/>
      <c r="B33" s="46" t="s">
        <v>357</v>
      </c>
      <c r="C33" s="46"/>
      <c r="D33" s="46"/>
      <c r="E33" s="46"/>
      <c r="F33" s="46"/>
      <c r="G33" s="46"/>
      <c r="H33" s="46"/>
      <c r="I33" s="46"/>
      <c r="J33" s="46"/>
      <c r="K33" s="6"/>
      <c r="L33" s="6"/>
    </row>
    <row r="34" spans="1:12" ht="31.5" customHeight="1">
      <c r="A34" s="6"/>
      <c r="B34" s="45" t="s">
        <v>358</v>
      </c>
      <c r="C34" s="45"/>
      <c r="D34" s="45"/>
      <c r="E34" s="45"/>
      <c r="F34" s="45"/>
      <c r="G34" s="45"/>
      <c r="H34" s="45"/>
      <c r="I34" s="45"/>
      <c r="J34" s="45"/>
      <c r="K34" s="6"/>
      <c r="L34" s="6"/>
    </row>
    <row r="35" spans="1:12" ht="31.5" customHeight="1">
      <c r="A35" s="6"/>
      <c r="B35" s="46" t="s">
        <v>359</v>
      </c>
      <c r="C35" s="46"/>
      <c r="D35" s="46"/>
      <c r="E35" s="46"/>
      <c r="F35" s="46"/>
      <c r="G35" s="46"/>
      <c r="H35" s="46"/>
      <c r="I35" s="46"/>
      <c r="J35" s="46"/>
      <c r="K35" s="6"/>
      <c r="L35" s="6"/>
    </row>
    <row r="36" spans="1:12" ht="7.5" customHeight="1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</row>
    <row r="37" spans="1:12" ht="25.5" customHeight="1">
      <c r="A37" s="6"/>
      <c r="B37" s="47" t="s">
        <v>66</v>
      </c>
      <c r="C37" s="47"/>
      <c r="D37" s="47"/>
      <c r="E37" s="47"/>
      <c r="F37" s="47"/>
      <c r="G37" s="47"/>
      <c r="H37" s="47"/>
      <c r="I37" s="47"/>
      <c r="J37" s="47"/>
      <c r="K37" s="6"/>
      <c r="L37" s="6"/>
    </row>
    <row r="38" spans="1:12" ht="25.5" customHeight="1">
      <c r="A38" s="6"/>
      <c r="B38" s="42" t="s">
        <v>67</v>
      </c>
      <c r="C38" s="42"/>
      <c r="D38" s="43" t="s">
        <v>360</v>
      </c>
      <c r="E38" s="44"/>
      <c r="F38" s="44"/>
      <c r="G38" s="44"/>
      <c r="H38" s="44"/>
      <c r="I38" s="44"/>
      <c r="J38" s="44"/>
      <c r="K38" s="6"/>
      <c r="L38" s="6"/>
    </row>
    <row r="39" spans="1:12" ht="25.5" customHeight="1">
      <c r="A39" s="6"/>
      <c r="B39" s="42" t="s">
        <v>68</v>
      </c>
      <c r="C39" s="42"/>
      <c r="D39" s="43" t="s">
        <v>361</v>
      </c>
      <c r="E39" s="44"/>
      <c r="F39" s="44"/>
      <c r="G39" s="44"/>
      <c r="H39" s="44"/>
      <c r="I39" s="44"/>
      <c r="J39" s="44"/>
      <c r="K39" s="6"/>
      <c r="L39" s="6"/>
    </row>
    <row r="40" spans="1:12" ht="25.5" customHeight="1">
      <c r="A40" s="6"/>
      <c r="B40" s="42" t="s">
        <v>69</v>
      </c>
      <c r="C40" s="42"/>
      <c r="D40" s="43" t="s">
        <v>362</v>
      </c>
      <c r="E40" s="44"/>
      <c r="F40" s="44"/>
      <c r="G40" s="44"/>
      <c r="H40" s="44"/>
      <c r="I40" s="44"/>
      <c r="J40" s="44"/>
      <c r="K40" s="6"/>
      <c r="L40" s="6"/>
    </row>
    <row r="41" spans="1:12" ht="25.5" customHeight="1">
      <c r="A41" s="6"/>
      <c r="B41" s="42" t="s">
        <v>70</v>
      </c>
      <c r="C41" s="42"/>
      <c r="D41" s="43" t="s">
        <v>363</v>
      </c>
      <c r="E41" s="44"/>
      <c r="F41" s="44"/>
      <c r="G41" s="44"/>
      <c r="H41" s="44"/>
      <c r="I41" s="44"/>
      <c r="J41" s="44"/>
      <c r="K41" s="6"/>
      <c r="L41" s="6"/>
    </row>
    <row r="42" spans="1:12" ht="25.5" customHeight="1">
      <c r="A42" s="6"/>
      <c r="B42" s="42" t="s">
        <v>71</v>
      </c>
      <c r="C42" s="42"/>
      <c r="D42" s="43" t="s">
        <v>364</v>
      </c>
      <c r="E42" s="44"/>
      <c r="F42" s="44"/>
      <c r="G42" s="44"/>
      <c r="H42" s="44"/>
      <c r="I42" s="44"/>
      <c r="J42" s="44"/>
      <c r="K42" s="6"/>
      <c r="L42" s="6"/>
    </row>
    <row r="43" spans="1:12" ht="25.5" customHeight="1">
      <c r="A43" s="6"/>
      <c r="B43" s="42" t="s">
        <v>72</v>
      </c>
      <c r="C43" s="42"/>
      <c r="D43" s="43" t="s">
        <v>365</v>
      </c>
      <c r="E43" s="44"/>
      <c r="F43" s="44"/>
      <c r="G43" s="44"/>
      <c r="H43" s="44"/>
      <c r="I43" s="44"/>
      <c r="J43" s="44"/>
      <c r="K43" s="6"/>
      <c r="L43" s="6"/>
    </row>
    <row r="44" spans="1:12" ht="25.5" customHeight="1">
      <c r="A44" s="6"/>
      <c r="B44" s="42" t="s">
        <v>73</v>
      </c>
      <c r="C44" s="42"/>
      <c r="D44" s="42"/>
      <c r="E44" s="42"/>
      <c r="F44" s="42"/>
      <c r="G44" s="42"/>
      <c r="H44" s="42"/>
      <c r="I44" s="42"/>
      <c r="J44" s="42"/>
      <c r="K44" s="6"/>
      <c r="L44" s="6"/>
    </row>
    <row r="45" spans="1:12" ht="12" customHeight="1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</row>
    <row r="46" spans="1:12" ht="25.5" customHeight="1">
      <c r="A46" s="6"/>
      <c r="B46" s="39" t="s">
        <v>74</v>
      </c>
      <c r="C46" s="39"/>
      <c r="D46" s="39"/>
      <c r="E46" s="39"/>
      <c r="F46" s="39"/>
      <c r="G46" s="39"/>
      <c r="H46" s="39"/>
      <c r="I46" s="39"/>
      <c r="J46" s="39"/>
      <c r="K46" s="6"/>
      <c r="L46" s="6"/>
    </row>
    <row r="47" spans="1:12" ht="36" customHeight="1">
      <c r="A47" s="6"/>
      <c r="B47" s="40" t="s">
        <v>366</v>
      </c>
      <c r="C47" s="41"/>
      <c r="D47" s="41"/>
      <c r="E47" s="41"/>
      <c r="F47" s="41"/>
      <c r="G47" s="41"/>
      <c r="H47" s="41"/>
      <c r="I47" s="41"/>
      <c r="J47" s="41"/>
      <c r="K47" s="6"/>
      <c r="L47" s="6"/>
    </row>
    <row r="48" spans="1:12" ht="48" customHeight="1">
      <c r="A48" s="6"/>
      <c r="B48" s="12" t="s">
        <v>75</v>
      </c>
      <c r="C48" s="41" t="str">
        <f>_xlfn.XLOOKUP(L2,계약리스트!A:A,계약리스트!L:L)</f>
        <v>안종식</v>
      </c>
      <c r="D48" s="41"/>
      <c r="E48" s="41"/>
      <c r="F48" s="13" t="s">
        <v>76</v>
      </c>
      <c r="G48" s="10" t="s">
        <v>77</v>
      </c>
      <c r="H48" s="41" t="s">
        <v>35</v>
      </c>
      <c r="I48" s="41"/>
      <c r="J48" s="13" t="s">
        <v>76</v>
      </c>
      <c r="K48" s="6"/>
      <c r="L48" s="6"/>
    </row>
    <row r="49" spans="1:12" ht="15" customHeight="1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spans="1:12" ht="15" customHeight="1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</row>
    <row r="51" spans="1:12" ht="15" customHeight="1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spans="1:12" ht="15" customHeight="1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spans="1:12" ht="15" customHeight="1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spans="1:12" ht="15" customHeight="1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spans="1:12" ht="15" customHeight="1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spans="1:12" ht="15" customHeight="1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spans="1:12" ht="15" customHeight="1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spans="1:12" ht="15" customHeight="1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2" ht="15" customHeight="1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spans="1:12" ht="15" customHeight="1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spans="1:12" ht="15" customHeight="1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spans="1:12" ht="15" customHeight="1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spans="1:12" ht="15" customHeight="1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spans="1:12" ht="15" customHeight="1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spans="1:12" ht="15" customHeight="1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spans="1:12" ht="15" customHeight="1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spans="1:12" ht="15" customHeight="1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spans="1:12" ht="15" customHeight="1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spans="1:12" ht="15" customHeight="1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spans="1:12" ht="15" customHeight="1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spans="1:12" ht="15" customHeight="1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spans="1:12" ht="15" customHeight="1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spans="1:12" ht="15" customHeight="1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spans="1:12" ht="15" customHeight="1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spans="1:12" ht="15" customHeight="1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spans="1:12" ht="15" customHeight="1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spans="1:12" ht="15" customHeight="1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spans="1:12" ht="15" customHeight="1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spans="1:12" ht="15" customHeight="1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spans="1:12" ht="15" customHeight="1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spans="1:12" ht="15" customHeight="1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spans="1:12" ht="15" customHeight="1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spans="1:12" ht="15" customHeight="1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spans="1:12" ht="15" customHeight="1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spans="1:12" ht="15" customHeight="1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spans="1:12" ht="15" customHeight="1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spans="1:12" ht="15" customHeight="1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spans="1:12" ht="15" customHeight="1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spans="1:12" ht="15" customHeight="1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spans="1:12" ht="15" customHeight="1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spans="1:12" ht="15" customHeight="1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spans="1:12" ht="15" customHeight="1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spans="1:12" ht="15" customHeight="1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spans="1:12" ht="15" customHeight="1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spans="1:12" ht="15" customHeight="1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spans="1:12" ht="15" customHeight="1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spans="1:12" ht="15" customHeight="1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spans="1:12" ht="15" customHeight="1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spans="1:12" ht="15" customHeight="1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spans="1:12" ht="15" customHeight="1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spans="1:12" ht="15" customHeight="1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spans="1:12" ht="15" customHeight="1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spans="1:12" ht="15" customHeight="1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spans="1:12" ht="15" customHeight="1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spans="1:12" ht="15" customHeight="1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</sheetData>
  <mergeCells count="69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J33"/>
    <mergeCell ref="B34:J34"/>
    <mergeCell ref="B35:J35"/>
    <mergeCell ref="B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6:J46"/>
    <mergeCell ref="B47:J47"/>
    <mergeCell ref="C48:E48"/>
    <mergeCell ref="H48:I48"/>
    <mergeCell ref="B42:C42"/>
    <mergeCell ref="D42:J42"/>
    <mergeCell ref="B43:C43"/>
    <mergeCell ref="D43:J43"/>
    <mergeCell ref="B44:J44"/>
  </mergeCells>
  <phoneticPr fontId="69" type="noConversion"/>
  <pageMargins left="0.7" right="0.7" top="0.75" bottom="0.75" header="0.511811023622047" footer="0.511811023622047"/>
  <pageSetup paperSize="9" scale="6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32"/>
  <sheetViews>
    <sheetView showGridLines="0" tabSelected="1" view="pageBreakPreview" topLeftCell="A64" zoomScale="115" zoomScaleNormal="115" zoomScalePageLayoutView="115" workbookViewId="0">
      <selection activeCell="D88" sqref="D88"/>
    </sheetView>
  </sheetViews>
  <sheetFormatPr defaultColWidth="8.6640625" defaultRowHeight="14.4"/>
  <cols>
    <col min="1" max="1" width="2" customWidth="1"/>
    <col min="2" max="2" width="66.77734375" customWidth="1"/>
    <col min="3" max="3" width="1.5546875" customWidth="1"/>
    <col min="4" max="4" width="66.77734375" customWidth="1"/>
    <col min="5" max="5" width="2" customWidth="1"/>
  </cols>
  <sheetData>
    <row r="1" spans="2:4" ht="31.5" customHeight="1">
      <c r="B1" s="38" t="s">
        <v>78</v>
      </c>
      <c r="C1" s="38"/>
      <c r="D1" s="38"/>
    </row>
    <row r="3" spans="2:4" ht="14.25" customHeight="1">
      <c r="B3" s="14" t="s">
        <v>79</v>
      </c>
      <c r="D3" s="19" t="s">
        <v>96</v>
      </c>
    </row>
    <row r="4" spans="2:4" ht="14.25" customHeight="1">
      <c r="B4" s="15" t="s">
        <v>81</v>
      </c>
      <c r="D4" s="15" t="s">
        <v>98</v>
      </c>
    </row>
    <row r="5" spans="2:4" ht="14.25" customHeight="1">
      <c r="B5" s="15" t="s">
        <v>83</v>
      </c>
      <c r="D5" s="15" t="s">
        <v>100</v>
      </c>
    </row>
    <row r="6" spans="2:4" ht="14.25" customHeight="1">
      <c r="B6" s="16"/>
      <c r="D6" s="18" t="s">
        <v>341</v>
      </c>
    </row>
    <row r="7" spans="2:4" ht="14.25" customHeight="1">
      <c r="B7" s="14" t="s">
        <v>86</v>
      </c>
      <c r="D7" s="18" t="s">
        <v>342</v>
      </c>
    </row>
    <row r="8" spans="2:4" ht="14.25" customHeight="1">
      <c r="B8" s="17" t="s">
        <v>87</v>
      </c>
      <c r="D8" s="15" t="s">
        <v>104</v>
      </c>
    </row>
    <row r="9" spans="2:4" ht="14.25" customHeight="1">
      <c r="B9" s="15" t="s">
        <v>88</v>
      </c>
      <c r="D9" s="15" t="s">
        <v>105</v>
      </c>
    </row>
    <row r="10" spans="2:4" ht="14.25" customHeight="1">
      <c r="B10" s="17" t="s">
        <v>89</v>
      </c>
      <c r="D10" s="15" t="s">
        <v>107</v>
      </c>
    </row>
    <row r="11" spans="2:4" ht="14.25" customHeight="1">
      <c r="B11" s="17" t="s">
        <v>90</v>
      </c>
      <c r="D11" s="15" t="s">
        <v>109</v>
      </c>
    </row>
    <row r="12" spans="2:4" ht="14.25" customHeight="1">
      <c r="B12" s="17" t="s">
        <v>91</v>
      </c>
      <c r="D12" s="15" t="s">
        <v>111</v>
      </c>
    </row>
    <row r="13" spans="2:4" ht="14.25" customHeight="1">
      <c r="B13" s="15" t="s">
        <v>92</v>
      </c>
      <c r="D13" s="15" t="s">
        <v>113</v>
      </c>
    </row>
    <row r="14" spans="2:4" ht="14.25" customHeight="1">
      <c r="B14" s="17" t="s">
        <v>93</v>
      </c>
      <c r="D14" s="15" t="s">
        <v>114</v>
      </c>
    </row>
    <row r="15" spans="2:4" ht="14.25" customHeight="1">
      <c r="B15" s="15" t="s">
        <v>94</v>
      </c>
      <c r="D15" s="15" t="s">
        <v>116</v>
      </c>
    </row>
    <row r="16" spans="2:4" ht="14.25" customHeight="1">
      <c r="B16" s="18" t="s">
        <v>95</v>
      </c>
      <c r="D16" s="15" t="s">
        <v>118</v>
      </c>
    </row>
    <row r="17" spans="2:4" ht="14.25" customHeight="1">
      <c r="B17" s="18" t="s">
        <v>97</v>
      </c>
    </row>
    <row r="18" spans="2:4" ht="14.25" customHeight="1">
      <c r="B18" s="15" t="s">
        <v>99</v>
      </c>
      <c r="D18" s="19" t="s">
        <v>121</v>
      </c>
    </row>
    <row r="19" spans="2:4" ht="14.25" customHeight="1">
      <c r="B19" s="18" t="s">
        <v>101</v>
      </c>
      <c r="D19" s="20" t="s">
        <v>123</v>
      </c>
    </row>
    <row r="20" spans="2:4" ht="14.25" customHeight="1">
      <c r="B20" s="15" t="s">
        <v>102</v>
      </c>
      <c r="D20" s="20" t="s">
        <v>124</v>
      </c>
    </row>
    <row r="21" spans="2:4" ht="14.25" customHeight="1">
      <c r="B21" s="18" t="s">
        <v>103</v>
      </c>
      <c r="D21" s="20" t="s">
        <v>126</v>
      </c>
    </row>
    <row r="22" spans="2:4" ht="14.25" customHeight="1">
      <c r="B22" s="15" t="s">
        <v>102</v>
      </c>
      <c r="D22" s="20" t="s">
        <v>128</v>
      </c>
    </row>
    <row r="23" spans="2:4" ht="14.25" customHeight="1">
      <c r="B23" s="18" t="s">
        <v>106</v>
      </c>
      <c r="D23" s="20" t="s">
        <v>130</v>
      </c>
    </row>
    <row r="24" spans="2:4" ht="14.25" customHeight="1">
      <c r="B24" s="18" t="s">
        <v>108</v>
      </c>
      <c r="D24" s="20" t="s">
        <v>132</v>
      </c>
    </row>
    <row r="25" spans="2:4" ht="14.25" customHeight="1">
      <c r="B25" s="15" t="s">
        <v>110</v>
      </c>
      <c r="D25" s="20" t="s">
        <v>134</v>
      </c>
    </row>
    <row r="26" spans="2:4" ht="14.25" customHeight="1">
      <c r="B26" s="18" t="s">
        <v>112</v>
      </c>
      <c r="D26" s="20" t="s">
        <v>136</v>
      </c>
    </row>
    <row r="27" spans="2:4" ht="14.25" customHeight="1">
      <c r="D27" s="20"/>
    </row>
    <row r="28" spans="2:4" ht="14.25" customHeight="1">
      <c r="B28" s="19" t="s">
        <v>115</v>
      </c>
      <c r="D28" s="19" t="s">
        <v>138</v>
      </c>
    </row>
    <row r="29" spans="2:4" ht="14.25" customHeight="1">
      <c r="B29" s="15" t="s">
        <v>117</v>
      </c>
      <c r="D29" s="20" t="s">
        <v>140</v>
      </c>
    </row>
    <row r="30" spans="2:4" ht="14.25" customHeight="1">
      <c r="B30" s="15" t="s">
        <v>119</v>
      </c>
      <c r="D30" s="20" t="s">
        <v>141</v>
      </c>
    </row>
    <row r="31" spans="2:4" ht="14.25" customHeight="1">
      <c r="B31" s="15" t="s">
        <v>120</v>
      </c>
      <c r="D31" s="20" t="s">
        <v>142</v>
      </c>
    </row>
    <row r="32" spans="2:4" ht="14.25" customHeight="1">
      <c r="B32" s="15" t="s">
        <v>122</v>
      </c>
      <c r="D32" s="20" t="s">
        <v>144</v>
      </c>
    </row>
    <row r="33" spans="2:4" ht="14.25" customHeight="1">
      <c r="B33" s="16"/>
      <c r="D33" s="20" t="s">
        <v>146</v>
      </c>
    </row>
    <row r="34" spans="2:4" ht="14.25" customHeight="1">
      <c r="B34" s="19" t="s">
        <v>125</v>
      </c>
      <c r="D34" s="20" t="s">
        <v>148</v>
      </c>
    </row>
    <row r="35" spans="2:4" ht="14.25" customHeight="1">
      <c r="B35" s="15" t="s">
        <v>127</v>
      </c>
      <c r="D35" s="20" t="s">
        <v>150</v>
      </c>
    </row>
    <row r="36" spans="2:4" ht="14.25" customHeight="1">
      <c r="B36" s="15" t="s">
        <v>129</v>
      </c>
      <c r="D36" s="20" t="s">
        <v>152</v>
      </c>
    </row>
    <row r="37" spans="2:4" ht="14.25" customHeight="1">
      <c r="B37" s="15" t="s">
        <v>131</v>
      </c>
      <c r="D37" s="22" t="s">
        <v>154</v>
      </c>
    </row>
    <row r="38" spans="2:4" ht="14.25" customHeight="1">
      <c r="B38" s="15" t="s">
        <v>133</v>
      </c>
      <c r="D38" s="20" t="s">
        <v>156</v>
      </c>
    </row>
    <row r="39" spans="2:4" ht="14.25" customHeight="1">
      <c r="B39" s="15" t="s">
        <v>135</v>
      </c>
      <c r="D39" s="20" t="s">
        <v>158</v>
      </c>
    </row>
    <row r="40" spans="2:4" ht="14.25" customHeight="1">
      <c r="B40" s="15" t="s">
        <v>137</v>
      </c>
      <c r="D40" s="20" t="s">
        <v>159</v>
      </c>
    </row>
    <row r="41" spans="2:4" ht="14.25" customHeight="1">
      <c r="B41" s="16"/>
      <c r="D41" s="20" t="s">
        <v>161</v>
      </c>
    </row>
    <row r="42" spans="2:4" ht="14.25" customHeight="1">
      <c r="B42" s="19" t="s">
        <v>139</v>
      </c>
    </row>
    <row r="43" spans="2:4" ht="14.25" customHeight="1">
      <c r="B43" s="36" t="s">
        <v>339</v>
      </c>
      <c r="D43" s="19" t="s">
        <v>164</v>
      </c>
    </row>
    <row r="44" spans="2:4" ht="14.25" customHeight="1">
      <c r="B44" s="18" t="s">
        <v>340</v>
      </c>
      <c r="D44" s="20" t="s">
        <v>166</v>
      </c>
    </row>
    <row r="45" spans="2:4" ht="14.25" customHeight="1">
      <c r="B45" s="15" t="s">
        <v>143</v>
      </c>
      <c r="D45" s="20" t="s">
        <v>168</v>
      </c>
    </row>
    <row r="46" spans="2:4" ht="14.25" customHeight="1">
      <c r="B46" s="21" t="s">
        <v>145</v>
      </c>
      <c r="D46" s="20" t="s">
        <v>170</v>
      </c>
    </row>
    <row r="47" spans="2:4" ht="14.25" customHeight="1">
      <c r="B47" s="15" t="s">
        <v>147</v>
      </c>
      <c r="D47" s="20" t="s">
        <v>172</v>
      </c>
    </row>
    <row r="48" spans="2:4" ht="14.25" customHeight="1">
      <c r="B48" s="15" t="s">
        <v>149</v>
      </c>
      <c r="D48" s="20" t="s">
        <v>174</v>
      </c>
    </row>
    <row r="49" spans="2:4" ht="14.25" customHeight="1">
      <c r="B49" s="15" t="s">
        <v>151</v>
      </c>
      <c r="D49" s="20" t="s">
        <v>182</v>
      </c>
    </row>
    <row r="50" spans="2:4" ht="14.25" customHeight="1">
      <c r="B50" s="15" t="s">
        <v>153</v>
      </c>
      <c r="D50" s="20" t="s">
        <v>184</v>
      </c>
    </row>
    <row r="51" spans="2:4" ht="14.25" customHeight="1">
      <c r="B51" s="15" t="s">
        <v>155</v>
      </c>
    </row>
    <row r="52" spans="2:4" ht="14.25" customHeight="1">
      <c r="B52" s="15" t="s">
        <v>157</v>
      </c>
      <c r="D52" s="19" t="s">
        <v>187</v>
      </c>
    </row>
    <row r="53" spans="2:4" ht="14.25" customHeight="1">
      <c r="B53" s="16"/>
      <c r="D53" s="20" t="s">
        <v>189</v>
      </c>
    </row>
    <row r="54" spans="2:4" ht="14.25" customHeight="1">
      <c r="B54" s="19" t="s">
        <v>160</v>
      </c>
      <c r="D54" s="20" t="s">
        <v>191</v>
      </c>
    </row>
    <row r="55" spans="2:4" ht="14.25" customHeight="1">
      <c r="B55" s="15" t="s">
        <v>162</v>
      </c>
      <c r="D55" s="20" t="s">
        <v>193</v>
      </c>
    </row>
    <row r="56" spans="2:4" ht="14.25" customHeight="1">
      <c r="B56" s="15" t="s">
        <v>163</v>
      </c>
      <c r="D56" s="20" t="s">
        <v>195</v>
      </c>
    </row>
    <row r="57" spans="2:4" ht="14.25" customHeight="1">
      <c r="B57" s="15" t="s">
        <v>165</v>
      </c>
      <c r="D57" s="20" t="s">
        <v>197</v>
      </c>
    </row>
    <row r="58" spans="2:4" ht="14.25" customHeight="1">
      <c r="B58" s="15" t="s">
        <v>167</v>
      </c>
      <c r="D58" s="20" t="s">
        <v>198</v>
      </c>
    </row>
    <row r="59" spans="2:4" ht="14.25" customHeight="1">
      <c r="B59" s="15" t="s">
        <v>169</v>
      </c>
      <c r="D59" s="20" t="s">
        <v>200</v>
      </c>
    </row>
    <row r="60" spans="2:4" ht="14.25" customHeight="1">
      <c r="B60" s="15" t="s">
        <v>171</v>
      </c>
      <c r="D60" s="20" t="s">
        <v>202</v>
      </c>
    </row>
    <row r="61" spans="2:4" ht="14.25" customHeight="1">
      <c r="B61" s="15" t="s">
        <v>173</v>
      </c>
      <c r="D61" s="20" t="s">
        <v>204</v>
      </c>
    </row>
    <row r="62" spans="2:4" ht="14.25" customHeight="1">
      <c r="B62" s="15" t="s">
        <v>175</v>
      </c>
      <c r="D62" s="23" t="s">
        <v>206</v>
      </c>
    </row>
    <row r="63" spans="2:4" ht="14.25" customHeight="1">
      <c r="B63" s="15" t="s">
        <v>176</v>
      </c>
      <c r="D63" s="20" t="s">
        <v>208</v>
      </c>
    </row>
    <row r="64" spans="2:4" ht="14.25" customHeight="1">
      <c r="B64" s="15" t="s">
        <v>177</v>
      </c>
      <c r="D64" s="20" t="s">
        <v>210</v>
      </c>
    </row>
    <row r="65" spans="2:4" ht="14.25" customHeight="1">
      <c r="B65" s="18" t="s">
        <v>178</v>
      </c>
      <c r="D65" s="20" t="s">
        <v>212</v>
      </c>
    </row>
    <row r="66" spans="2:4" ht="14.25" customHeight="1">
      <c r="B66" s="18" t="s">
        <v>179</v>
      </c>
    </row>
    <row r="67" spans="2:4" ht="14.25" customHeight="1">
      <c r="B67" s="18" t="s">
        <v>180</v>
      </c>
      <c r="D67" s="19" t="s">
        <v>214</v>
      </c>
    </row>
    <row r="68" spans="2:4" ht="14.25" customHeight="1">
      <c r="B68" s="15" t="s">
        <v>181</v>
      </c>
      <c r="D68" s="15" t="s">
        <v>216</v>
      </c>
    </row>
    <row r="69" spans="2:4" ht="14.25" customHeight="1">
      <c r="B69" s="15"/>
      <c r="D69" s="15" t="s">
        <v>218</v>
      </c>
    </row>
    <row r="70" spans="2:4" ht="14.25" customHeight="1">
      <c r="B70" s="19" t="s">
        <v>183</v>
      </c>
      <c r="D70" s="15" t="s">
        <v>220</v>
      </c>
    </row>
    <row r="71" spans="2:4" ht="14.25" customHeight="1">
      <c r="B71" s="15" t="s">
        <v>185</v>
      </c>
      <c r="D71" s="15" t="s">
        <v>222</v>
      </c>
    </row>
    <row r="72" spans="2:4" ht="14.25" customHeight="1">
      <c r="B72" s="15" t="s">
        <v>186</v>
      </c>
      <c r="D72" s="15" t="s">
        <v>224</v>
      </c>
    </row>
    <row r="73" spans="2:4" ht="14.25" customHeight="1">
      <c r="B73" s="15" t="s">
        <v>80</v>
      </c>
    </row>
    <row r="74" spans="2:4" ht="14.25" customHeight="1">
      <c r="B74" s="15" t="s">
        <v>82</v>
      </c>
    </row>
    <row r="75" spans="2:4" ht="14.25" customHeight="1">
      <c r="B75" s="15" t="s">
        <v>84</v>
      </c>
    </row>
    <row r="76" spans="2:4" ht="14.25" customHeight="1">
      <c r="B76" s="15" t="s">
        <v>85</v>
      </c>
    </row>
    <row r="77" spans="2:4" ht="14.25" customHeight="1">
      <c r="B77" s="19" t="s">
        <v>226</v>
      </c>
      <c r="D77" s="19" t="s">
        <v>238</v>
      </c>
    </row>
    <row r="78" spans="2:4" ht="14.25" customHeight="1">
      <c r="B78" s="15" t="s">
        <v>228</v>
      </c>
      <c r="D78" s="15" t="s">
        <v>240</v>
      </c>
    </row>
    <row r="79" spans="2:4" ht="14.25" customHeight="1">
      <c r="B79" s="15" t="s">
        <v>230</v>
      </c>
      <c r="D79" s="15" t="s">
        <v>242</v>
      </c>
    </row>
    <row r="80" spans="2:4" ht="14.25" customHeight="1">
      <c r="B80" s="15" t="s">
        <v>232</v>
      </c>
      <c r="D80" s="36" t="s">
        <v>349</v>
      </c>
    </row>
    <row r="81" spans="2:4" ht="14.25" customHeight="1">
      <c r="B81" s="15" t="s">
        <v>234</v>
      </c>
      <c r="D81" s="18" t="s">
        <v>350</v>
      </c>
    </row>
    <row r="82" spans="2:4" ht="14.25" customHeight="1">
      <c r="B82" s="15" t="s">
        <v>236</v>
      </c>
      <c r="D82" s="15" t="s">
        <v>246</v>
      </c>
    </row>
    <row r="83" spans="2:4" ht="14.25" customHeight="1">
      <c r="B83" s="15" t="s">
        <v>237</v>
      </c>
      <c r="D83" s="15" t="s">
        <v>248</v>
      </c>
    </row>
    <row r="84" spans="2:4" ht="14.25" customHeight="1">
      <c r="B84" s="15" t="s">
        <v>239</v>
      </c>
      <c r="D84" s="21" t="s">
        <v>249</v>
      </c>
    </row>
    <row r="85" spans="2:4" ht="14.25" customHeight="1">
      <c r="B85" s="15" t="s">
        <v>241</v>
      </c>
      <c r="D85" s="15" t="s">
        <v>250</v>
      </c>
    </row>
    <row r="86" spans="2:4" ht="14.25" customHeight="1">
      <c r="B86" s="15" t="s">
        <v>243</v>
      </c>
      <c r="D86" s="15" t="s">
        <v>251</v>
      </c>
    </row>
    <row r="87" spans="2:4" ht="14.25" customHeight="1">
      <c r="B87" s="15" t="s">
        <v>244</v>
      </c>
      <c r="D87" s="15" t="s">
        <v>253</v>
      </c>
    </row>
    <row r="88" spans="2:4" ht="14.25" customHeight="1">
      <c r="B88" s="15" t="s">
        <v>245</v>
      </c>
      <c r="D88" s="36" t="s">
        <v>347</v>
      </c>
    </row>
    <row r="89" spans="2:4" ht="14.25" customHeight="1">
      <c r="B89" s="15" t="s">
        <v>247</v>
      </c>
      <c r="D89" s="21" t="s">
        <v>348</v>
      </c>
    </row>
    <row r="90" spans="2:4" ht="14.25" customHeight="1">
      <c r="B90" s="36" t="s">
        <v>367</v>
      </c>
      <c r="D90" s="16"/>
    </row>
    <row r="91" spans="2:4" ht="14.25" customHeight="1">
      <c r="B91" s="18" t="s">
        <v>368</v>
      </c>
      <c r="D91" s="19" t="s">
        <v>258</v>
      </c>
    </row>
    <row r="92" spans="2:4" ht="14.25" customHeight="1">
      <c r="B92" s="16"/>
      <c r="D92" s="15" t="s">
        <v>260</v>
      </c>
    </row>
    <row r="93" spans="2:4" ht="14.25" customHeight="1">
      <c r="B93" s="19" t="s">
        <v>252</v>
      </c>
      <c r="D93" s="15" t="s">
        <v>262</v>
      </c>
    </row>
    <row r="94" spans="2:4" ht="14.25" customHeight="1">
      <c r="B94" s="15" t="s">
        <v>254</v>
      </c>
      <c r="D94" s="15" t="s">
        <v>264</v>
      </c>
    </row>
    <row r="95" spans="2:4" ht="14.25" customHeight="1">
      <c r="B95" s="15" t="s">
        <v>255</v>
      </c>
      <c r="D95" s="16"/>
    </row>
    <row r="96" spans="2:4" ht="14.25" customHeight="1">
      <c r="B96" s="15" t="s">
        <v>256</v>
      </c>
      <c r="D96" s="19" t="s">
        <v>266</v>
      </c>
    </row>
    <row r="97" spans="2:4" ht="14.25" customHeight="1">
      <c r="B97" s="15" t="s">
        <v>257</v>
      </c>
      <c r="D97" s="36" t="s">
        <v>344</v>
      </c>
    </row>
    <row r="98" spans="2:4" ht="14.25" customHeight="1">
      <c r="B98" s="15" t="s">
        <v>259</v>
      </c>
      <c r="D98" s="15" t="s">
        <v>269</v>
      </c>
    </row>
    <row r="99" spans="2:4" ht="14.25" customHeight="1">
      <c r="B99" s="15" t="s">
        <v>261</v>
      </c>
      <c r="D99" s="15" t="s">
        <v>272</v>
      </c>
    </row>
    <row r="100" spans="2:4" ht="14.25" customHeight="1">
      <c r="B100" s="15" t="s">
        <v>263</v>
      </c>
      <c r="D100" s="36" t="s">
        <v>345</v>
      </c>
    </row>
    <row r="101" spans="2:4" ht="14.25" customHeight="1">
      <c r="B101" s="16"/>
      <c r="D101" s="18" t="s">
        <v>346</v>
      </c>
    </row>
    <row r="102" spans="2:4" ht="14.25" customHeight="1">
      <c r="B102" s="19" t="s">
        <v>265</v>
      </c>
    </row>
    <row r="103" spans="2:4" ht="14.25" customHeight="1">
      <c r="B103" s="15" t="s">
        <v>267</v>
      </c>
      <c r="D103" s="19" t="s">
        <v>274</v>
      </c>
    </row>
    <row r="104" spans="2:4" ht="14.25" customHeight="1">
      <c r="B104" s="15" t="s">
        <v>268</v>
      </c>
      <c r="D104" s="15" t="s">
        <v>276</v>
      </c>
    </row>
    <row r="105" spans="2:4" ht="14.25" customHeight="1">
      <c r="B105" s="15" t="s">
        <v>270</v>
      </c>
      <c r="D105" s="15" t="s">
        <v>277</v>
      </c>
    </row>
    <row r="106" spans="2:4" ht="14.25" customHeight="1">
      <c r="B106" s="15" t="s">
        <v>271</v>
      </c>
      <c r="D106" s="16"/>
    </row>
    <row r="107" spans="2:4" ht="14.25" customHeight="1">
      <c r="B107" s="15" t="s">
        <v>273</v>
      </c>
      <c r="D107" s="19" t="s">
        <v>279</v>
      </c>
    </row>
    <row r="108" spans="2:4" ht="14.25" customHeight="1">
      <c r="B108" s="36" t="s">
        <v>369</v>
      </c>
      <c r="D108" s="15" t="s">
        <v>281</v>
      </c>
    </row>
    <row r="109" spans="2:4" ht="13.5" customHeight="1">
      <c r="B109" s="18" t="s">
        <v>370</v>
      </c>
      <c r="D109" s="15" t="s">
        <v>282</v>
      </c>
    </row>
    <row r="110" spans="2:4" ht="13.5" customHeight="1">
      <c r="B110" s="16"/>
      <c r="D110" s="21" t="s">
        <v>284</v>
      </c>
    </row>
    <row r="111" spans="2:4" ht="13.5" customHeight="1">
      <c r="B111" s="19" t="s">
        <v>275</v>
      </c>
      <c r="D111" s="16"/>
    </row>
    <row r="112" spans="2:4" ht="14.25" customHeight="1">
      <c r="B112" s="18" t="s">
        <v>371</v>
      </c>
      <c r="D112" s="37" t="s">
        <v>343</v>
      </c>
    </row>
    <row r="113" spans="2:4" ht="14.25" customHeight="1">
      <c r="B113" s="73" t="s">
        <v>372</v>
      </c>
      <c r="D113" s="15" t="s">
        <v>288</v>
      </c>
    </row>
    <row r="114" spans="2:4" ht="14.25" customHeight="1">
      <c r="B114" s="15" t="s">
        <v>278</v>
      </c>
      <c r="D114" s="15" t="s">
        <v>290</v>
      </c>
    </row>
    <row r="115" spans="2:4" ht="14.25" customHeight="1">
      <c r="B115" s="18" t="s">
        <v>280</v>
      </c>
      <c r="D115" s="15" t="s">
        <v>292</v>
      </c>
    </row>
    <row r="116" spans="2:4" ht="14.25" customHeight="1">
      <c r="B116" s="16"/>
      <c r="D116" s="15" t="s">
        <v>293</v>
      </c>
    </row>
    <row r="117" spans="2:4" ht="14.25" customHeight="1">
      <c r="B117" s="19" t="s">
        <v>283</v>
      </c>
    </row>
    <row r="118" spans="2:4" ht="14.25" customHeight="1">
      <c r="B118" s="15" t="s">
        <v>285</v>
      </c>
    </row>
    <row r="119" spans="2:4" ht="14.25" customHeight="1">
      <c r="B119" s="15" t="s">
        <v>286</v>
      </c>
    </row>
    <row r="120" spans="2:4" ht="14.25" customHeight="1">
      <c r="B120" s="15" t="s">
        <v>287</v>
      </c>
    </row>
    <row r="121" spans="2:4" ht="14.25" customHeight="1">
      <c r="B121" s="15" t="s">
        <v>289</v>
      </c>
    </row>
    <row r="122" spans="2:4" ht="14.25" customHeight="1">
      <c r="B122" s="15" t="s">
        <v>291</v>
      </c>
    </row>
    <row r="123" spans="2:4" ht="14.25" customHeight="1"/>
    <row r="124" spans="2:4" ht="14.25" customHeight="1">
      <c r="B124" s="19" t="s">
        <v>188</v>
      </c>
    </row>
    <row r="125" spans="2:4" ht="14.25" customHeight="1">
      <c r="B125" s="15" t="s">
        <v>190</v>
      </c>
    </row>
    <row r="126" spans="2:4" ht="14.25" customHeight="1">
      <c r="B126" s="15" t="s">
        <v>192</v>
      </c>
    </row>
    <row r="127" spans="2:4" ht="14.25" customHeight="1">
      <c r="B127" s="15" t="s">
        <v>194</v>
      </c>
    </row>
    <row r="128" spans="2:4" ht="14.25" customHeight="1">
      <c r="B128" s="15" t="s">
        <v>196</v>
      </c>
    </row>
    <row r="129" spans="2:3" ht="14.25" customHeight="1">
      <c r="B129" s="16"/>
    </row>
    <row r="130" spans="2:3" ht="14.25" customHeight="1">
      <c r="B130" s="19" t="s">
        <v>199</v>
      </c>
    </row>
    <row r="131" spans="2:3" ht="14.25" customHeight="1">
      <c r="B131" s="20" t="s">
        <v>201</v>
      </c>
    </row>
    <row r="132" spans="2:3" ht="14.25" customHeight="1">
      <c r="B132" s="20" t="s">
        <v>203</v>
      </c>
    </row>
    <row r="133" spans="2:3" ht="14.25" customHeight="1">
      <c r="B133" s="20" t="s">
        <v>205</v>
      </c>
    </row>
    <row r="134" spans="2:3" ht="14.25" customHeight="1">
      <c r="B134" s="22" t="s">
        <v>207</v>
      </c>
    </row>
    <row r="135" spans="2:3" ht="14.25" customHeight="1">
      <c r="B135" s="20" t="s">
        <v>209</v>
      </c>
    </row>
    <row r="136" spans="2:3" ht="14.25" customHeight="1">
      <c r="B136" s="20" t="s">
        <v>211</v>
      </c>
    </row>
    <row r="137" spans="2:3" ht="14.25" customHeight="1">
      <c r="B137" s="22" t="s">
        <v>213</v>
      </c>
    </row>
    <row r="138" spans="2:3" ht="14.25" customHeight="1">
      <c r="B138" s="16"/>
    </row>
    <row r="139" spans="2:3" ht="14.25" customHeight="1">
      <c r="B139" s="19" t="s">
        <v>215</v>
      </c>
    </row>
    <row r="140" spans="2:3" ht="14.25" customHeight="1">
      <c r="B140" s="20" t="s">
        <v>217</v>
      </c>
    </row>
    <row r="141" spans="2:3" ht="14.25" customHeight="1">
      <c r="B141" s="20" t="s">
        <v>219</v>
      </c>
    </row>
    <row r="142" spans="2:3" ht="14.25" customHeight="1">
      <c r="B142" s="20" t="s">
        <v>221</v>
      </c>
    </row>
    <row r="143" spans="2:3" ht="14.25" customHeight="1">
      <c r="B143" s="15" t="s">
        <v>223</v>
      </c>
    </row>
    <row r="144" spans="2:3" ht="14.25" customHeight="1">
      <c r="B144" s="15" t="s">
        <v>225</v>
      </c>
      <c r="C144" s="24"/>
    </row>
    <row r="145" spans="2:4" ht="14.25" customHeight="1">
      <c r="B145" s="15"/>
      <c r="C145" s="24"/>
    </row>
    <row r="146" spans="2:4" ht="14.25" customHeight="1">
      <c r="B146" s="19" t="s">
        <v>227</v>
      </c>
      <c r="C146" s="24"/>
      <c r="D146" s="16"/>
    </row>
    <row r="147" spans="2:4" ht="14.25" customHeight="1">
      <c r="B147" s="15" t="s">
        <v>229</v>
      </c>
      <c r="C147" s="24"/>
      <c r="D147" s="16"/>
    </row>
    <row r="148" spans="2:4" ht="14.25" customHeight="1">
      <c r="B148" s="15" t="s">
        <v>231</v>
      </c>
      <c r="C148" s="24"/>
      <c r="D148" s="16"/>
    </row>
    <row r="149" spans="2:4" ht="14.25" customHeight="1">
      <c r="B149" s="15" t="s">
        <v>233</v>
      </c>
      <c r="C149" s="24"/>
      <c r="D149" s="16"/>
    </row>
    <row r="150" spans="2:4" ht="14.25" customHeight="1">
      <c r="B150" s="15" t="s">
        <v>235</v>
      </c>
      <c r="C150" s="24"/>
      <c r="D150" s="16"/>
    </row>
    <row r="151" spans="2:4" ht="14.25" customHeight="1">
      <c r="B151" s="16"/>
      <c r="C151" s="25"/>
      <c r="D151" s="16"/>
    </row>
    <row r="152" spans="2:4" ht="14.25" customHeight="1">
      <c r="B152" s="26" t="s">
        <v>294</v>
      </c>
      <c r="C152" s="26"/>
      <c r="D152" s="26"/>
    </row>
    <row r="153" spans="2:4" ht="14.25" customHeight="1">
      <c r="B153" s="27" t="str">
        <f>"계약자             "&amp;계약서!C11&amp;"                       서명 또는 인"</f>
        <v>계약자             안종식                       서명 또는 인</v>
      </c>
      <c r="C153" s="16"/>
      <c r="D153" s="27"/>
    </row>
    <row r="154" spans="2:4" ht="14.25" customHeight="1">
      <c r="B154" s="25"/>
      <c r="D154" s="28"/>
    </row>
    <row r="155" spans="2:4" ht="13.5" customHeight="1"/>
    <row r="156" spans="2:4" ht="13.5" customHeight="1"/>
    <row r="157" spans="2:4" ht="13.5" customHeight="1"/>
    <row r="158" spans="2:4" ht="13.5" customHeight="1"/>
    <row r="159" spans="2:4" ht="13.5" customHeight="1"/>
    <row r="160" spans="2:4" ht="13.5" customHeight="1"/>
    <row r="161" spans="2:4" ht="13.5" customHeight="1"/>
    <row r="162" spans="2:4" ht="13.5" customHeight="1"/>
    <row r="163" spans="2:4" ht="13.5" customHeight="1">
      <c r="B163" s="16"/>
      <c r="C163" s="16"/>
      <c r="D163" s="16"/>
    </row>
    <row r="164" spans="2:4" ht="13.5" customHeight="1">
      <c r="B164" s="16"/>
      <c r="C164" s="16"/>
      <c r="D164" s="16"/>
    </row>
    <row r="165" spans="2:4" ht="13.5" customHeight="1">
      <c r="B165" s="16"/>
      <c r="C165" s="16"/>
      <c r="D165" s="16"/>
    </row>
    <row r="166" spans="2:4" s="29" customFormat="1" ht="13.5" customHeight="1">
      <c r="B166" s="16"/>
      <c r="C166" s="16"/>
      <c r="D166" s="16"/>
    </row>
    <row r="167" spans="2:4" ht="13.5" customHeight="1">
      <c r="B167" s="16"/>
      <c r="C167" s="16"/>
      <c r="D167" s="16"/>
    </row>
    <row r="168" spans="2:4" ht="13.5" customHeight="1">
      <c r="B168" s="16"/>
      <c r="C168" s="16"/>
      <c r="D168" s="16"/>
    </row>
    <row r="169" spans="2:4" ht="13.5" customHeight="1">
      <c r="B169" s="16"/>
      <c r="C169" s="16"/>
      <c r="D169" s="16"/>
    </row>
    <row r="170" spans="2:4" ht="13.5" customHeight="1">
      <c r="B170" s="16"/>
      <c r="C170" s="16"/>
      <c r="D170" s="16"/>
    </row>
    <row r="171" spans="2:4" ht="13.5" customHeight="1">
      <c r="B171" s="16"/>
      <c r="C171" s="16"/>
      <c r="D171" s="16"/>
    </row>
    <row r="172" spans="2:4" ht="13.5" customHeight="1">
      <c r="B172" s="16"/>
      <c r="C172" s="16"/>
      <c r="D172" s="16"/>
    </row>
    <row r="173" spans="2:4" ht="13.5" customHeight="1">
      <c r="B173" s="16"/>
      <c r="C173" s="16"/>
      <c r="D173" s="16"/>
    </row>
    <row r="174" spans="2:4" ht="13.5" customHeight="1">
      <c r="B174" s="16"/>
      <c r="C174" s="16"/>
      <c r="D174" s="16"/>
    </row>
    <row r="175" spans="2:4" ht="13.5" customHeight="1">
      <c r="B175" s="16"/>
      <c r="C175" s="16"/>
      <c r="D175" s="16"/>
    </row>
    <row r="176" spans="2:4" ht="13.5" customHeight="1">
      <c r="B176" s="16"/>
      <c r="C176" s="16"/>
      <c r="D176" s="16"/>
    </row>
    <row r="177" spans="2:4" ht="13.5" customHeight="1">
      <c r="B177" s="16"/>
      <c r="C177" s="16"/>
      <c r="D177" s="16"/>
    </row>
    <row r="178" spans="2:4" ht="13.5" customHeight="1">
      <c r="B178" s="16"/>
      <c r="C178" s="16"/>
      <c r="D178" s="16"/>
    </row>
    <row r="179" spans="2:4" ht="13.5" customHeight="1">
      <c r="B179" s="16"/>
      <c r="C179" s="16"/>
      <c r="D179" s="16"/>
    </row>
    <row r="180" spans="2:4" ht="13.5" customHeight="1">
      <c r="B180" s="16"/>
      <c r="C180" s="16"/>
      <c r="D180" s="16"/>
    </row>
    <row r="181" spans="2:4" ht="13.5" customHeight="1">
      <c r="B181" s="16"/>
      <c r="C181" s="16"/>
      <c r="D181" s="16"/>
    </row>
    <row r="182" spans="2:4" ht="13.5" customHeight="1">
      <c r="B182" s="16"/>
      <c r="C182" s="16"/>
      <c r="D182" s="16"/>
    </row>
    <row r="183" spans="2:4" ht="13.5" customHeight="1">
      <c r="B183" s="16"/>
      <c r="C183" s="16"/>
      <c r="D183" s="16"/>
    </row>
    <row r="184" spans="2:4" ht="13.5" customHeight="1">
      <c r="B184" s="16"/>
      <c r="C184" s="16"/>
      <c r="D184" s="16"/>
    </row>
    <row r="185" spans="2:4" ht="13.5" customHeight="1">
      <c r="B185" s="16"/>
      <c r="C185" s="16"/>
      <c r="D185" s="16"/>
    </row>
    <row r="186" spans="2:4" ht="13.5" customHeight="1">
      <c r="B186" s="16"/>
      <c r="C186" s="16"/>
      <c r="D186" s="16"/>
    </row>
    <row r="187" spans="2:4" ht="13.5" customHeight="1">
      <c r="B187" s="16"/>
      <c r="C187" s="16"/>
      <c r="D187" s="16"/>
    </row>
    <row r="188" spans="2:4" ht="13.5" customHeight="1">
      <c r="B188" s="16"/>
      <c r="C188" s="16"/>
      <c r="D188" s="16"/>
    </row>
    <row r="189" spans="2:4" ht="13.5" customHeight="1">
      <c r="B189" s="16"/>
      <c r="C189" s="16"/>
      <c r="D189" s="16"/>
    </row>
    <row r="190" spans="2:4" ht="13.5" customHeight="1">
      <c r="B190" s="16"/>
      <c r="C190" s="16"/>
      <c r="D190" s="16"/>
    </row>
    <row r="191" spans="2:4" ht="13.5" customHeight="1">
      <c r="B191" s="16"/>
      <c r="C191" s="16"/>
      <c r="D191" s="16"/>
    </row>
    <row r="192" spans="2:4" ht="13.5" customHeight="1">
      <c r="B192" s="16"/>
      <c r="C192" s="16"/>
      <c r="D192" s="16"/>
    </row>
    <row r="193" spans="2:4" ht="13.5" customHeight="1">
      <c r="B193" s="16"/>
      <c r="C193" s="16"/>
      <c r="D193" s="16"/>
    </row>
    <row r="194" spans="2:4" ht="13.5" customHeight="1">
      <c r="B194" s="16"/>
      <c r="C194" s="16"/>
      <c r="D194" s="16"/>
    </row>
    <row r="195" spans="2:4" ht="13.5" customHeight="1">
      <c r="B195" s="16"/>
      <c r="C195" s="16"/>
      <c r="D195" s="16"/>
    </row>
    <row r="196" spans="2:4" ht="13.5" customHeight="1">
      <c r="B196" s="16"/>
      <c r="C196" s="16"/>
      <c r="D196" s="16"/>
    </row>
    <row r="197" spans="2:4" ht="13.5" customHeight="1">
      <c r="B197" s="16"/>
      <c r="C197" s="16"/>
      <c r="D197" s="16"/>
    </row>
    <row r="198" spans="2:4" ht="13.5" customHeight="1">
      <c r="B198" s="16"/>
      <c r="C198" s="16"/>
      <c r="D198" s="16"/>
    </row>
    <row r="199" spans="2:4" ht="13.5" customHeight="1">
      <c r="B199" s="16"/>
      <c r="C199" s="16"/>
      <c r="D199" s="16"/>
    </row>
    <row r="200" spans="2:4" ht="13.5" customHeight="1">
      <c r="B200" s="16"/>
      <c r="C200" s="16"/>
      <c r="D200" s="16"/>
    </row>
    <row r="201" spans="2:4" ht="13.5" customHeight="1">
      <c r="B201" s="16"/>
      <c r="C201" s="16"/>
      <c r="D201" s="16"/>
    </row>
    <row r="202" spans="2:4" ht="13.5" customHeight="1">
      <c r="B202" s="16"/>
      <c r="C202" s="16"/>
      <c r="D202" s="16"/>
    </row>
    <row r="203" spans="2:4" ht="13.5" customHeight="1">
      <c r="B203" s="16"/>
      <c r="C203" s="16"/>
      <c r="D203" s="16"/>
    </row>
    <row r="204" spans="2:4" ht="13.5" customHeight="1">
      <c r="B204" s="16"/>
      <c r="C204" s="16"/>
      <c r="D204" s="16"/>
    </row>
    <row r="205" spans="2:4">
      <c r="B205" s="16"/>
      <c r="C205" s="16"/>
      <c r="D205" s="16"/>
    </row>
    <row r="207" spans="2:4" ht="21.75" customHeight="1"/>
    <row r="208" spans="2:4" ht="15.75" customHeight="1"/>
    <row r="209" spans="2:4" ht="15.75" customHeight="1"/>
    <row r="210" spans="2:4" ht="15.75" customHeight="1">
      <c r="B210" s="16"/>
      <c r="C210" s="16"/>
      <c r="D210" s="16"/>
    </row>
    <row r="211" spans="2:4" ht="15.75" customHeight="1">
      <c r="B211" s="16"/>
      <c r="C211" s="16"/>
      <c r="D211" s="16"/>
    </row>
    <row r="212" spans="2:4">
      <c r="B212" s="16"/>
      <c r="D212" s="16"/>
    </row>
    <row r="213" spans="2:4" ht="21.75" customHeight="1">
      <c r="B213" s="16"/>
      <c r="D213" s="16"/>
    </row>
    <row r="214" spans="2:4" ht="48" customHeight="1">
      <c r="B214" s="16"/>
      <c r="D214" s="16"/>
    </row>
    <row r="215" spans="2:4" ht="48" customHeight="1">
      <c r="B215" s="16"/>
      <c r="D215" s="16"/>
    </row>
    <row r="216" spans="2:4" ht="48" customHeight="1">
      <c r="B216" s="16"/>
      <c r="D216" s="16"/>
    </row>
    <row r="217" spans="2:4" ht="31.5" customHeight="1">
      <c r="B217" s="16"/>
      <c r="D217" s="16"/>
    </row>
    <row r="218" spans="2:4" ht="31.5" customHeight="1">
      <c r="B218" s="16"/>
      <c r="D218" s="16"/>
    </row>
    <row r="219" spans="2:4" ht="31.5" customHeight="1">
      <c r="B219" s="16"/>
      <c r="D219" s="16"/>
    </row>
    <row r="220" spans="2:4" ht="31.5" customHeight="1">
      <c r="B220" s="16"/>
      <c r="D220" s="16"/>
    </row>
    <row r="221" spans="2:4" ht="15.75" customHeight="1">
      <c r="B221" s="16"/>
      <c r="D221" s="16"/>
    </row>
    <row r="222" spans="2:4">
      <c r="B222" s="16"/>
      <c r="D222" s="16"/>
    </row>
    <row r="223" spans="2:4">
      <c r="B223" s="16"/>
      <c r="D223" s="16"/>
    </row>
    <row r="224" spans="2:4" ht="21.75" customHeight="1">
      <c r="B224" s="16"/>
      <c r="D224" s="16"/>
    </row>
    <row r="225" spans="2:4" ht="31.5" customHeight="1">
      <c r="B225" s="16"/>
      <c r="D225" s="16"/>
    </row>
    <row r="226" spans="2:4">
      <c r="B226" s="16"/>
      <c r="D226" s="16"/>
    </row>
    <row r="227" spans="2:4">
      <c r="B227" s="16"/>
      <c r="D227" s="16"/>
    </row>
    <row r="228" spans="2:4">
      <c r="B228" s="16"/>
      <c r="C228" s="24"/>
    </row>
    <row r="229" spans="2:4">
      <c r="B229" s="16"/>
      <c r="C229" s="25"/>
    </row>
    <row r="230" spans="2:4">
      <c r="B230" s="16"/>
      <c r="D230" s="16"/>
    </row>
    <row r="231" spans="2:4">
      <c r="B231" s="25"/>
      <c r="D231" s="16"/>
    </row>
    <row r="232" spans="2:4">
      <c r="B232" s="25"/>
      <c r="D232" s="28"/>
    </row>
  </sheetData>
  <mergeCells count="1">
    <mergeCell ref="B1:D1"/>
  </mergeCells>
  <phoneticPr fontId="69" type="noConversion"/>
  <pageMargins left="0.3" right="0.3" top="0.4" bottom="0.4" header="0.511811023622047" footer="0.511811023622047"/>
  <pageSetup paperSize="9" scale="71" fitToHeight="0" orientation="portrait" r:id="rId1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topLeftCell="A16" zoomScaleNormal="100" workbookViewId="0">
      <selection activeCell="C34" sqref="C34:H34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69" t="s">
        <v>295</v>
      </c>
      <c r="C2" s="69"/>
      <c r="D2" s="69"/>
      <c r="E2" s="69"/>
      <c r="F2" s="69"/>
      <c r="G2" s="69"/>
      <c r="H2" s="69"/>
      <c r="I2" s="69"/>
    </row>
    <row r="3" spans="2:9" ht="18" customHeight="1">
      <c r="B3" s="70" t="s">
        <v>296</v>
      </c>
      <c r="C3" s="70"/>
      <c r="D3" s="70"/>
      <c r="E3" s="70"/>
      <c r="F3" s="70"/>
      <c r="G3" s="70"/>
      <c r="H3" s="70"/>
      <c r="I3" s="70"/>
    </row>
    <row r="5" spans="2:9" ht="49.5" customHeight="1">
      <c r="B5" s="71" t="s">
        <v>297</v>
      </c>
      <c r="C5" s="71"/>
      <c r="D5" s="71"/>
      <c r="E5" s="71"/>
      <c r="F5" s="71"/>
      <c r="G5" s="71"/>
      <c r="H5" s="71"/>
      <c r="I5" s="71"/>
    </row>
    <row r="7" spans="2:9" ht="25.5" customHeight="1">
      <c r="B7" s="67" t="s">
        <v>298</v>
      </c>
      <c r="C7" s="67"/>
      <c r="D7" s="67"/>
      <c r="E7" s="67"/>
      <c r="F7" s="67"/>
      <c r="G7" s="67"/>
      <c r="H7" s="67"/>
      <c r="I7" s="67"/>
    </row>
    <row r="8" spans="2:9" ht="42" customHeight="1">
      <c r="B8" s="72" t="s">
        <v>299</v>
      </c>
      <c r="C8" s="72"/>
      <c r="D8" s="72"/>
      <c r="E8" s="72"/>
      <c r="F8" s="72"/>
      <c r="G8" s="72"/>
      <c r="H8" s="72"/>
      <c r="I8" s="72"/>
    </row>
    <row r="10" spans="2:9" ht="25.5" customHeight="1">
      <c r="B10" s="67" t="s">
        <v>300</v>
      </c>
      <c r="C10" s="67"/>
      <c r="D10" s="67"/>
      <c r="E10" s="67"/>
      <c r="F10" s="67"/>
      <c r="G10" s="67"/>
      <c r="H10" s="67"/>
      <c r="I10" s="67"/>
    </row>
    <row r="11" spans="2:9" ht="21.75" customHeight="1">
      <c r="B11" s="68" t="s">
        <v>301</v>
      </c>
      <c r="C11" s="68"/>
      <c r="D11" s="68"/>
      <c r="E11" s="68"/>
      <c r="F11" s="68"/>
      <c r="G11" s="68"/>
      <c r="H11" s="68"/>
      <c r="I11" s="68"/>
    </row>
    <row r="12" spans="2:9" ht="37.5" customHeight="1">
      <c r="B12" s="30" t="s">
        <v>302</v>
      </c>
      <c r="C12" s="31" t="s">
        <v>60</v>
      </c>
      <c r="D12" s="65" t="s">
        <v>303</v>
      </c>
      <c r="E12" s="65"/>
      <c r="F12" s="65"/>
      <c r="G12" s="65"/>
      <c r="H12" s="65"/>
      <c r="I12" s="65"/>
    </row>
    <row r="13" spans="2:9" ht="37.5" customHeight="1">
      <c r="B13" s="30" t="s">
        <v>304</v>
      </c>
      <c r="C13" s="31" t="s">
        <v>305</v>
      </c>
      <c r="D13" s="65" t="s">
        <v>306</v>
      </c>
      <c r="E13" s="65"/>
      <c r="F13" s="65"/>
      <c r="G13" s="65"/>
      <c r="H13" s="65"/>
      <c r="I13" s="65"/>
    </row>
    <row r="14" spans="2:9" ht="37.5" customHeight="1">
      <c r="B14" s="30" t="s">
        <v>307</v>
      </c>
      <c r="C14" s="31" t="s">
        <v>62</v>
      </c>
      <c r="D14" s="65" t="s">
        <v>308</v>
      </c>
      <c r="E14" s="65"/>
      <c r="F14" s="65"/>
      <c r="G14" s="65"/>
      <c r="H14" s="65"/>
      <c r="I14" s="65"/>
    </row>
    <row r="15" spans="2:9" ht="37.5" customHeight="1">
      <c r="B15" s="30" t="s">
        <v>309</v>
      </c>
      <c r="C15" s="32" t="s">
        <v>310</v>
      </c>
      <c r="D15" s="65" t="s">
        <v>311</v>
      </c>
      <c r="E15" s="65"/>
      <c r="F15" s="65"/>
      <c r="G15" s="65"/>
      <c r="H15" s="65"/>
      <c r="I15" s="65"/>
    </row>
    <row r="16" spans="2:9" ht="37.5" customHeight="1">
      <c r="B16" s="30" t="s">
        <v>312</v>
      </c>
      <c r="C16" s="31" t="s">
        <v>313</v>
      </c>
      <c r="D16" s="65" t="s">
        <v>314</v>
      </c>
      <c r="E16" s="65"/>
      <c r="F16" s="65"/>
      <c r="G16" s="65"/>
      <c r="H16" s="65"/>
      <c r="I16" s="65"/>
    </row>
    <row r="17" spans="2:9" ht="37.5" customHeight="1">
      <c r="B17" s="30" t="s">
        <v>315</v>
      </c>
      <c r="C17" s="31" t="s">
        <v>316</v>
      </c>
      <c r="D17" s="65" t="s">
        <v>317</v>
      </c>
      <c r="E17" s="65"/>
      <c r="F17" s="65"/>
      <c r="G17" s="65"/>
      <c r="H17" s="65"/>
      <c r="I17" s="65"/>
    </row>
    <row r="18" spans="2:9" ht="25.5" customHeight="1">
      <c r="B18" s="67" t="s">
        <v>318</v>
      </c>
      <c r="C18" s="67"/>
      <c r="D18" s="67"/>
      <c r="E18" s="67"/>
      <c r="F18" s="67"/>
      <c r="G18" s="67"/>
      <c r="H18" s="67"/>
      <c r="I18" s="67"/>
    </row>
    <row r="19" spans="2:9" ht="43.5" customHeight="1">
      <c r="B19" s="68" t="s">
        <v>319</v>
      </c>
      <c r="C19" s="68"/>
      <c r="D19" s="68"/>
      <c r="E19" s="68"/>
      <c r="F19" s="68"/>
      <c r="G19" s="68"/>
      <c r="H19" s="68"/>
      <c r="I19" s="68"/>
    </row>
    <row r="21" spans="2:9" ht="25.5" customHeight="1">
      <c r="B21" s="67" t="s">
        <v>320</v>
      </c>
      <c r="C21" s="67"/>
      <c r="D21" s="67"/>
      <c r="E21" s="67"/>
      <c r="F21" s="67"/>
      <c r="G21" s="67"/>
      <c r="H21" s="67"/>
      <c r="I21" s="67"/>
    </row>
    <row r="22" spans="2:9" ht="31.5" customHeight="1">
      <c r="B22" s="68" t="s">
        <v>321</v>
      </c>
      <c r="C22" s="68"/>
      <c r="D22" s="68"/>
      <c r="E22" s="68"/>
      <c r="F22" s="68"/>
      <c r="G22" s="68"/>
      <c r="H22" s="68"/>
      <c r="I22" s="68"/>
    </row>
    <row r="23" spans="2:9" ht="30" customHeight="1">
      <c r="B23" s="30" t="s">
        <v>302</v>
      </c>
      <c r="C23" s="31" t="s">
        <v>322</v>
      </c>
      <c r="D23" s="65" t="s">
        <v>323</v>
      </c>
      <c r="E23" s="65"/>
      <c r="F23" s="65"/>
      <c r="G23" s="65"/>
      <c r="H23" s="65"/>
      <c r="I23" s="65"/>
    </row>
    <row r="24" spans="2:9" ht="30" customHeight="1">
      <c r="B24" s="30" t="s">
        <v>304</v>
      </c>
      <c r="C24" s="31" t="s">
        <v>324</v>
      </c>
      <c r="D24" s="65" t="s">
        <v>325</v>
      </c>
      <c r="E24" s="65"/>
      <c r="F24" s="65"/>
      <c r="G24" s="65"/>
      <c r="H24" s="65"/>
      <c r="I24" s="65"/>
    </row>
    <row r="25" spans="2:9" ht="30" customHeight="1">
      <c r="B25" s="30" t="s">
        <v>307</v>
      </c>
      <c r="C25" s="31" t="s">
        <v>326</v>
      </c>
      <c r="D25" s="65" t="s">
        <v>327</v>
      </c>
      <c r="E25" s="65"/>
      <c r="F25" s="65"/>
      <c r="G25" s="65"/>
      <c r="H25" s="65"/>
      <c r="I25" s="65"/>
    </row>
    <row r="26" spans="2:9" ht="30" customHeight="1">
      <c r="B26" s="30" t="s">
        <v>309</v>
      </c>
      <c r="C26" s="31" t="s">
        <v>328</v>
      </c>
      <c r="D26" s="65" t="s">
        <v>329</v>
      </c>
      <c r="E26" s="65"/>
      <c r="F26" s="65"/>
      <c r="G26" s="65"/>
      <c r="H26" s="65"/>
      <c r="I26" s="65"/>
    </row>
    <row r="27" spans="2:9" ht="30" customHeight="1">
      <c r="B27" s="30" t="s">
        <v>312</v>
      </c>
      <c r="C27" s="31" t="s">
        <v>330</v>
      </c>
      <c r="D27" s="65" t="s">
        <v>331</v>
      </c>
      <c r="E27" s="65"/>
      <c r="F27" s="65"/>
      <c r="G27" s="65"/>
      <c r="H27" s="65"/>
      <c r="I27" s="65"/>
    </row>
    <row r="28" spans="2:9" ht="30" customHeight="1">
      <c r="B28" s="30" t="s">
        <v>315</v>
      </c>
      <c r="C28" s="31" t="s">
        <v>332</v>
      </c>
      <c r="D28" s="65" t="s">
        <v>333</v>
      </c>
      <c r="E28" s="65"/>
      <c r="F28" s="65"/>
      <c r="G28" s="65"/>
      <c r="H28" s="65"/>
      <c r="I28" s="65"/>
    </row>
    <row r="29" spans="2:9" ht="30" customHeight="1">
      <c r="B29" s="30" t="s">
        <v>334</v>
      </c>
      <c r="C29" s="31" t="s">
        <v>335</v>
      </c>
      <c r="D29" s="65" t="s">
        <v>336</v>
      </c>
      <c r="E29" s="65"/>
      <c r="F29" s="65"/>
      <c r="G29" s="65"/>
      <c r="H29" s="65"/>
      <c r="I29" s="65"/>
    </row>
    <row r="31" spans="2:9" ht="7.5" customHeight="1">
      <c r="B31" s="33"/>
      <c r="C31" s="33"/>
      <c r="D31" s="33"/>
      <c r="E31" s="33"/>
      <c r="F31" s="33"/>
      <c r="G31" s="33"/>
      <c r="H31" s="33"/>
      <c r="I31" s="33"/>
    </row>
    <row r="32" spans="2:9" ht="36" customHeight="1">
      <c r="B32" s="66" t="s">
        <v>337</v>
      </c>
      <c r="C32" s="66"/>
      <c r="D32" s="66"/>
      <c r="E32" s="66"/>
      <c r="F32" s="66"/>
      <c r="G32" s="66"/>
      <c r="H32" s="66"/>
      <c r="I32" s="66"/>
    </row>
    <row r="34" spans="2:9" ht="42" customHeight="1">
      <c r="B34" s="34" t="s">
        <v>75</v>
      </c>
      <c r="C34" s="64" t="str">
        <f>계약서!C11</f>
        <v>안종식</v>
      </c>
      <c r="D34" s="64"/>
      <c r="E34" s="64"/>
      <c r="F34" s="64"/>
      <c r="G34" s="64"/>
      <c r="H34" s="64"/>
      <c r="I34" s="35" t="s">
        <v>338</v>
      </c>
    </row>
    <row r="36" spans="2:9" ht="42" customHeight="1">
      <c r="B36" s="34" t="s">
        <v>77</v>
      </c>
      <c r="C36" s="64" t="s">
        <v>35</v>
      </c>
      <c r="D36" s="64"/>
      <c r="E36" s="64"/>
      <c r="F36" s="64"/>
      <c r="G36" s="64"/>
      <c r="H36" s="64"/>
      <c r="I36" s="35" t="s">
        <v>338</v>
      </c>
    </row>
  </sheetData>
  <mergeCells count="27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B18:I18"/>
    <mergeCell ref="B19:I19"/>
    <mergeCell ref="B21:I21"/>
    <mergeCell ref="B22:I22"/>
    <mergeCell ref="D23:I23"/>
    <mergeCell ref="D24:I24"/>
    <mergeCell ref="D25:I25"/>
    <mergeCell ref="C34:H34"/>
    <mergeCell ref="C36:H36"/>
    <mergeCell ref="D26:I26"/>
    <mergeCell ref="D27:I27"/>
    <mergeCell ref="D28:I28"/>
    <mergeCell ref="D29:I29"/>
    <mergeCell ref="B32:I32"/>
  </mergeCells>
  <phoneticPr fontId="69" type="noConversion"/>
  <printOptions horizontalCentered="1"/>
  <pageMargins left="0.5" right="0.5" top="0.5" bottom="0.5" header="0.511811023622047" footer="0.511811023622047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계약리스트</vt:lpstr>
      <vt:lpstr>계약서</vt:lpstr>
      <vt:lpstr>이용약관</vt:lpstr>
      <vt:lpstr>별지_구상금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2026-05-11T05:47:40Z</cp:lastPrinted>
  <dcterms:created xsi:type="dcterms:W3CDTF">2026-04-27T06:03:32Z</dcterms:created>
  <dcterms:modified xsi:type="dcterms:W3CDTF">2026-05-11T06:19:22Z</dcterms:modified>
  <dc:language>en-US</dc:language>
</cp:coreProperties>
</file>