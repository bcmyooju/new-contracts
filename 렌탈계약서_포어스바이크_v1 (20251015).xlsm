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owlsy\Downloads\"/>
    </mc:Choice>
  </mc:AlternateContent>
  <xr:revisionPtr revIDLastSave="0" documentId="13_ncr:1_{D64B912F-EB1D-4A1F-81E8-46F6848E48AC}" xr6:coauthVersionLast="47" xr6:coauthVersionMax="47" xr10:uidLastSave="{00000000-0000-0000-0000-000000000000}"/>
  <bookViews>
    <workbookView xWindow="-108" yWindow="-108" windowWidth="30936" windowHeight="16776" activeTab="3" xr2:uid="{00000000-000D-0000-FFFF-FFFF00000000}"/>
  </bookViews>
  <sheets>
    <sheet name="차량별사용료" sheetId="8" r:id="rId1"/>
    <sheet name="계약리스트" sheetId="7" r:id="rId2"/>
    <sheet name="계약서" sheetId="2" r:id="rId3"/>
    <sheet name="이용약관" sheetId="6" r:id="rId4"/>
  </sheets>
  <definedNames>
    <definedName name="_xleta.IF" hidden="1" xlm="1">#NAME?</definedName>
    <definedName name="_xlnm.Print_Area" localSheetId="2">계약서!$A$1:$Q$71</definedName>
    <definedName name="_xlnm.Print_Area" localSheetId="3">이용약관!$A$1:$O$198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7" l="1"/>
  <c r="R19" i="7"/>
  <c r="R16" i="7"/>
  <c r="A16" i="7"/>
  <c r="R15" i="7"/>
  <c r="A15" i="7"/>
  <c r="A13" i="7"/>
  <c r="A9" i="7" l="1"/>
  <c r="A8" i="7"/>
  <c r="A7" i="7"/>
  <c r="A5" i="7" l="1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12" i="7"/>
  <c r="R14" i="7"/>
  <c r="R20" i="7"/>
  <c r="A1936" i="7" l="1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18" i="7"/>
  <c r="A17" i="7"/>
  <c r="A14" i="7"/>
  <c r="A11" i="7"/>
  <c r="A10" i="7"/>
  <c r="A6" i="7"/>
  <c r="A4" i="7"/>
  <c r="L10" i="2" l="1"/>
  <c r="G10" i="2"/>
  <c r="G22" i="2"/>
  <c r="L20" i="2"/>
  <c r="L9" i="2"/>
  <c r="L25" i="2"/>
  <c r="G9" i="2"/>
  <c r="G23" i="2"/>
  <c r="G21" i="2"/>
  <c r="G19" i="2"/>
  <c r="L26" i="2"/>
  <c r="L19" i="2"/>
  <c r="G12" i="2"/>
  <c r="G11" i="2"/>
  <c r="G26" i="2"/>
  <c r="G20" i="2"/>
  <c r="L11" i="2"/>
  <c r="L21" i="2"/>
  <c r="M57" i="2"/>
  <c r="F69" i="2" l="1"/>
  <c r="K57" i="2" l="1"/>
  <c r="C69" i="2"/>
</calcChain>
</file>

<file path=xl/sharedStrings.xml><?xml version="1.0" encoding="utf-8"?>
<sst xmlns="http://schemas.openxmlformats.org/spreadsheetml/2006/main" count="702" uniqueCount="552">
  <si>
    <t xml:space="preserve"> </t>
    <phoneticPr fontId="1" type="noConversion"/>
  </si>
  <si>
    <t>회사보관용</t>
    <phoneticPr fontId="1" type="noConversion"/>
  </si>
  <si>
    <t>대표이사</t>
    <phoneticPr fontId="1" type="noConversion"/>
  </si>
  <si>
    <t>고객상담실</t>
    <phoneticPr fontId="1" type="noConversion"/>
  </si>
  <si>
    <t>사업자등록증</t>
    <phoneticPr fontId="1" type="noConversion"/>
  </si>
  <si>
    <t>주소</t>
    <phoneticPr fontId="1" type="noConversion"/>
  </si>
  <si>
    <t>고객번호</t>
    <phoneticPr fontId="1" type="noConversion"/>
  </si>
  <si>
    <t>계약자</t>
    <phoneticPr fontId="1" type="noConversion"/>
  </si>
  <si>
    <t>계약자명</t>
    <phoneticPr fontId="1" type="noConversion"/>
  </si>
  <si>
    <t>업체명</t>
    <phoneticPr fontId="1" type="noConversion"/>
  </si>
  <si>
    <t>계약번호</t>
    <phoneticPr fontId="1" type="noConversion"/>
  </si>
  <si>
    <t>연락처</t>
    <phoneticPr fontId="1" type="noConversion"/>
  </si>
  <si>
    <t>사업자등록번호</t>
    <phoneticPr fontId="1" type="noConversion"/>
  </si>
  <si>
    <t>주민등록번호</t>
    <phoneticPr fontId="1" type="noConversion"/>
  </si>
  <si>
    <t>업체 주소</t>
    <phoneticPr fontId="1" type="noConversion"/>
  </si>
  <si>
    <t>주민등록 주소지</t>
    <phoneticPr fontId="1" type="noConversion"/>
  </si>
  <si>
    <t>이메일</t>
    <phoneticPr fontId="1" type="noConversion"/>
  </si>
  <si>
    <t>※ 개인 제출 서류 : 신분증 사본 / 업체 제출 서류 : 대표자 신분증 사본, 사업자등록증 사본, 통장 사본</t>
  </si>
  <si>
    <t>계약보증인</t>
    <phoneticPr fontId="1" type="noConversion"/>
  </si>
  <si>
    <t>차량정보</t>
    <phoneticPr fontId="1" type="noConversion"/>
  </si>
  <si>
    <t>차종</t>
    <phoneticPr fontId="1" type="noConversion"/>
  </si>
  <si>
    <t>계약요청일</t>
    <phoneticPr fontId="1" type="noConversion"/>
  </si>
  <si>
    <t>차대번호</t>
    <phoneticPr fontId="1" type="noConversion"/>
  </si>
  <si>
    <t>청구시작일</t>
    <phoneticPr fontId="1" type="noConversion"/>
  </si>
  <si>
    <t>차량번호</t>
    <phoneticPr fontId="1" type="noConversion"/>
  </si>
  <si>
    <t>사용료(vat 포함)</t>
    <phoneticPr fontId="1" type="noConversion"/>
  </si>
  <si>
    <t>차량색상</t>
    <phoneticPr fontId="1" type="noConversion"/>
  </si>
  <si>
    <t>납입방법</t>
    <phoneticPr fontId="1" type="noConversion"/>
  </si>
  <si>
    <t>계좌이체</t>
    <phoneticPr fontId="1" type="noConversion"/>
  </si>
  <si>
    <t>정비여부</t>
    <phoneticPr fontId="1" type="noConversion"/>
  </si>
  <si>
    <t>요금결제일</t>
    <phoneticPr fontId="1" type="noConversion"/>
  </si>
  <si>
    <t>선택항목</t>
    <phoneticPr fontId="1" type="noConversion"/>
  </si>
  <si>
    <t>납입계좌</t>
    <phoneticPr fontId="1" type="noConversion"/>
  </si>
  <si>
    <t>상품유형</t>
    <phoneticPr fontId="1" type="noConversion"/>
  </si>
  <si>
    <t>일차감 (어플출금)</t>
    <phoneticPr fontId="1" type="noConversion"/>
  </si>
  <si>
    <t>보험연령</t>
    <phoneticPr fontId="1" type="noConversion"/>
  </si>
  <si>
    <t>보증금</t>
    <phoneticPr fontId="1" type="noConversion"/>
  </si>
  <si>
    <t>보증인의 보증 기한 : 2년</t>
    <phoneticPr fontId="1" type="noConversion"/>
  </si>
  <si>
    <t xml:space="preserve">       보증 한도 : 전체 이용료의 130%</t>
    <phoneticPr fontId="1" type="noConversion"/>
  </si>
  <si>
    <t>2. 배달통 혹은 슬라이더를 무상으로 지원받았을 경우 계약취소 및 중도해지시 안내 드리는 장소로 반납하셔야 합니다.</t>
    <phoneticPr fontId="1" type="noConversion"/>
  </si>
  <si>
    <t>계약자의 동의를 얻어야 합니다. 따라서, 계약자 본인은 아래 내용을 확인하며, 리스/렌탈회사의 서비스 이용약관과 개인 정보 및 신용 정보의 수집, 이용, 제공, 취급 위탁 선택 정보 등에 동의합니다.</t>
    <phoneticPr fontId="1" type="noConversion"/>
  </si>
  <si>
    <t>▣ 업무위탁에 대한 동의서</t>
    <phoneticPr fontId="1" type="noConversion"/>
  </si>
  <si>
    <r>
      <t>■ 수집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이용목적</t>
    </r>
    <r>
      <rPr>
        <sz val="10"/>
        <color rgb="FF000000"/>
        <rFont val="한컴 윤고딕 740"/>
        <family val="3"/>
        <charset val="129"/>
      </rPr>
      <t xml:space="preserve">: </t>
    </r>
    <r>
      <rPr>
        <sz val="10"/>
        <color rgb="FF000000"/>
        <rFont val="맑은 고딕"/>
        <family val="3"/>
        <charset val="129"/>
        <scheme val="minor"/>
      </rPr>
      <t>거래관계의 설정 및 유지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상품의 제공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법령상 의무이행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분쟁</t>
    </r>
    <phoneticPr fontId="1" type="noConversion"/>
  </si>
  <si>
    <t xml:space="preserve">■ 협력사: 물품배송, 출고에 대한 정보 제공(이륜자동차의 공급, 운송, 출고, </t>
    <phoneticPr fontId="1" type="noConversion"/>
  </si>
  <si>
    <t xml:space="preserve">처리, 민원처리, 차량 분실 방지, 사고 대응, 서비스 개선, 통계 분석 등 </t>
    <phoneticPr fontId="1" type="noConversion"/>
  </si>
  <si>
    <t>계약서 전달 등)</t>
    <phoneticPr fontId="1" type="noConversion"/>
  </si>
  <si>
    <t xml:space="preserve">수집, 이용항목: 성명(실명), 주민등록번호, 휴대전화번호, 이메일, 현주소, 근무지 등 </t>
    <phoneticPr fontId="1" type="noConversion"/>
  </si>
  <si>
    <t xml:space="preserve">/ 신분증발급일, 신분증발급기관 / 거래카드사명, 카드번호, 유효기간, 거래은행명, </t>
    <phoneticPr fontId="1" type="noConversion"/>
  </si>
  <si>
    <t>계좌번호, 예금주명, 예금주 휴대전화번호, 차량 위치정보(FMS를 통한 수집 포함)</t>
    <phoneticPr fontId="1" type="noConversion"/>
  </si>
  <si>
    <t xml:space="preserve">■ 효성에프엠에스(주): 자동이체를 통한 요금 수납, 금융거래정보 수집, 보관, </t>
    <phoneticPr fontId="1" type="noConversion"/>
  </si>
  <si>
    <t xml:space="preserve">■ 보유, 이용기간: 수집된 개인정보는 관계법령에서 특별히 보존을 의무화하고 있는 </t>
    <phoneticPr fontId="1" type="noConversion"/>
  </si>
  <si>
    <t xml:space="preserve">전달(금융기관, 통신사(SKT,KT,LGU+,CJ헬로비전)등, 제휴사 www.efnc.co.kr 에 </t>
    <phoneticPr fontId="1" type="noConversion"/>
  </si>
  <si>
    <t>경우를 제외하고, 수집 및 이용목적이 달성된 후에 파기합니다. 단, 다음의 정보에</t>
    <phoneticPr fontId="1" type="noConversion"/>
  </si>
  <si>
    <t xml:space="preserve">게시)개인정보의 제공 동의를 거부할 권리가 있으나, 거래 관계의 설정 및 유지가 </t>
    <phoneticPr fontId="1" type="noConversion"/>
  </si>
  <si>
    <t xml:space="preserve">대해서는 아래의 이유로 명시한 기간동안 보존합니다. </t>
    <phoneticPr fontId="1" type="noConversion"/>
  </si>
  <si>
    <t>되지 않음을 알려드립니다.</t>
    <phoneticPr fontId="1" type="noConversion"/>
  </si>
  <si>
    <t>- 성명(실명), 주민등록번호, 휴대전화번호, 이메일, 현주소, 근무지 / 보존근거 : 불</t>
    <phoneticPr fontId="1" type="noConversion"/>
  </si>
  <si>
    <t>량이용자 재가입 방지, 명예훼손, 권리침해 및 수사협조 등 /보존기간 : 해지 후 1년</t>
    <phoneticPr fontId="1" type="noConversion"/>
  </si>
  <si>
    <t>상기 렌탈계약자 본인은 위 “개인정보 수집, 이용 및 제공 동의”, “금융거래 정보</t>
    <phoneticPr fontId="1" type="noConversion"/>
  </si>
  <si>
    <t>- 계약, 대금결제, 상품 공급에 대한 기록, 소비자의 불만 또는 분쟁처리에 관한 기</t>
    <phoneticPr fontId="1" type="noConversion"/>
  </si>
  <si>
    <t xml:space="preserve">제공 및 자동승인 동의”, “업무위탁에 대한 동의” 등에 대하여 전부 동의합니다. </t>
    <phoneticPr fontId="1" type="noConversion"/>
  </si>
  <si>
    <t xml:space="preserve"> 록 / 보존근거 : 전자상거래 등에서의 소비자보호에 관한 법률 / 보존기간 : 5년</t>
    <phoneticPr fontId="1" type="noConversion"/>
  </si>
  <si>
    <t>내용을 모두 확인하였고 서명 또는 날인은 모두 본인의 것임을 확인합니다.</t>
    <phoneticPr fontId="1" type="noConversion"/>
  </si>
  <si>
    <t>▣ 금융 거래 정보 제공 및 자동승인 동의서</t>
    <phoneticPr fontId="1" type="noConversion"/>
  </si>
  <si>
    <t>■ 본 신청과 관련하여 본인은 다음 금융거래정보(거래카드사명, 카드번호, 유효</t>
    <phoneticPr fontId="1" type="noConversion"/>
  </si>
  <si>
    <t>기간등 또는 거래은행명, 계좌번호 등)을 신용카드 또는 통장 출금이체를 신규 신청</t>
    <phoneticPr fontId="1" type="noConversion"/>
  </si>
  <si>
    <t xml:space="preserve">하는 때로부터 해지 신청할 때까지 상기 수납기관(수납기관의 결제 대행업체를 </t>
    <phoneticPr fontId="1" type="noConversion"/>
  </si>
  <si>
    <r>
      <rPr>
        <b/>
        <sz val="13"/>
        <color theme="1"/>
        <rFont val="Segoe UI Symbol"/>
        <family val="3"/>
      </rPr>
      <t>☑</t>
    </r>
    <r>
      <rPr>
        <b/>
        <sz val="13"/>
        <color theme="1"/>
        <rFont val="맑은 고딕"/>
        <family val="3"/>
        <charset val="129"/>
        <scheme val="minor"/>
      </rPr>
      <t>동의함     □동의하지 않음</t>
    </r>
    <phoneticPr fontId="1" type="noConversion"/>
  </si>
  <si>
    <t>포함)에 제공하는 것에 대하여 『금융실명거래 및 비밀보장에 관한 법률』의 규정에</t>
    <phoneticPr fontId="1" type="noConversion"/>
  </si>
  <si>
    <t xml:space="preserve">따라 동의합니다. </t>
    <phoneticPr fontId="1" type="noConversion"/>
  </si>
  <si>
    <t xml:space="preserve">■ 매월 발생하는 이륜차 임대료 및 채권관리 포함 보증금 및 위약금, 과태료 및 </t>
    <phoneticPr fontId="1" type="noConversion"/>
  </si>
  <si>
    <t>범칙금 등에 대하여 계약조항의 약관에 따라 신용카드 자동승인 거래 또는 통장</t>
    <phoneticPr fontId="1" type="noConversion"/>
  </si>
  <si>
    <t xml:space="preserve"> 서명 또는 인</t>
    <phoneticPr fontId="1" type="noConversion"/>
  </si>
  <si>
    <t>서명 또는 인</t>
    <phoneticPr fontId="1" type="noConversion"/>
  </si>
  <si>
    <t>자동이체 등 출금거래를 신청합니다. (납입방법에 자동이체 또는 신용카드를 선택</t>
    <phoneticPr fontId="1" type="noConversion"/>
  </si>
  <si>
    <t>한 경우에만 해당함.)</t>
    <phoneticPr fontId="1" type="noConversion"/>
  </si>
  <si>
    <t>신용카드사명</t>
    <phoneticPr fontId="1" type="noConversion"/>
  </si>
  <si>
    <t>신용카드번호</t>
    <phoneticPr fontId="1" type="noConversion"/>
  </si>
  <si>
    <t>유효기간</t>
    <phoneticPr fontId="1" type="noConversion"/>
  </si>
  <si>
    <t>은행명</t>
    <phoneticPr fontId="1" type="noConversion"/>
  </si>
  <si>
    <t>자동이체 계좌번호</t>
    <phoneticPr fontId="1" type="noConversion"/>
  </si>
  <si>
    <t>예금주명</t>
    <phoneticPr fontId="1" type="noConversion"/>
  </si>
  <si>
    <t>착오입금분, 보험금, 보증금 상환 등을 위해 자동이체를 신청하지 않더라도 입력하여 주세요.</t>
    <phoneticPr fontId="1" type="noConversion"/>
  </si>
  <si>
    <r>
      <rPr>
        <b/>
        <sz val="13"/>
        <color theme="1"/>
        <rFont val="Segoe UI Symbol"/>
        <family val="2"/>
      </rPr>
      <t>☑</t>
    </r>
    <r>
      <rPr>
        <b/>
        <sz val="13"/>
        <color theme="1"/>
        <rFont val="맑은 고딕"/>
        <family val="2"/>
        <charset val="129"/>
        <scheme val="minor"/>
      </rPr>
      <t>동의함     □동의하지 않음</t>
    </r>
    <phoneticPr fontId="1" type="noConversion"/>
  </si>
  <si>
    <t xml:space="preserve">서명 또는 인            </t>
    <phoneticPr fontId="1" type="noConversion"/>
  </si>
  <si>
    <t>제 1 조 (목적)</t>
    <phoneticPr fontId="1" type="noConversion"/>
  </si>
  <si>
    <t>제 2 조 (정의)</t>
    <phoneticPr fontId="1" type="noConversion"/>
  </si>
  <si>
    <t>이륜차 할부판매 계약서</t>
    <phoneticPr fontId="1" type="noConversion"/>
  </si>
  <si>
    <t>계약유형</t>
    <phoneticPr fontId="1" type="noConversion"/>
  </si>
  <si>
    <t>할부판매 기간</t>
    <phoneticPr fontId="1" type="noConversion"/>
  </si>
  <si>
    <t xml:space="preserve">1. 계약취소 및 중도해지 시 보증금은 반환되지 않으며, 위약금과 별도로 사전 고지한 할부판매 상품 회수비용(출장비, 운송비, 원상복구비 등)은 고객님이 납부하셔야 합니다. </t>
    <phoneticPr fontId="1" type="noConversion"/>
  </si>
  <si>
    <t xml:space="preserve">회사는 계약서에 기재된 계약자의 개인 정보 및 신용 정보를 수입, 이용 및 제공시 “개인정보보호법”, “정보 통신망 이용 촉진 및 정보 보호 등에 관한 법률”, “신용 정보의 이용 및 보호에 관한 법률” 등에 따라 </t>
    <phoneticPr fontId="1" type="noConversion"/>
  </si>
  <si>
    <t>■ 배달대행사: 고객주문접수 처리, 유지관리 업무에 대한 정보 제공</t>
    <phoneticPr fontId="1" type="noConversion"/>
  </si>
  <si>
    <t>이용계약서 전달 및 고객의 할부판매 금액 청구, 수납 업무에 대한 정보제공)</t>
    <phoneticPr fontId="1" type="noConversion"/>
  </si>
  <si>
    <t>본인은 제공된 이륜자동차 할부판매 계약조건 및 이용약관을 포함한 본 계약서의</t>
    <phoneticPr fontId="1" type="noConversion"/>
  </si>
  <si>
    <t>할부판매 회사</t>
    <phoneticPr fontId="1" type="noConversion"/>
  </si>
  <si>
    <t>④ 고객은 계약이관을 진행하기 위해서는 할부금, 수리비, 위약금, 과태료 등 일체의 미납금이 없는</t>
    <phoneticPr fontId="1" type="noConversion"/>
  </si>
  <si>
    <t>※ 계약보증인 제출 서류 : 신분증 사본, 사업자등록증 사본, 통장 사본</t>
    <phoneticPr fontId="1" type="noConversion"/>
  </si>
  <si>
    <t>*차량 인도일 기준으로 산정</t>
    <phoneticPr fontId="1" type="noConversion"/>
  </si>
  <si>
    <t>이 약관에서 사용하는 용어들의 정의는 다음과 같습니다.</t>
    <phoneticPr fontId="1" type="noConversion"/>
  </si>
  <si>
    <t xml:space="preserve">① “이륜차 리스(이하 ‘리스’라 함)”는 고객이 요청한 기종의 이륜차를 회사가 취득하여 고객에게 </t>
    <phoneticPr fontId="1" type="noConversion"/>
  </si>
  <si>
    <t>일정기간동안 사용하게 하고, 그 대가를 정기적으로 나누어 지급받으며, 사용기간이 끝난 후</t>
    <phoneticPr fontId="1" type="noConversion"/>
  </si>
  <si>
    <t>물건의 처분에 관하여는 당사자 간 약정으로 정하는 대여 행위를 의미합니다.</t>
    <phoneticPr fontId="1" type="noConversion"/>
  </si>
  <si>
    <t xml:space="preserve">(이하 ‘(본) 계약서’라 함)에 기재한 이륜차를 의미하며, 인도 시 이륜차에 부착되어 있는 </t>
    <phoneticPr fontId="1" type="noConversion"/>
  </si>
  <si>
    <t>일체의 부착물 등을 포함합니다.</t>
    <phoneticPr fontId="1" type="noConversion"/>
  </si>
  <si>
    <t xml:space="preserve">③ “책임보험”은 의무보험(대인배상Ⅰ, 대물배상)을 의미하며, “종합보험”이라 함은 책임보험에 </t>
    <phoneticPr fontId="1" type="noConversion"/>
  </si>
  <si>
    <t>대인배상Ⅱ를 추가로 담보하는 보험을 의미합니다.</t>
    <phoneticPr fontId="1" type="noConversion"/>
  </si>
  <si>
    <t>④ “계약기간”은 고객이 이 계약서에 따라 이륜차를 인도받아 사용하는 기간입니다.</t>
    <phoneticPr fontId="1" type="noConversion"/>
  </si>
  <si>
    <t>⑤ “인수형 리스”는 계약기간 만료 후 이륜차의 소유권이 고객에게 이전 되는 형태의 계약이고</t>
    <phoneticPr fontId="1" type="noConversion"/>
  </si>
  <si>
    <t xml:space="preserve">“반납형 리스”는 계약기간 만료 후 이륜차의 소유권이 고객에게 이전되지 않고, 당사에 반환해야 </t>
    <phoneticPr fontId="1" type="noConversion"/>
  </si>
  <si>
    <t>하는 형태의 계약을 의미합니다.</t>
    <phoneticPr fontId="1" type="noConversion"/>
  </si>
  <si>
    <t xml:space="preserve">⑥ “계약금”은 계약 개시를 위해 고객이 선금으로 지급하고 반환되지 않는 금원이며, </t>
    <phoneticPr fontId="1" type="noConversion"/>
  </si>
  <si>
    <t>“보증금”은 리스료 등 각종 채무이행을 보증하기 위한 금원으로 만기 시 고객이 모든 채무</t>
    <phoneticPr fontId="1" type="noConversion"/>
  </si>
  <si>
    <t>이행을 완료한 때 반환합니다.</t>
    <phoneticPr fontId="1" type="noConversion"/>
  </si>
  <si>
    <t>⑦ “위약금”은 여러 사유로 주문취소 혹은 계약을 중도 해지할 때 고객이 지불해야 하는 금액을</t>
    <phoneticPr fontId="1" type="noConversion"/>
  </si>
  <si>
    <t>의미합니다.</t>
    <phoneticPr fontId="1" type="noConversion"/>
  </si>
  <si>
    <t>⑧ “지연손해금”은 리스료, 위약금, 과태료 등 고객이 지불해야 하는 금액의 납부를 지체한 경우</t>
    <phoneticPr fontId="1" type="noConversion"/>
  </si>
  <si>
    <t>발생하는 추가 비용을 의미합니다.</t>
    <phoneticPr fontId="1" type="noConversion"/>
  </si>
  <si>
    <t xml:space="preserve">⑨ "미수선처리"는 사고 발생 시 고객 혹은 해당 이륜차의 운행자가 차량을 수리하지 않고 </t>
    <phoneticPr fontId="1" type="noConversion"/>
  </si>
  <si>
    <t>임의로 수리비의 전부 또는 일부 금액을 현금으로 지급받는 행위를 의미합니다.</t>
    <phoneticPr fontId="1" type="noConversion"/>
  </si>
  <si>
    <t>는 경우 해당 배달플랫폼사의 페이를 통해 리스료, 과태료 등 납부가 가능한 전산 시스템을 말합니다.</t>
    <phoneticPr fontId="1" type="noConversion"/>
  </si>
  <si>
    <t>⑪ "계약이관"이란 고객이 본계약의 권리와 의무를 제3자에게 승계하는 계약을 의미합니다.</t>
    <phoneticPr fontId="1" type="noConversion"/>
  </si>
  <si>
    <t>제출된 서류에 대한 보완을 요구하는 경우 이에 응하여야 합니다.</t>
    <phoneticPr fontId="1" type="noConversion"/>
  </si>
  <si>
    <t>② 리스계약 체결시 제출한 관련서류는 반환하지 않습니다.</t>
    <phoneticPr fontId="1" type="noConversion"/>
  </si>
  <si>
    <t>제4조 (계약개시일)</t>
    <phoneticPr fontId="1" type="noConversion"/>
  </si>
  <si>
    <t xml:space="preserve">단, 고객의 요청에 따라 이륜차의 인도와 별개로 우선 보험가입을 하는 경우 보험개시일 익일부터 </t>
    <phoneticPr fontId="1" type="noConversion"/>
  </si>
  <si>
    <t>계약이 개시된 것으로 간주 합니다.</t>
    <phoneticPr fontId="1" type="noConversion"/>
  </si>
  <si>
    <t>제5조 (이륜차의 인도 및 고객확인)</t>
    <phoneticPr fontId="1" type="noConversion"/>
  </si>
  <si>
    <t>② 이륜차 인수 시 고객 본인이 직접 인수하여야 함을 원칙으로 합니다. 단, 부득이하게 고객 본인이</t>
    <phoneticPr fontId="1" type="noConversion"/>
  </si>
  <si>
    <t>③ 고객은 인수증 서명이 완료된 경우 이륜차의 하자 또는 부존재를 이유로 리스료 지급의무 및</t>
    <phoneticPr fontId="1" type="noConversion"/>
  </si>
  <si>
    <t>기타 이 계약상의 채무이행을 거부할 수 없습니다.</t>
    <phoneticPr fontId="1" type="noConversion"/>
  </si>
  <si>
    <t>제6조 (보증금 및 계약금)</t>
    <phoneticPr fontId="1" type="noConversion"/>
  </si>
  <si>
    <t>반환하지 않습니다.</t>
    <phoneticPr fontId="1" type="noConversion"/>
  </si>
  <si>
    <t>② 계약금은 전체 리스료의 일부를 선금으로 납부한 것이므로, 계약이 정상적으로 개시된 이후에는</t>
    <phoneticPr fontId="1" type="noConversion"/>
  </si>
  <si>
    <t>⑤ 고객이 납부하지 않은 과태료 또는 범칙금이 있는 경우 보증금에서 차감하고 반환하기로 하며</t>
    <phoneticPr fontId="1" type="noConversion"/>
  </si>
  <si>
    <t>과태료 또는 범칙금이 보증금을 초과하는 경우 고객은 그 차액을 추가로 납부하여야 합니다.</t>
    <phoneticPr fontId="1" type="noConversion"/>
  </si>
  <si>
    <t>⑥ 계약이 중도해지된 경우에는 보증금 및 계약금을 반환하지 않습니다.</t>
    <phoneticPr fontId="1" type="noConversion"/>
  </si>
  <si>
    <t>제7조 (리스료)</t>
    <phoneticPr fontId="1" type="noConversion"/>
  </si>
  <si>
    <t>명의의 계좌로 입금하여야 합니다.</t>
    <phoneticPr fontId="1" type="noConversion"/>
  </si>
  <si>
    <t>신용카드 결제를 통해 결제하는 것을 말합니다.</t>
    <phoneticPr fontId="1" type="noConversion"/>
  </si>
  <si>
    <t xml:space="preserve">③ 리스료는 월리스료를 선불로 지급함을 원칙으로 합니다. 주리스료 또는 일리스료로 계약이 된 </t>
    <phoneticPr fontId="1" type="noConversion"/>
  </si>
  <si>
    <t>경우에도, 리스료를 미납한 후 5일이 경과한 때에는 월리스료 선불로 자동 전환됩니다.</t>
    <phoneticPr fontId="1" type="noConversion"/>
  </si>
  <si>
    <t>페이를 통해 리스료, 과태료 등 납부가 가능합니다. 단, 아래 각 호에 해당되는 경우 플랫폼 일차감</t>
    <phoneticPr fontId="1" type="noConversion"/>
  </si>
  <si>
    <t>프로그램은 중단되고, 본조 제1항, 제2항 및 제3항에 따라 결제방법이 즉시 변경됩니다.</t>
    <phoneticPr fontId="1" type="noConversion"/>
  </si>
  <si>
    <t>1.	고객과 배달플랫폼사와 가맹계약이 종료된 경우</t>
    <phoneticPr fontId="1" type="noConversion"/>
  </si>
  <si>
    <t>해당 내용을 고객에게 안내하여야 합니다.</t>
    <phoneticPr fontId="1" type="noConversion"/>
  </si>
  <si>
    <t xml:space="preserve">⑥ 이륜차의 도난, 멸실 및 훼손 등 차량 운행이 불가한 어떠한 사유라도 리스료 지급의무 및 </t>
    <phoneticPr fontId="1" type="noConversion"/>
  </si>
  <si>
    <t>기타 이 계약상의 채무이행을 거부할 수 없습니다</t>
    <phoneticPr fontId="1" type="noConversion"/>
  </si>
  <si>
    <t>⑦ 리스료의 계산은 기본적으로 아래의 방법을 따르며, 리스료 결제방법에 따라 변경될 수 있습니다.</t>
    <phoneticPr fontId="1" type="noConversion"/>
  </si>
  <si>
    <t>[ 주리스료 = 일리스료 × 7일 ]</t>
    <phoneticPr fontId="1" type="noConversion"/>
  </si>
  <si>
    <t>[연령변경 정산=(변경 전 일리스료 × 변경 전 사용기간) + (변경 후 일리스료 × 변경 후 사용기간)]</t>
    <phoneticPr fontId="1" type="noConversion"/>
  </si>
  <si>
    <t xml:space="preserve">⑧ 월리스료는 계약금 또는 보증금을 제외한 12회 납부, 주리스료는 계약금 또는 보증금을 제외한 </t>
    <phoneticPr fontId="1" type="noConversion"/>
  </si>
  <si>
    <t>52회 납부, 일리스료는 계약금 또는 보증금을 제외한 365회 납부를 하셔야 완납처리가 됩니다</t>
    <phoneticPr fontId="1" type="noConversion"/>
  </si>
  <si>
    <t>⑨ 납부주기 변경에 따라 리스료가 변경될 경우, 해당 차량의 최초 계약 당시의 단가표 기준으로</t>
    <phoneticPr fontId="1" type="noConversion"/>
  </si>
  <si>
    <t>리스료가 변경 및 적용 됩니다.</t>
    <phoneticPr fontId="1" type="noConversion"/>
  </si>
  <si>
    <t>제8조 (이륜차의 출고 주문 취소 위약금)</t>
    <phoneticPr fontId="1" type="noConversion"/>
  </si>
  <si>
    <t>고객의 단순변심으로 출고 당일 취소하는 경우 고객은 왕복배송비용 및 10만원의 위약금을 지급</t>
    <phoneticPr fontId="1" type="noConversion"/>
  </si>
  <si>
    <t>하여야 합니다. 단, 왕복 배송으로 인해 보험기간이 경과하는 경우 해당 기간에 상당하는 리스료는</t>
    <phoneticPr fontId="1" type="noConversion"/>
  </si>
  <si>
    <t>제9조 (지연손해금, 손해배상금)</t>
    <phoneticPr fontId="1" type="noConversion"/>
  </si>
  <si>
    <t xml:space="preserve">고객이 계약서에 약정된 내용을 이행하지 않는 경우 위약금이 발생하고, 위약금 발생 시 5일내에 </t>
    <phoneticPr fontId="1" type="noConversion"/>
  </si>
  <si>
    <t>입금하여야 합니다. 비용의 계산은 다음 산식에 따릅니다.</t>
    <phoneticPr fontId="1" type="noConversion"/>
  </si>
  <si>
    <t>1.	지연손해금 : 리스료, 해지위약금, 수리비, 과태료 등 고객이 지불해야 하는 금액의 납부를 지체한 경우</t>
    <phoneticPr fontId="1" type="noConversion"/>
  </si>
  <si>
    <t>[ 지연손해금 = 연체한 금액 × 연 15% ]</t>
    <phoneticPr fontId="1" type="noConversion"/>
  </si>
  <si>
    <t>[ 손해배상금 = 1만원 × 지체일 수 ]</t>
    <phoneticPr fontId="1" type="noConversion"/>
  </si>
  <si>
    <t>제10조 (연대보증인)</t>
    <phoneticPr fontId="1" type="noConversion"/>
  </si>
  <si>
    <t>연대보증인은 본 계약에 의한 채무가 완제될 때까지 보증채무를 부담하기로 합니다</t>
    <phoneticPr fontId="1" type="noConversion"/>
  </si>
  <si>
    <t>③ 연대보증인은 고객과의 채무 관계에서 본 계약에 의한 고객의 미변제 채무가 남아있는 경우</t>
    <phoneticPr fontId="1" type="noConversion"/>
  </si>
  <si>
    <t>④ 보험연령 변경 등 일부 계약내용을 변경시키는 계약을 체결하는 경우 연대보증인이 그</t>
    <phoneticPr fontId="1" type="noConversion"/>
  </si>
  <si>
    <t xml:space="preserve">변경계약서에 별도로 서명날인하지 아니하여도 동의한 것으로 간주합니다. 단, 변경된 계약 </t>
    <phoneticPr fontId="1" type="noConversion"/>
  </si>
  <si>
    <t xml:space="preserve">내용이 보증인에게 불리한 경우, 고객은 이를 즉시 보증인에게 통지하도록 합니다. </t>
    <phoneticPr fontId="1" type="noConversion"/>
  </si>
  <si>
    <t>보증인의 추가 또는 교체를 요구할 수 있습니다.</t>
    <phoneticPr fontId="1" type="noConversion"/>
  </si>
  <si>
    <t>제11조 (보험계약의 체결 및 관리)</t>
    <phoneticPr fontId="1" type="noConversion"/>
  </si>
  <si>
    <t xml:space="preserve"> 이륜차 보험에 가입 하여야 합니다.</t>
    <phoneticPr fontId="1" type="noConversion"/>
  </si>
  <si>
    <t>③ 리스료, 과태료 등 미수금이 있을 시 보험연령 변경이 불가합니다.</t>
    <phoneticPr fontId="1" type="noConversion"/>
  </si>
  <si>
    <t>⑤ 보험연령의 변경에 따라 리스료가 변경될 경우, 해당 차량의 최초 계약 당시의 단가표 기준으로</t>
    <phoneticPr fontId="1" type="noConversion"/>
  </si>
  <si>
    <t>가 아닌 해당 보험사의 보험료 정책에 따라 고가의 리스료가 적용될 수 있습니다.</t>
    <phoneticPr fontId="1" type="noConversion"/>
  </si>
  <si>
    <t>제12조 (보험기간)</t>
    <phoneticPr fontId="1" type="noConversion"/>
  </si>
  <si>
    <t>손해가 발생하면 고객이 배상책임과 민·형사상 책임을 지게 되니 주의를 요합니다.</t>
    <phoneticPr fontId="1" type="noConversion"/>
  </si>
  <si>
    <t>제13조 (고객의 책임 및 권리의 양도)</t>
    <phoneticPr fontId="1" type="noConversion"/>
  </si>
  <si>
    <t xml:space="preserve">① 고객은 보험에서 인정하는 범위 내에서 고객이 지정하는 자에게 이륜차를 운행하게 할 수 있습니다. </t>
    <phoneticPr fontId="1" type="noConversion"/>
  </si>
  <si>
    <t>고객은 운행자의 면허증 취득 여부, 음주상태 여부 및 보험연령에 부합하는지 여부 등 운행자의 적법성을</t>
    <phoneticPr fontId="1" type="noConversion"/>
  </si>
  <si>
    <t>확인할 의무가 있으며, 이러한 의무를 위반하여 이륜차를 운행하다가 발생한 사고로 인한 손해 중</t>
    <phoneticPr fontId="1" type="noConversion"/>
  </si>
  <si>
    <t>보험금으로 충당하지 못하거나, 보험금을 수령할 수 없는 경우에 는 고객이 일체의 민·형사상 책임을 부담</t>
    <phoneticPr fontId="1" type="noConversion"/>
  </si>
  <si>
    <t>합니다</t>
    <phoneticPr fontId="1" type="noConversion"/>
  </si>
  <si>
    <t>부착하여 배송합니다.</t>
    <phoneticPr fontId="1" type="noConversion"/>
  </si>
  <si>
    <t>③ 고객은 리스기간 중 이륜차 출고 시 장착된 부착물을 제외하고 다른 부착물을 추가로 장착할 수 없으며,</t>
    <phoneticPr fontId="1" type="noConversion"/>
  </si>
  <si>
    <t>그 외 이륜차의 구조를 변경할 수 없습니다.</t>
    <phoneticPr fontId="1" type="noConversion"/>
  </si>
  <si>
    <t>합니다.</t>
    <phoneticPr fontId="1" type="noConversion"/>
  </si>
  <si>
    <t>⑤ 제4항에 따라 고객은 인수형 리스라도 계약기간 만료 및 약정된 금액을 완납하기 전까지 이륜차의</t>
    <phoneticPr fontId="1" type="noConversion"/>
  </si>
  <si>
    <t>소유권을 주장할 수 없습니다. 리스 이륜차가 다수인 경우 계약기간 만료일 기준으로 모든 이륜차에 대해</t>
    <phoneticPr fontId="1" type="noConversion"/>
  </si>
  <si>
    <t>청구한 금액이 완납된 상태에서 소유권 양도가 가능합니다.</t>
    <phoneticPr fontId="1" type="noConversion"/>
  </si>
  <si>
    <t>⑦ 그 밖에 고객은 이륜차를 인도받은 후 운행에 대하여 계약서에 명시된 각종 의무를 다하기로 합니다.</t>
    <phoneticPr fontId="1" type="noConversion"/>
  </si>
  <si>
    <t>제14조 (계약이관)</t>
    <phoneticPr fontId="1" type="noConversion"/>
  </si>
  <si>
    <t>등을 제공해야 합니다. 단, 승계받고자 하는 자의 신용상태 및 영업상황 등 요건이 회사 내부 심사기준에</t>
    <phoneticPr fontId="1" type="noConversion"/>
  </si>
  <si>
    <t>승인 전까지의 리스료 지급의무 및 기타 이 계약상의 채무에 대해 이행해야 합니다.</t>
    <phoneticPr fontId="1" type="noConversion"/>
  </si>
  <si>
    <t>④ 고객은 계약이관을 진행하기 위해서는 리스료,수리비,위약금,과태료 등 미수금이 없는 상태여야 합니다.</t>
    <phoneticPr fontId="1" type="noConversion"/>
  </si>
  <si>
    <t>⑤ 계약을 승계 받고자 하는 제3자가 이관계약서에 서명을 함으로써 계약이관의 절차가 종료됩니다.</t>
    <phoneticPr fontId="1" type="noConversion"/>
  </si>
  <si>
    <t>제15조 (이륜차의 관리)</t>
    <phoneticPr fontId="1" type="noConversion"/>
  </si>
  <si>
    <t>① 리스계약 개시일 당시 신차를 인수 받았거나 리스이륜차가 제조사의 보증기간내에 있는 경우,</t>
    <phoneticPr fontId="1" type="noConversion"/>
  </si>
  <si>
    <t>책임지지 않습니다. 이에 따라 고객의 리스료 지급의무에도 영향을 미치지 않습니다.</t>
    <phoneticPr fontId="1" type="noConversion"/>
  </si>
  <si>
    <t>② 고객은 계약개시 당시 차량과 키 관련 부속품 일체를 인수하므로 계약이 종료될 때까지 차량 및 키 관련</t>
    <phoneticPr fontId="1" type="noConversion"/>
  </si>
  <si>
    <t>부속품 일체의 도난, 멸실 또는 훼손 등에 대한 책임이 있습니다.</t>
    <phoneticPr fontId="1" type="noConversion"/>
  </si>
  <si>
    <t>다음 각 호의 사항 중 한 가지를 이행하기로 합니다.</t>
    <phoneticPr fontId="1" type="noConversion"/>
  </si>
  <si>
    <t>리스 계약상의 이륜차로 간주합니다.</t>
    <phoneticPr fontId="1" type="noConversion"/>
  </si>
  <si>
    <t>2.	인수형 계약의 경우 잔여 리스료의 100%를 5일 내에 지급하여 계약을 종료하거나, 제조사가 고지한</t>
    <phoneticPr fontId="1" type="noConversion"/>
  </si>
  <si>
    <t>④ 차량대체 시 발생하는 실비(취득세, 인지세, 번호판 발급비 등)는 변경 건별 즉시 납부합니다.</t>
    <phoneticPr fontId="1" type="noConversion"/>
  </si>
  <si>
    <t>⑤ 리스료를 정상 납부하는 경우 계약종료를 유예할 수 있습니다.</t>
    <phoneticPr fontId="1" type="noConversion"/>
  </si>
  <si>
    <t>제16조 (차량 위치정보 등의 제공 동의)</t>
    <phoneticPr fontId="1" type="noConversion"/>
  </si>
  <si>
    <t xml:space="preserve">① 해당 이륜차에는 도난, 멸실, 분실 등의 위험을 방지 및 대처하기 위하여 위치정보를 수집할 수 </t>
    <phoneticPr fontId="1" type="noConversion"/>
  </si>
  <si>
    <t>있는 장치가 부착되어 있고, 고객은 이를 인지하고 있으며, 고객의 필요에 따라 위치정보를 수집·이용</t>
    <phoneticPr fontId="1" type="noConversion"/>
  </si>
  <si>
    <t>할 수 있습니다.</t>
    <phoneticPr fontId="1" type="noConversion"/>
  </si>
  <si>
    <t>③ 고객은 제1항의 장치를 변경·제거 또는 훼손하여서는 아니됩니다.</t>
    <phoneticPr fontId="1" type="noConversion"/>
  </si>
  <si>
    <t>제17조 (사고의 처리)</t>
    <phoneticPr fontId="1" type="noConversion"/>
  </si>
  <si>
    <t>① 사고 발생 시 고객은 고객이 지정하는 수리센터로 입고하여 수리를 진행할 수 있으며, 관계 법령 및</t>
    <phoneticPr fontId="1" type="noConversion"/>
  </si>
  <si>
    <t>보험계약상의 절차에 따라 사고를 처리하여야 합니다.</t>
    <phoneticPr fontId="1" type="noConversion"/>
  </si>
  <si>
    <t>② 리스기간중 이륜차에 대한 미수선처리는 불가합니다.</t>
    <phoneticPr fontId="1" type="noConversion"/>
  </si>
  <si>
    <t>제18조 (과태료, 범칙금, 제세공과금 등)</t>
    <phoneticPr fontId="1" type="noConversion"/>
  </si>
  <si>
    <t>① 고객이 이륜차를 인수받은 후 운행기간동안 이륜차의 사용과 관련하여 범칙금 또는 과태료 등을</t>
    <phoneticPr fontId="1" type="noConversion"/>
  </si>
  <si>
    <t>납부하여야 합니다. 만약, 계약만기일까지 미납된 범칙금 또는 과태료가 있는 경우 해당 금액을</t>
    <phoneticPr fontId="1" type="noConversion"/>
  </si>
  <si>
    <t>보증금에서 제외하고 지급하기로 합니다.</t>
    <phoneticPr fontId="1" type="noConversion"/>
  </si>
  <si>
    <t>② 플랫폼 일차감 프로그램 이용 고객은 범칙금 또는 과태료 등의 납부관련하여 일회성 차감이</t>
    <phoneticPr fontId="1" type="noConversion"/>
  </si>
  <si>
    <t>③ 계약만료 후 이륜차의 명의이전에 따른 취·등록세 등 제세공과금은 고객이 부담하기로 합니다.</t>
    <phoneticPr fontId="1" type="noConversion"/>
  </si>
  <si>
    <t>제19조 (보험 면책조항)</t>
    <phoneticPr fontId="1" type="noConversion"/>
  </si>
  <si>
    <t xml:space="preserve">다만, 다음 각 호 중 하나에 해당하는 손해와 이륜차보험약관에서 정한 면책사항에 해당하는 경우에는 </t>
    <phoneticPr fontId="1" type="noConversion"/>
  </si>
  <si>
    <t>전부 또는 일부를 보상받지 못하며, 배상책임의 의무는 고객에게 있습니다.</t>
    <phoneticPr fontId="1" type="noConversion"/>
  </si>
  <si>
    <t>① 고의로 인한 손해</t>
    <phoneticPr fontId="1" type="noConversion"/>
  </si>
  <si>
    <t>② 무면허운전 사고로 인한 손해</t>
    <phoneticPr fontId="1" type="noConversion"/>
  </si>
  <si>
    <t>③ 제3조 운행자의 범위를 벗어나는 운행자에게 운행하게 하거나 요금 또는 대가를 받고 이륜차를</t>
    <phoneticPr fontId="1" type="noConversion"/>
  </si>
  <si>
    <t>이용하다가 생긴 사고로 인한 손해</t>
    <phoneticPr fontId="1" type="noConversion"/>
  </si>
  <si>
    <t>④ 범죄를 목적으로 이륜차를 이용하다가 발생한 손해</t>
    <phoneticPr fontId="1" type="noConversion"/>
  </si>
  <si>
    <t>⑤ 음주운전 사고로 인한 손해</t>
    <phoneticPr fontId="1" type="noConversion"/>
  </si>
  <si>
    <t>⑥ 마약, 각성제, 신나 등 약물에 취한 상태에서 운행하다가 생긴 사고로 인한 손해</t>
    <phoneticPr fontId="1" type="noConversion"/>
  </si>
  <si>
    <t>⑦ 이륜차를 경기용이나 연습용 또는 시험 및 시범용으로 이용하다가 생긴 사고로 인한 손해</t>
    <phoneticPr fontId="1" type="noConversion"/>
  </si>
  <si>
    <t>⑧ 운행자 자격요건을 손실 및 충족하지 못한 자가 운전하여 생긴 사고로 인한 손해</t>
    <phoneticPr fontId="1" type="noConversion"/>
  </si>
  <si>
    <t>⑨ 계약종료 후 이륜차를 반환하지 않고 운행하는 중 생긴 사고로 인한 손해</t>
    <phoneticPr fontId="1" type="noConversion"/>
  </si>
  <si>
    <t>⑩ 이륜차 도난 및 무단이용 중 발생한 사고로 인한 손해</t>
    <phoneticPr fontId="1" type="noConversion"/>
  </si>
  <si>
    <t>제20조 (제3자에 대한 손해배상)</t>
    <phoneticPr fontId="1" type="noConversion"/>
  </si>
  <si>
    <t>① 계약기간의 종료나 해지 전후를 불문하고, 고객이 차량을 실제로 인수한 날로부터 동 차량을</t>
    <phoneticPr fontId="1" type="noConversion"/>
  </si>
  <si>
    <t>아무런 손해가 없도록 하여야 합니다.</t>
    <phoneticPr fontId="1" type="noConversion"/>
  </si>
  <si>
    <t>제21조 (계약의 중도해지)</t>
    <phoneticPr fontId="1" type="noConversion"/>
  </si>
  <si>
    <t xml:space="preserve"> 위약금을 지급하여야 합니다.</t>
    <phoneticPr fontId="1" type="noConversion"/>
  </si>
  <si>
    <t>고객의 부담으로 합니다.</t>
    <phoneticPr fontId="1" type="noConversion"/>
  </si>
  <si>
    <t>협조하기로 합니다.</t>
    <phoneticPr fontId="1" type="noConversion"/>
  </si>
  <si>
    <t>⑤ 인수형 리스계약의 경우 계약 체결 이후 180일이 경과한 경우 중도해지에 대한 위약금은</t>
    <phoneticPr fontId="1" type="noConversion"/>
  </si>
  <si>
    <t>면제됩니다.</t>
    <phoneticPr fontId="1" type="noConversion"/>
  </si>
  <si>
    <t>제22조 (계약해지사유로 인한 계약의 종료)</t>
    <phoneticPr fontId="1" type="noConversion"/>
  </si>
  <si>
    <t>1.	이륜차의 무단 양도행위, 무단 전대행위</t>
    <phoneticPr fontId="1" type="noConversion"/>
  </si>
  <si>
    <t>2.	이륜차를 법령에 위반하여 사용하게 하거나 보험에서 인정하는 사용자 이외의 자에게</t>
    <phoneticPr fontId="1" type="noConversion"/>
  </si>
  <si>
    <t>사용 하도록 하는 행위</t>
    <phoneticPr fontId="1" type="noConversion"/>
  </si>
  <si>
    <t>3.	정해진 입금일에 리스료를 입금하지 않고 10일 이상 지체된 경우</t>
    <phoneticPr fontId="1" type="noConversion"/>
  </si>
  <si>
    <t>통보한 후 특별한 사유 없이 3일 이내 배상금을 납부하지 않는 경우</t>
    <phoneticPr fontId="1" type="noConversion"/>
  </si>
  <si>
    <t>침해 할 수 있는 일체의 행위</t>
    <phoneticPr fontId="1" type="noConversion"/>
  </si>
  <si>
    <t>7.	이륜차의 규격, 성능 등의 불법적인 무단 변경, 이륜차의 무단 해체 또는 이륜차에 부착된</t>
    <phoneticPr fontId="1" type="noConversion"/>
  </si>
  <si>
    <t>표지를 임의로 제거, 훼손 및 부착위치를 변경하는 행위</t>
    <phoneticPr fontId="1" type="noConversion"/>
  </si>
  <si>
    <t>8.	이륜차에 부착된 위치정보 수집 장치를 훼손, 은닉 등의 방법으로 본래의 효용을 해하는 행위</t>
    <phoneticPr fontId="1" type="noConversion"/>
  </si>
  <si>
    <t>제23조 (해지위약금 등 부과방법)</t>
    <phoneticPr fontId="1" type="noConversion"/>
  </si>
  <si>
    <t>제21조 및 제22조에 따라 계약이 해지되는 경우, 다음 각 호의 방법으로 위약금 및 수리비 등이 부과됩니다.</t>
    <phoneticPr fontId="1" type="noConversion"/>
  </si>
  <si>
    <t xml:space="preserve"> [ 위약금 = 보증금 + (잔여기간에 대한 총 리스료 × 20%) ]</t>
    <phoneticPr fontId="1" type="noConversion"/>
  </si>
  <si>
    <t>2.	선납한 보증금 및 계약금은 반환되지 않습니다.</t>
    <phoneticPr fontId="1" type="noConversion"/>
  </si>
  <si>
    <t>원상복구 수리비를 지급해야 합니다.</t>
    <phoneticPr fontId="1" type="noConversion"/>
  </si>
  <si>
    <t>제24조 (이륜차의 반환)</t>
    <phoneticPr fontId="1" type="noConversion"/>
  </si>
  <si>
    <t>이의제기를 할 수 없습니다.</t>
    <phoneticPr fontId="1" type="noConversion"/>
  </si>
  <si>
    <t>③ 제2항의 경우 고객은 이륜차 회수에 소요된 비용을 부담하여야 합니다.</t>
    <phoneticPr fontId="1" type="noConversion"/>
  </si>
  <si>
    <t>제25조 (계약만료 후 절차)</t>
    <phoneticPr fontId="1" type="noConversion"/>
  </si>
  <si>
    <t>① 고객은 계약만료일 이후 이륜차를 운행하지 않아야 합니다. 계약만료 후 임의로 이륜차를 운행하여</t>
    <phoneticPr fontId="1" type="noConversion"/>
  </si>
  <si>
    <t>날부터 제9조(지연손해금, 손해배상금)에 기재된 계약만료 후 처리절차 지체에 따른 손해배상의</t>
    <phoneticPr fontId="1" type="noConversion"/>
  </si>
  <si>
    <t>의무가 종료됩니다.</t>
    <phoneticPr fontId="1" type="noConversion"/>
  </si>
  <si>
    <t>③ 인수형 계약의 경우 폐지/명의이전 및 리스료 등의 미납 발생시 다음 각 호에 따라 진행됩니다.</t>
    <phoneticPr fontId="1" type="noConversion"/>
  </si>
  <si>
    <t>1.	명의이전시 발생되는 취·등록세는 고객이 부담합니다.</t>
    <phoneticPr fontId="1" type="noConversion"/>
  </si>
  <si>
    <t>인수가 가능합니다. 단, 계약만료일(D)로부터 D+3일 까지 미납이 있을 경우 차량 회수가 진행되며</t>
    <phoneticPr fontId="1" type="noConversion"/>
  </si>
  <si>
    <t>미납금으로 우선 변제됩니다.</t>
    <phoneticPr fontId="1" type="noConversion"/>
  </si>
  <si>
    <t>지급합니다. 단, 수리비가 보증금을 초과하는 경우 고객은 그 차액을 납부하여야 합니다.</t>
    <phoneticPr fontId="1" type="noConversion"/>
  </si>
  <si>
    <t>⑤ 이륜차의 양도양수 또는 반납은 계약만료일 익일에 처리되어야 하며 처리가 지체될 경우 고객은 제9조</t>
    <phoneticPr fontId="1" type="noConversion"/>
  </si>
  <si>
    <t>(지연손해금, 손해배상금)에 따라 계약만료일 익일을 기준으로 계산한 손해배상금 및 부당사용이익을</t>
    <phoneticPr fontId="1" type="noConversion"/>
  </si>
  <si>
    <t>납부하여야 합니다.</t>
    <phoneticPr fontId="1" type="noConversion"/>
  </si>
  <si>
    <t>① 고객은 계약만료일까지 이륜차를 운행할 수 있습니다.</t>
    <phoneticPr fontId="1" type="noConversion"/>
  </si>
  <si>
    <t>② 계약 만료 전 리스료 완납으로 인하여 계약이 종료되는 경우, 제25조에 따른 계약 만료 후 절차를</t>
    <phoneticPr fontId="1" type="noConversion"/>
  </si>
  <si>
    <t>진행합니다.</t>
    <phoneticPr fontId="1" type="noConversion"/>
  </si>
  <si>
    <t>보증금 이외에 보험환급금 등 추가 환급을 요구할 수 없습니다.</t>
    <phoneticPr fontId="1" type="noConversion"/>
  </si>
  <si>
    <t>제26조 (계약만료 전 리스료 완납 후 절차)</t>
    <phoneticPr fontId="1" type="noConversion"/>
  </si>
  <si>
    <t>제27조 (세금계산서의 발행)</t>
    <phoneticPr fontId="1" type="noConversion"/>
  </si>
  <si>
    <t>세금계산서는 계약서에 명시된 사업자번호 또는 주민번호를 기준으로 발급합니다. 단, 차량이관,</t>
    <phoneticPr fontId="1" type="noConversion"/>
  </si>
  <si>
    <t>제28조 (통지의무)</t>
    <phoneticPr fontId="1" type="noConversion"/>
  </si>
  <si>
    <t xml:space="preserve">고객은 주소, 전화번호, 상호, 사업자등록번호 등의 변경, 기타 세금계산서 발행에 영향을 미치는 사유가 </t>
    <phoneticPr fontId="1" type="noConversion"/>
  </si>
  <si>
    <t>제29조 (적용범위)</t>
    <phoneticPr fontId="1" type="noConversion"/>
  </si>
  <si>
    <t>수리비, 위약금, 과태료 등이 발생된 경우에도 본 계약서에 기재된 이륜차 처분에 영향을 미칠 수 있습니다.</t>
    <phoneticPr fontId="1" type="noConversion"/>
  </si>
  <si>
    <t>제30조 (약관의 변경)</t>
    <phoneticPr fontId="1" type="noConversion"/>
  </si>
  <si>
    <t>본 약관을 변경하여 기존 계약에까지 소급 적용하는 경우 그 내용을 서면으로 작성하여 적용 예정일로부터</t>
    <phoneticPr fontId="1" type="noConversion"/>
  </si>
  <si>
    <t>14일 이전까지 고객에게 통지하는 것으로 하며 고객이 적용 예정일까지 이의를 제기하지 않을 경우,</t>
    <phoneticPr fontId="1" type="noConversion"/>
  </si>
  <si>
    <t>변경된 약관을 승인한 것으로 간주 합니다.</t>
    <phoneticPr fontId="1" type="noConversion"/>
  </si>
  <si>
    <t>제31조 (관할법원)</t>
    <phoneticPr fontId="1" type="noConversion"/>
  </si>
  <si>
    <t>■ 차량등록소 : 출고차량등록에 필요한 정보 및 등록 사무 업무 전부 위임</t>
    <phoneticPr fontId="1" type="noConversion"/>
  </si>
  <si>
    <t xml:space="preserve"> ㅡ</t>
    <phoneticPr fontId="1" type="noConversion"/>
  </si>
  <si>
    <t>※ 계약서의 모든 내용을 충분히 확인하였습니다.</t>
    <phoneticPr fontId="1" type="noConversion"/>
  </si>
  <si>
    <t>개정: 2025-10-01</t>
    <phoneticPr fontId="1" type="noConversion"/>
  </si>
  <si>
    <t>제3조 (계약체결을 위한 서류 제출 및 관련서류의 보완 등)</t>
    <phoneticPr fontId="1" type="noConversion"/>
  </si>
  <si>
    <t>이관계약서 또는 연장계약서에 서명함으로써 승계인 또는 고객에 대하여 본조에 따른 인수증 서명의</t>
    <phoneticPr fontId="1" type="noConversion"/>
  </si>
  <si>
    <t>효력이 발생합니다.</t>
    <phoneticPr fontId="1" type="noConversion"/>
  </si>
  <si>
    <t>③ 보증금은 계약만료 및 고객이 모든 채무를 이행한 때 반환합니다. 다만, 미납 과태료, 수리비 등</t>
    <phoneticPr fontId="1" type="noConversion"/>
  </si>
  <si>
    <t>제비용이 계약기간이 만료된 이후 확인될 수 있는 점을 감안하여 보증금은 계약만료일로부터 한달이</t>
    <phoneticPr fontId="1" type="noConversion"/>
  </si>
  <si>
    <t>경과된 이후에 반환하기로 합니다.</t>
    <phoneticPr fontId="1" type="noConversion"/>
  </si>
  <si>
    <t>경우 고객은 그 차액을 추가로 납부하여야 합니다.</t>
    <phoneticPr fontId="1" type="noConversion"/>
  </si>
  <si>
    <t>고객이 부담하여야 합니다.</t>
    <phoneticPr fontId="1" type="noConversion"/>
  </si>
  <si>
    <t xml:space="preserve">3.	반납형 계약의 경우 제조사가 고지한 신차 소비자 가격에 해당하는 금액을 5일 내에 지급 후 계약을 </t>
    <phoneticPr fontId="1" type="noConversion"/>
  </si>
  <si>
    <t>중도해지 합니다.</t>
    <phoneticPr fontId="1" type="noConversion"/>
  </si>
  <si>
    <t>본 계약은 해지된 것으로 간주하고 이륜차의 반환을 요구할 수 있습니다.</t>
    <phoneticPr fontId="1" type="noConversion"/>
  </si>
  <si>
    <t>가능하도록 동의해야 합니다.</t>
    <phoneticPr fontId="1" type="noConversion"/>
  </si>
  <si>
    <t>신차 소비자 가격을 5일 이내에 지급 후 계약을 중도해지 할 수 있습니다.</t>
    <phoneticPr fontId="1" type="noConversion"/>
  </si>
  <si>
    <t>보증하고 고객과 연대하여 채무를 이행하기로 합니다.</t>
    <phoneticPr fontId="1" type="noConversion"/>
  </si>
  <si>
    <t>[ 월리스료 = 일리스료 × 해당 월의 일수 ] *월 2회 청구시에는 월리스료를 15일과 말일 분할청구한다.</t>
    <phoneticPr fontId="1" type="noConversion"/>
  </si>
  <si>
    <t>계약 만기시 지급한다. 단, 리스료의 미납이 없는 경우에 한합니다.</t>
    <phoneticPr fontId="1" type="noConversion"/>
  </si>
  <si>
    <t>월2회청구시 매월 1일~15일 사용분은 해당 월 15일에, 16일~말일 사용분은 해당 월 말일에 청구한다.</t>
    <phoneticPr fontId="1" type="noConversion"/>
  </si>
  <si>
    <t xml:space="preserve">② “리스 이륜차(이하 ‘이륜차’라 함)”는 회사가 고객의 요청에 따라 구입하여 리스계약서 </t>
  </si>
  <si>
    <t>2.	손해배상금 : 계약만료 후 처리절차를 지체함으로써 과태료 등이 부과되어 회사에 손해가 발생하는 경우</t>
  </si>
  <si>
    <t xml:space="preserve">① 연대보증인은 리스료 지급채무를 포함하여 고객이 회사에 대하여 본 계약과 관련한 일체의 채무를 </t>
  </si>
  <si>
    <t>② 고객이 회사의 동의 없이 본 계약상의 채무를 제 3자로 하여금 인수 또는 승계하게 한 경우에도</t>
  </si>
  <si>
    <t>고객의 채무를 변제 받을 수 있는 권리 행사를 회사보다 앞서 행할 수 없습니다.</t>
  </si>
  <si>
    <t xml:space="preserve">연대보증인이 해당 통지를 받은 후 14일 이내에 이의를 표시한 경우 회사는 고객에게 </t>
  </si>
  <si>
    <t>⑩ "플랫폼 일차감 프로그램" 이란 고객이 가맹중인 배달플랫폼 본사와 회사간의 제휴계약이 되어 있</t>
  </si>
  <si>
    <t>① 회사는 이륜차 출고 확정 시 보험종류 및 보험연령 등 고객이 요청하는 보험가입 내용에 따라 적합한</t>
  </si>
  <si>
    <t>② 회사는 고객을 대신하여 보험료를 납부하며, 보험의 내용은 보험증권 약관에 따릅니다.</t>
  </si>
  <si>
    <t xml:space="preserve">① 고객은 리스계약의 체결에 필요한 서류를 리스계약 체결시 함께 제출하여야 하며, 추후 회사가 </t>
  </si>
  <si>
    <t>④ 해당 보험사의 정책상 보험연령 변경 등이 불가능할 경우 회사는 고객에게 이 사실을 즉시 통보 합니다.</t>
  </si>
  <si>
    <t>⑥ 보험연령 변경으로 보험사 정책상 고가의 보험료를 수취하는 경우 회사가 기존 고지하였던 리스단가표</t>
  </si>
  <si>
    <t>고객과 회사가 합의하여 이륜차 인도일을 정하고, 해당 인도일부터 계약이 개시된 것으로 합니다.</t>
  </si>
  <si>
    <t>⑦ 계약해지 사유가 발생하는 경우 회사는 보험을 해지할 수 있습니다.</t>
  </si>
  <si>
    <t>회사는 계약기간과 일치하게 보험계약을 체결 합니다. 계약종료일 이후 무보험상태에서 운행에 따른</t>
  </si>
  <si>
    <t>① 회사는 이륜차를 고객과 합의한 날에 지정된 장소에 인도하기로 합니다.</t>
  </si>
  <si>
    <t>인수 할 수 없을 경우 대리인을 지정할 수 있으나, 고객은 사전에 회사에게 대리인의 정보를 제공</t>
  </si>
  <si>
    <t>여야 하며, 회사는 대리인의 인수로 인한 차량의 오배송사고에 대하여 책임을 지지 않습니다.</t>
  </si>
  <si>
    <t>④ 계약이관이나 연장계약 등 회사와 고객간의 차량 또는 번호판 등 실물의 인수인계가 없는 경우,</t>
  </si>
  <si>
    <t>② 고객은 이륜차의 기종, 배달통 등 부착물을 선정할 수 있으며, 회사는 고객의 요청에 맞는 부착물을</t>
  </si>
  <si>
    <t>① 고객은 계약 형태에 따라 보증금 또는 계약금을 계약 체결 전에 회사의 계좌로 지급하여야 합니다.</t>
  </si>
  <si>
    <t>④ 이륜차에 대한 소유권은 회사에 있고, 고객은 사용수익권과 운행이익권을 가집니다.</t>
  </si>
  <si>
    <t>단, 제22조에 따라 계약이 해지된 경우, 고객은 즉시 운행을 중단하고, 회사에게 이륜차를 반환하여야</t>
  </si>
  <si>
    <t>④ 회사는 반납된 이륜차의 상태에 따라 보증금에서 수리비를 차감하며, 수리비가 보증금을 초과하는</t>
  </si>
  <si>
    <t>⑥ 제3자가 이륜차에 대하여 권리를 주장하거나 보전처분이나 강제집행 등에 의하여 회사의 소유권을</t>
  </si>
  <si>
    <t>침해할 위험이 있을 때에는 고객은 이륜차가 회사의 소유임을 주장, 입증하여 그 침해를 막고 즉시</t>
  </si>
  <si>
    <t>그 사실을 회사에게 통지하여야 합니다.</t>
  </si>
  <si>
    <t>① 고객은 공휴일과 상관없이 계약서에 기재된 리스료를 정해진 결제일, 결제방법에 따라 회사의</t>
  </si>
  <si>
    <t>① 고객은 본 계약상의 권리와 의무를 회사의 사전 승인없이 임의로 제3자에게 승계할 수 없습니다.</t>
  </si>
  <si>
    <t>② 고객이 권리와 의무를 제3자에게 승계하고자 하는 경우 고객은 회사에 승계받고자 하는 자의 고객정보</t>
  </si>
  <si>
    <t>② 전항에 기재된 결제방법이란, 회사가 안내한 은행계좌로 한국은행이 발행한 통화를 지급하거나,</t>
  </si>
  <si>
    <t>부합하지 않으면 회사는 이를 거절 할 수 있습니다.</t>
  </si>
  <si>
    <t>③ 회사의 승인 없이 고객이 임의로 제3자에게 이륜차의 실질적인 사용수익권을 넘긴 경우, 고객은 회사의</t>
  </si>
  <si>
    <t xml:space="preserve">④ 고객이 가맹중인 배달플랫폼 본사와 회사간의 제휴 계약이 되어 있는 경우 해당 배달플랫폼사의 </t>
  </si>
  <si>
    <t>2.	배달플랫폼 본사와 회사간의 제휴계약이 종료되는 경우</t>
  </si>
  <si>
    <t>3.	배달플랫폼사의 페이가 72시간 연속 회사가 요청하는 금액만큼 계좌로 출금이 되지 않는 경우</t>
  </si>
  <si>
    <t xml:space="preserve">차량 하자 발생 시 제조사의 AS정책을 따르며, 처리과정에서 발생하는 비용 및 손해는 회사가 </t>
  </si>
  <si>
    <t>⑤ 고객의 요청에 따른 보험 연령변경 등 여러 사유로 인해 리스료가 변동될 필요가 있는 경우 회사는</t>
  </si>
  <si>
    <t>③ 이륜차가 도난, 멸실 또는 훼손되었을 때에는 고객은 지체 없이 회사에 이를 통보하고 고객의 비용으로</t>
  </si>
  <si>
    <t>1.	이륜차를 차종, 색상, 연식 등 구성이 동일한 차량으로 교체하고, 교체한 이륜차는 회사의 소유가 되며</t>
  </si>
  <si>
    <t>① 제21조 및 제22조에 따라 계약이 해지되는 경우 고객은 즉시 회사가 지정한 장소로 이륜차를 반환해야</t>
  </si>
  <si>
    <t>② 이륜차 반환을 지연 또는 거부하는 경우 회사는 이륜차를 임의로 회수할 수 있고, 고객은 민·형사상</t>
  </si>
  <si>
    <t>② 고객은 이륜차의 실 운전자 및 실 운행자로부터 위치정보 수집·이용 및 제공 동의 (회사를 제공</t>
  </si>
  <si>
    <t>받은 자로 함)를 받아야 하며, 회사의 요청이 있을 경우, 해당 동의서 및 관련 위치정보를 지체없이</t>
  </si>
  <si>
    <t>회사에 송부하여야 합니다.</t>
  </si>
  <si>
    <t>④ 고객은 계약해지일로부터 이륜차가 최종 반환할 때까지의 기간 동안 손해배상금을 회사에게 지급해야</t>
  </si>
  <si>
    <t>발생하는 사고에 대해서는 회사가 민·형사상 책임을 지지 않습니다.</t>
  </si>
  <si>
    <t>② 인수형 계약의 경우 다음 각 호 중 하나의 방식을 선택하고, 고객은 등기번호 등을 회사에게 고지한</t>
  </si>
  <si>
    <t>③ 회사는 이륜차의 가치 감가하락의 대가로 지급되는 격락손해금을 고객이 지급내역서를 제출하여야하고</t>
  </si>
  <si>
    <t>1.	고객명의로 이전 시 : 고객명의 보험가입증명서와 신분증을 회사로 발송</t>
  </si>
  <si>
    <t>2.	사용폐지 시 : 계약만료일 익일에 회사로 번호판 등기 발송</t>
  </si>
  <si>
    <t>부과 받을 경우, 회사는 고객에게 해당 내용을 안내하며, 고객은 범칙금 또는 과태료를 즉시</t>
  </si>
  <si>
    <t>단, 취·등록세 신고는 회사에서 대행하며, 고지서를 발송해드리면, 확인 즉시 납부하여야 합니다.</t>
  </si>
  <si>
    <t>2.	계약만료일까지 회사에 납부하여야할 금액(리스료와 인수대금 및 과태료 등)을 완납하여야 해당차량</t>
  </si>
  <si>
    <t xml:space="preserve">D+15일 까지 미납금을 완납하지 아니할 경우 기한의 이익을 상실하고 회사에서 차량을 자체처리하며 </t>
  </si>
  <si>
    <t>④ 반납형 계약 시 계약만료일 익일에 이륜차를 회사로 반납하여야 합니다.</t>
  </si>
  <si>
    <t xml:space="preserve">1.	이륜차 반납 후 회사는 수리견적을 작성하여 수리비를 보증금에서 차감한 후 남은 차액을 고객에게 </t>
  </si>
  <si>
    <t>고객은 사고발생시 회사가 체결한 이륜차보험의 보장범위 내에서 배상책임을 보상받을 수 있습니다.</t>
  </si>
  <si>
    <t>만일 회사에 손해가 발생한 경우 고객이 이를 전부 배상하여야 합니다.</t>
  </si>
  <si>
    <t>③ 고객의 요청에 의해 계약만료일 보다 일찍 명의이전 또는 폐지를 진행하는 경우 고객은 회사에게</t>
  </si>
  <si>
    <t>사업자변경 등 계산서 발행대상이 변경되는 경우 고객은 익월 5일까지 회사로 통지하여야 합니다.</t>
  </si>
  <si>
    <t>회사에게 실제로 반환한 날 또는 리스계약 종료시까지 차량의 보관, 운행, 사용 등과 관련하여 차량의</t>
  </si>
  <si>
    <t>발생한 경우에는 즉시 회사에 통지하여야 하며, 통지의무 해태로 인한 불이익은 고객이 부담하기로 합니다.</t>
  </si>
  <si>
    <t>소유자가 회사임을 이유로 고객 또는 고객의 종업원을 포함한 제3자가 자신들이 입은 인적, 물적 손해</t>
  </si>
  <si>
    <t>에 대한 배상을 회사에 대하여 청구하는 경우, 고객은 고객의 비용과 책임 으로 회사를 위 청구로부터</t>
  </si>
  <si>
    <t>면책시켜야 하며, 고객이 해당 이륜차에 대한 인적, 물적 관리 및 지배를 하고 있음을 밝혀 회사에게</t>
  </si>
  <si>
    <t>본 계약서에 기재된 이륜차에 대한 리스료, 수리비, 위약금, 과태료 등 미수가 발생한 경우 고객이 회사와</t>
  </si>
  <si>
    <t>계약한 타 이륜차의 처분에도 영향을 미칠 수 있으며, 고객이 회사와 계약한 타 이륜차에 대한 리스료,</t>
  </si>
  <si>
    <t>② 고객은 회사가 차량의 소유자라는 이유로 부득이 직접 손해배상을 하여야 할 경우 회사가 제3자에</t>
  </si>
  <si>
    <t>게 지급한 금액과 그와 부수하여 회사가 지출한 제비용을 합산한 금액을 회사에게 즉시 지급하여야 합니다.</t>
  </si>
  <si>
    <t>③ 회사가 제1항 및 제2항의 회사에 대한 제3자의 청구에 대항하여 그 일부 또는 전부를 방어한 경우</t>
  </si>
  <si>
    <t>에도 고객은 회사가 그 방어와 관련하여 지출한 소송비용등 제비용을 부담하여야 합니다.</t>
  </si>
  <si>
    <t>① 고객이 이 계약을 해지하고자 할 때는 해지하고자 하는 날의 10일 전에 회사에게 사전 통보하여야</t>
  </si>
  <si>
    <t>② 회사의 중대한 귀책사유로 인한 해지가 아닌 경우 고객은 제23조(해지위약금 등 부과방법)에 기재된</t>
  </si>
  <si>
    <t>리스계약에 따라 발생한 모든 분쟁의 관할법원은 회사의 본사 소재지의 법원으로 합니다.</t>
  </si>
  <si>
    <t>③ 고객은 계약해지 예정일까지 회사가 지정한 장소로 이륜차를 반환해야 하며, 이에 수반되는 비용은</t>
  </si>
  <si>
    <t>④ 최종 계약해지일은 이륜차가 반환되는 날을 기준으로 하며, 고객은 회사의 이륜차 평가 정산업무에</t>
  </si>
  <si>
    <t>고객은 다음 각 호의 행위를 할 수 없으며, 위반 즉시 회사가 고객에게 사전 통지나 최고가 없어도</t>
  </si>
  <si>
    <t>4.	기타 수리비, 과태료 등 회사가 통지한 금액을 정당한 사유 없이 5일 이내에 납부하지 않는 경우</t>
  </si>
  <si>
    <t>5.	무면허운전, 음주운전 등 사용자의 귀책사유로 인하여 회사로 배상금이 청구된 사실을 고객에게</t>
  </si>
  <si>
    <t>6.	이륜차를 제3자에게 담보목적으로 제공하는 등 회사의 이륜차에 대한 소유권 및 재산권을</t>
  </si>
  <si>
    <t>1.	고객은 아래의 방법에 따라 계산한 위약금을 계약해지일까지 회사로 지급해야 합니다.</t>
  </si>
  <si>
    <t>3.	반환한 이륜차, 부착물 및 키 관련 부속품 일체가 파손되었을 경우 고객은 5일 이내에 회사로</t>
  </si>
  <si>
    <t>계약
번호</t>
  </si>
  <si>
    <t>계약
일자</t>
  </si>
  <si>
    <t>차종</t>
  </si>
  <si>
    <t>색상</t>
  </si>
  <si>
    <t>업체명</t>
  </si>
  <si>
    <t>사업자등록번호</t>
  </si>
  <si>
    <t>대표자명</t>
  </si>
  <si>
    <t>주소</t>
  </si>
  <si>
    <t>연락처</t>
  </si>
  <si>
    <t>주민번호</t>
  </si>
  <si>
    <t>대표자주소</t>
    <phoneticPr fontId="1" type="noConversion"/>
  </si>
  <si>
    <t>포르자350</t>
  </si>
  <si>
    <t>CB115</t>
  </si>
  <si>
    <t>NMAX125</t>
  </si>
  <si>
    <t>UHR125</t>
  </si>
  <si>
    <t>크루심125</t>
  </si>
  <si>
    <t>CUB110</t>
  </si>
  <si>
    <t>PCX125(ABS)</t>
  </si>
  <si>
    <t>NMAX155</t>
  </si>
  <si>
    <t>XMAX</t>
  </si>
  <si>
    <t>ADV350</t>
  </si>
  <si>
    <t>존테스368G</t>
  </si>
  <si>
    <t>크루심300</t>
  </si>
  <si>
    <t>미포함</t>
    <phoneticPr fontId="1" type="noConversion"/>
  </si>
  <si>
    <t>월2회(매월 15일, 말일)</t>
    <phoneticPr fontId="1" type="noConversion"/>
  </si>
  <si>
    <t>인수형</t>
    <phoneticPr fontId="1" type="noConversion"/>
  </si>
  <si>
    <t>사용일</t>
    <phoneticPr fontId="1" type="noConversion"/>
  </si>
  <si>
    <t>010-2730-7845</t>
    <phoneticPr fontId="1" type="noConversion"/>
  </si>
  <si>
    <t>0507-1489-7885</t>
  </si>
  <si>
    <r>
      <rPr>
        <b/>
        <sz val="16"/>
        <color theme="1"/>
        <rFont val="맑은 고딕"/>
        <family val="3"/>
        <charset val="129"/>
        <scheme val="minor"/>
      </rPr>
      <t xml:space="preserve">                                  </t>
    </r>
    <r>
      <rPr>
        <b/>
        <sz val="14"/>
        <color theme="1"/>
        <rFont val="맑은 고딕"/>
        <family val="3"/>
        <charset val="129"/>
        <scheme val="minor"/>
      </rPr>
      <t>인수형</t>
    </r>
    <r>
      <rPr>
        <b/>
        <sz val="9"/>
        <color rgb="FFFF0000"/>
        <rFont val="맑은 고딕"/>
        <family val="3"/>
        <charset val="129"/>
        <scheme val="minor"/>
      </rPr>
      <t>(365일 기준 / VAT포함)</t>
    </r>
    <phoneticPr fontId="1" type="noConversion"/>
  </si>
  <si>
    <t>차 종</t>
    <phoneticPr fontId="1" type="noConversion"/>
  </si>
  <si>
    <t>금융리스
(Only Bike)</t>
    <phoneticPr fontId="1" type="noConversion"/>
  </si>
  <si>
    <t>보험유형</t>
    <phoneticPr fontId="1" type="noConversion"/>
  </si>
  <si>
    <t>21세</t>
    <phoneticPr fontId="1" type="noConversion"/>
  </si>
  <si>
    <t>24세</t>
    <phoneticPr fontId="1" type="noConversion"/>
  </si>
  <si>
    <t>26세</t>
    <phoneticPr fontId="1" type="noConversion"/>
  </si>
  <si>
    <t>30세</t>
    <phoneticPr fontId="1" type="noConversion"/>
  </si>
  <si>
    <t>35세</t>
    <phoneticPr fontId="1" type="noConversion"/>
  </si>
  <si>
    <t>VF100R</t>
    <phoneticPr fontId="1" type="noConversion"/>
  </si>
  <si>
    <t>종합</t>
    <phoneticPr fontId="1" type="noConversion"/>
  </si>
  <si>
    <t>사용료</t>
    <phoneticPr fontId="1" type="noConversion"/>
  </si>
  <si>
    <t>595-75-00369</t>
  </si>
  <si>
    <t>경기도 화성시 여울로2길 12, 103호(능동)</t>
  </si>
  <si>
    <t>박정우</t>
  </si>
  <si>
    <t>010-2327-6565</t>
  </si>
  <si>
    <t>790818-1065111</t>
  </si>
  <si>
    <t>경기도 화성시 융건로 99, 120동 601호(기안마을 풍성신미주@)</t>
  </si>
  <si>
    <t>요청일</t>
    <phoneticPr fontId="1" type="noConversion"/>
  </si>
  <si>
    <t>월1회(매월 말일)</t>
    <phoneticPr fontId="1" type="noConversion"/>
  </si>
  <si>
    <t>포어스바이크 유한회사</t>
    <phoneticPr fontId="1" type="noConversion"/>
  </si>
  <si>
    <t>김현수      (인)</t>
    <phoneticPr fontId="1" type="noConversion"/>
  </si>
  <si>
    <t>104-86-62883</t>
    <phoneticPr fontId="1" type="noConversion"/>
  </si>
  <si>
    <t>강원특별자치도 춘천시 춘천로 188, 210호, 211호-에이66호(효자동)</t>
    <phoneticPr fontId="1" type="noConversion"/>
  </si>
  <si>
    <t>포어스바이크유한회사 (이하 회사)와 계약자는 아래 제품란에 기재된 제품에 대하여 본 이륜차 할부판매 계약서 (이하 계약서)를 체결합니다.</t>
    <phoneticPr fontId="1" type="noConversion"/>
  </si>
  <si>
    <t>본 계약서는 포어스바이크(유)와 고객 간의 권리와 의무에 관한 사항을 규정함을 목적으로 합니다.</t>
    <phoneticPr fontId="1" type="noConversion"/>
  </si>
  <si>
    <t>기업은행 929-028075-04-011 포어스바이크(유)</t>
    <phoneticPr fontId="1" type="noConversion"/>
  </si>
  <si>
    <t>하나컴퍼니</t>
  </si>
  <si>
    <t>제이크루</t>
  </si>
  <si>
    <t>141-09-01924</t>
  </si>
  <si>
    <t>박한주</t>
  </si>
  <si>
    <t>870907-1070711</t>
  </si>
  <si>
    <t>010-4099-2098</t>
  </si>
  <si>
    <t>경기도 수원시 팔달구 장다리로 167, 1층</t>
  </si>
  <si>
    <t>경기도 수원시 영통구 동탄원천로 1035, 6동 205호(매탄3차삼성@)</t>
  </si>
  <si>
    <t>A.PCX125</t>
  </si>
  <si>
    <t>RLHJK05K9SY317031</t>
  </si>
  <si>
    <t>화이트</t>
    <phoneticPr fontId="1" type="noConversion"/>
  </si>
  <si>
    <t>면제</t>
    <phoneticPr fontId="1" type="noConversion"/>
  </si>
  <si>
    <t>RFGLVA301TSB07064</t>
  </si>
  <si>
    <t>블랙</t>
    <phoneticPr fontId="1" type="noConversion"/>
  </si>
  <si>
    <t>RLHJK05K1SY318819</t>
  </si>
  <si>
    <t>RLHJK05K0SY318262</t>
  </si>
  <si>
    <t>RLHJK05K3SY316652</t>
    <phoneticPr fontId="1" type="noConversion"/>
  </si>
  <si>
    <t>배달대행사무실</t>
  </si>
  <si>
    <t>189-04-02347</t>
  </si>
  <si>
    <t>경기도 화성시 동탄공원로1길 12-21, 102호</t>
  </si>
  <si>
    <t>LI YINGSHI</t>
  </si>
  <si>
    <t>010-8346-8333</t>
  </si>
  <si>
    <t>771127-5860179</t>
  </si>
  <si>
    <t>RLHJK05K9SY316686</t>
  </si>
  <si>
    <t>블랙(유)</t>
  </si>
  <si>
    <t>미포함</t>
  </si>
  <si>
    <t>신우라이더</t>
  </si>
  <si>
    <t>146-16-01868</t>
  </si>
  <si>
    <t>심미미</t>
  </si>
  <si>
    <t>761004-2162638</t>
  </si>
  <si>
    <t>010-5591-4450</t>
  </si>
  <si>
    <t>경기도 수원시 장안구 수성로304번길 35-22, 102로(영화동)</t>
  </si>
  <si>
    <t>경기도 수원시 장안구 수성로349번길 21(정자동)</t>
  </si>
  <si>
    <t>그레이</t>
    <phoneticPr fontId="1" type="noConversion"/>
  </si>
  <si>
    <t>2025-10-23</t>
  </si>
  <si>
    <t>135-30-73505</t>
  </si>
  <si>
    <t>경기도 화성시 동탄반송1길 36-16(반송동, 1층)</t>
  </si>
  <si>
    <t>김환철</t>
  </si>
  <si>
    <t>010-4122-9663</t>
  </si>
  <si>
    <t>690405-1682836</t>
  </si>
  <si>
    <t>RLHJK05K5SY318869</t>
  </si>
  <si>
    <t>블랙(무)</t>
    <phoneticPr fontId="1" type="noConversion"/>
  </si>
  <si>
    <t>진바이크(동탄점)</t>
    <phoneticPr fontId="1" type="noConversion"/>
  </si>
  <si>
    <t>RLHJK05K8SY317957</t>
  </si>
  <si>
    <t>에스피(SP)인터내셔널</t>
  </si>
  <si>
    <t>347-14-02582</t>
  </si>
  <si>
    <t>서울특별시 강남구 언주로129번길 6, 502동 5층 20호(논현동, SH빌딩)</t>
  </si>
  <si>
    <t>강승기</t>
  </si>
  <si>
    <t>010-9970-3822</t>
  </si>
  <si>
    <t>930126-1402910</t>
  </si>
  <si>
    <t>경기도 화성시 향남읍 상신하길로356번길 29-16, 201동 1603호(서봉마을@)</t>
  </si>
  <si>
    <t>CB115P</t>
  </si>
  <si>
    <t>LWMXCH8CXT1072192</t>
  </si>
  <si>
    <t>레드</t>
  </si>
  <si>
    <t>렌트</t>
    <phoneticPr fontId="1" type="noConversion"/>
  </si>
  <si>
    <t>LD3THR6B3T1602811</t>
  </si>
  <si>
    <t>MH3SEL145SK006690</t>
  </si>
  <si>
    <t>제이크루</t>
    <phoneticPr fontId="1" type="noConversion"/>
  </si>
  <si>
    <t>박한주</t>
    <phoneticPr fontId="1" type="noConversion"/>
  </si>
  <si>
    <t>경기도 수원시 영통구 동탄원천로 1035, 6동 205호(매탄3차삼성@)</t>
    <phoneticPr fontId="1" type="noConversion"/>
  </si>
  <si>
    <t>NMAX125</t>
    <phoneticPr fontId="1" type="noConversion"/>
  </si>
  <si>
    <t>렌탈</t>
    <phoneticPr fontId="1" type="noConversion"/>
  </si>
  <si>
    <t>동탄 배달대행</t>
    <phoneticPr fontId="1" type="noConversion"/>
  </si>
  <si>
    <t>544-42-01076</t>
    <phoneticPr fontId="1" type="noConversion"/>
  </si>
  <si>
    <t>경기도 화성시 동탄산척로2나길 10-10, 1층(산척동)</t>
    <phoneticPr fontId="1" type="noConversion"/>
  </si>
  <si>
    <t>김웅희</t>
    <phoneticPr fontId="1" type="noConversion"/>
  </si>
  <si>
    <t>010-2085-8165</t>
    <phoneticPr fontId="1" type="noConversion"/>
  </si>
  <si>
    <t>940129-1162222</t>
    <phoneticPr fontId="1" type="noConversion"/>
  </si>
  <si>
    <t>경기도 화성시 동탄영천로 108-21, 211동 1106호(영천동, 화성동탄2LH2단지)</t>
    <phoneticPr fontId="1" type="noConversion"/>
  </si>
  <si>
    <t>XMAX</t>
    <phoneticPr fontId="1" type="noConversion"/>
  </si>
  <si>
    <t>MH3SH2380SK002824</t>
  </si>
  <si>
    <t>에이치에스(HS)신속</t>
  </si>
  <si>
    <t>751-06-01657</t>
  </si>
  <si>
    <t>경기도 화성시 동탄장지천5길 24-6(장지동)</t>
  </si>
  <si>
    <t>010-3208-9007</t>
  </si>
  <si>
    <t>940428-1168213</t>
  </si>
  <si>
    <t>LD3THR6B7T1601788</t>
  </si>
  <si>
    <t>LD3THR6B7T1602522</t>
  </si>
  <si>
    <t>/ 일</t>
    <phoneticPr fontId="1" type="noConversion"/>
  </si>
  <si>
    <t>RLHJK05K8SY318056</t>
  </si>
  <si>
    <t>한현수</t>
  </si>
  <si>
    <t>경기도 남양주시 진접읍 금강로영지동2길 7-18</t>
  </si>
  <si>
    <t>요고컴퍼니2</t>
    <phoneticPr fontId="1" type="noConversion"/>
  </si>
  <si>
    <t>529-56-00639</t>
    <phoneticPr fontId="1" type="noConversion"/>
  </si>
  <si>
    <t>경기도 화성시 병점2로 102, 203동 303호(병점동, 정든마을 신창2차아파트)</t>
  </si>
  <si>
    <t>경기도 화성시 병점2로 102, 203동 303호(병점동, 정든마을 신창2차아파트)</t>
    <phoneticPr fontId="1" type="noConversion"/>
  </si>
  <si>
    <t>안태호</t>
    <phoneticPr fontId="1" type="noConversion"/>
  </si>
  <si>
    <t>010-8217-0263</t>
    <phoneticPr fontId="1" type="noConversion"/>
  </si>
  <si>
    <t>980117-1229919</t>
    <phoneticPr fontId="1" type="noConversion"/>
  </si>
  <si>
    <t>LWMXCH8C2T1072350</t>
  </si>
  <si>
    <t>레드</t>
    <phoneticPr fontId="1" type="noConversion"/>
  </si>
  <si>
    <t>RLHJK05K4SY318037</t>
  </si>
  <si>
    <t>PCX125 </t>
  </si>
  <si>
    <t>오산스토어</t>
    <phoneticPr fontId="1" type="noConversion"/>
  </si>
  <si>
    <t>196-56-00384</t>
    <phoneticPr fontId="1" type="noConversion"/>
  </si>
  <si>
    <t>경기도 오산시 수청로 63호, 1층 1호 세마바이크(내삼미동)</t>
    <phoneticPr fontId="1" type="noConversion"/>
  </si>
  <si>
    <t>박상철</t>
    <phoneticPr fontId="1" type="noConversion"/>
  </si>
  <si>
    <t>010-5321-8544</t>
    <phoneticPr fontId="1" type="noConversion"/>
  </si>
  <si>
    <t>850404-1229829</t>
    <phoneticPr fontId="1" type="noConversion"/>
  </si>
  <si>
    <t>경기도 오산시 박동길 5(수청동)</t>
    <phoneticPr fontId="1" type="noConversion"/>
  </si>
  <si>
    <t>LD3THR6B8T1602982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</si>
</sst>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##,###&quot;원&quot;"/>
    <numFmt numFmtId="177" formatCode="#,###,###&quot;원&quot;"/>
    <numFmt numFmtId="178" formatCode=";;;"/>
    <numFmt numFmtId="179" formatCode="#,###&quot;원&quot;"/>
    <numFmt numFmtId="180" formatCode="mm&quot;월&quot;\ dd&quot;일&quot;"/>
    <numFmt numFmtId="181" formatCode="###&quot;일&quot;"/>
    <numFmt numFmtId="182" formatCode="###&quot;세&quot;"/>
  </numFmts>
  <fonts count="4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7"/>
      <color rgb="FF000000"/>
      <name val="맑은 고딕"/>
      <family val="3"/>
      <charset val="129"/>
      <scheme val="minor"/>
    </font>
    <font>
      <b/>
      <sz val="7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vertAlign val="subscript"/>
      <sz val="12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한컴 윤고딕 740"/>
      <family val="3"/>
      <charset val="129"/>
    </font>
    <font>
      <sz val="13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vertAlign val="subscript"/>
      <sz val="16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rgb="FF000000"/>
      <name val="Malgun Gothic"/>
      <family val="3"/>
      <charset val="129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3"/>
      <color theme="1"/>
      <name val="맑은 고딕"/>
      <family val="2"/>
      <charset val="129"/>
      <scheme val="minor"/>
    </font>
    <font>
      <b/>
      <sz val="13"/>
      <color theme="1"/>
      <name val="Segoe UI Symbol"/>
      <family val="2"/>
    </font>
    <font>
      <b/>
      <sz val="13"/>
      <color theme="1"/>
      <name val="맑은 고딕"/>
      <family val="3"/>
      <charset val="129"/>
      <scheme val="minor"/>
    </font>
    <font>
      <b/>
      <sz val="13"/>
      <color theme="1"/>
      <name val="Segoe UI Symbol"/>
      <family val="3"/>
    </font>
    <font>
      <b/>
      <sz val="11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b/>
      <sz val="10"/>
      <color theme="0" tint="-4.9989318521683403E-2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5" fillId="0" borderId="0">
      <alignment vertical="center"/>
    </xf>
    <xf numFmtId="41" fontId="25" fillId="0" borderId="0">
      <alignment vertical="center"/>
    </xf>
    <xf numFmtId="0" fontId="30" fillId="0" borderId="0"/>
    <xf numFmtId="41" fontId="42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justify" vertical="center" wrapText="1"/>
    </xf>
    <xf numFmtId="0" fontId="0" fillId="0" borderId="1" xfId="0" applyBorder="1" applyAlignment="1">
      <alignment horizontal="center" vertical="center"/>
    </xf>
    <xf numFmtId="0" fontId="0" fillId="0" borderId="12" xfId="0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9" fillId="0" borderId="14" xfId="0" applyFont="1" applyBorder="1" applyAlignment="1">
      <alignment horizontal="left" vertical="center"/>
    </xf>
    <xf numFmtId="0" fontId="8" fillId="0" borderId="14" xfId="0" applyFont="1" applyBorder="1" applyAlignment="1">
      <alignment horizontal="justify" vertical="center"/>
    </xf>
    <xf numFmtId="0" fontId="8" fillId="0" borderId="14" xfId="0" applyFont="1" applyBorder="1" applyAlignment="1">
      <alignment horizontal="justify" vertical="center" wrapText="1"/>
    </xf>
    <xf numFmtId="0" fontId="0" fillId="0" borderId="14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3" fillId="0" borderId="14" xfId="0" applyFont="1" applyBorder="1">
      <alignment vertical="center"/>
    </xf>
    <xf numFmtId="0" fontId="14" fillId="0" borderId="14" xfId="0" applyFont="1" applyBorder="1">
      <alignment vertical="center"/>
    </xf>
    <xf numFmtId="0" fontId="9" fillId="0" borderId="14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 wrapText="1"/>
    </xf>
    <xf numFmtId="0" fontId="24" fillId="0" borderId="0" xfId="0" applyFont="1" applyAlignment="1">
      <alignment horizontal="right" vertical="center" indent="1"/>
    </xf>
    <xf numFmtId="0" fontId="18" fillId="4" borderId="2" xfId="0" applyFont="1" applyFill="1" applyBorder="1">
      <alignment vertical="center"/>
    </xf>
    <xf numFmtId="0" fontId="18" fillId="4" borderId="8" xfId="0" applyFont="1" applyFill="1" applyBorder="1">
      <alignment vertical="center"/>
    </xf>
    <xf numFmtId="0" fontId="18" fillId="2" borderId="0" xfId="0" applyFont="1" applyFill="1">
      <alignment vertical="center"/>
    </xf>
    <xf numFmtId="0" fontId="3" fillId="0" borderId="0" xfId="0" applyFont="1">
      <alignment vertical="center"/>
    </xf>
    <xf numFmtId="0" fontId="18" fillId="0" borderId="0" xfId="0" applyFont="1">
      <alignment vertical="center"/>
    </xf>
    <xf numFmtId="0" fontId="3" fillId="0" borderId="0" xfId="0" applyFont="1" applyAlignment="1">
      <alignment horizontal="distributed" vertical="center"/>
    </xf>
    <xf numFmtId="0" fontId="3" fillId="0" borderId="0" xfId="0" applyFont="1" applyAlignment="1">
      <alignment horizontal="distributed" vertical="center" wrapText="1"/>
    </xf>
    <xf numFmtId="0" fontId="2" fillId="0" borderId="0" xfId="0" applyFont="1" applyAlignment="1">
      <alignment horizontal="distributed"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horizontal="distributed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29" fillId="0" borderId="0" xfId="0" applyFont="1">
      <alignment vertical="center"/>
    </xf>
    <xf numFmtId="0" fontId="31" fillId="0" borderId="20" xfId="3" applyFont="1" applyBorder="1" applyAlignment="1">
      <alignment horizontal="center" vertical="center"/>
    </xf>
    <xf numFmtId="0" fontId="33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32" fillId="0" borderId="0" xfId="0" applyFont="1">
      <alignment vertical="center"/>
    </xf>
    <xf numFmtId="0" fontId="34" fillId="2" borderId="0" xfId="0" applyFont="1" applyFill="1" applyAlignment="1">
      <alignment horizontal="center"/>
    </xf>
    <xf numFmtId="0" fontId="34" fillId="2" borderId="0" xfId="0" applyFont="1" applyFill="1" applyAlignment="1">
      <alignment horizontal="right" indent="1"/>
    </xf>
    <xf numFmtId="0" fontId="7" fillId="2" borderId="0" xfId="0" applyFont="1" applyFill="1" applyAlignment="1">
      <alignment horizontal="right"/>
    </xf>
    <xf numFmtId="0" fontId="0" fillId="0" borderId="0" xfId="0" applyAlignment="1">
      <alignment horizontal="right" vertical="center"/>
    </xf>
    <xf numFmtId="0" fontId="18" fillId="4" borderId="18" xfId="0" applyFont="1" applyFill="1" applyBorder="1" applyAlignment="1">
      <alignment horizontal="left" vertical="center"/>
    </xf>
    <xf numFmtId="49" fontId="0" fillId="0" borderId="0" xfId="0" applyNumberFormat="1" applyAlignment="1">
      <alignment horizontal="center"/>
    </xf>
    <xf numFmtId="0" fontId="18" fillId="0" borderId="4" xfId="0" applyFont="1" applyBorder="1" applyAlignment="1">
      <alignment horizontal="center" vertical="center"/>
    </xf>
    <xf numFmtId="178" fontId="32" fillId="0" borderId="0" xfId="0" applyNumberFormat="1" applyFont="1">
      <alignment vertical="center"/>
    </xf>
    <xf numFmtId="178" fontId="33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15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34" fillId="0" borderId="0" xfId="0" applyFont="1" applyAlignment="1">
      <alignment horizontal="right"/>
    </xf>
    <xf numFmtId="0" fontId="4" fillId="0" borderId="0" xfId="0" applyFont="1" applyAlignment="1">
      <alignment horizontal="center" vertical="center" wrapText="1"/>
    </xf>
    <xf numFmtId="1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17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center" vertical="center"/>
    </xf>
    <xf numFmtId="181" fontId="15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41" fontId="41" fillId="2" borderId="31" xfId="0" applyNumberFormat="1" applyFont="1" applyFill="1" applyBorder="1" applyAlignment="1">
      <alignment horizontal="center" vertical="center"/>
    </xf>
    <xf numFmtId="41" fontId="41" fillId="2" borderId="33" xfId="0" applyNumberFormat="1" applyFont="1" applyFill="1" applyBorder="1" applyAlignment="1">
      <alignment horizontal="center" vertical="center"/>
    </xf>
    <xf numFmtId="0" fontId="18" fillId="0" borderId="5" xfId="0" applyFont="1" applyBorder="1" applyAlignment="1">
      <alignment horizontal="right" vertical="center"/>
    </xf>
    <xf numFmtId="179" fontId="15" fillId="0" borderId="0" xfId="4" applyNumberFormat="1" applyFont="1" applyAlignment="1">
      <alignment horizontal="center" vertical="center"/>
    </xf>
    <xf numFmtId="182" fontId="15" fillId="0" borderId="0" xfId="0" applyNumberFormat="1" applyFont="1" applyAlignment="1">
      <alignment horizontal="center" vertical="center"/>
    </xf>
    <xf numFmtId="0" fontId="41" fillId="2" borderId="25" xfId="0" applyFont="1" applyFill="1" applyBorder="1" applyAlignment="1">
      <alignment horizontal="center" vertical="center"/>
    </xf>
    <xf numFmtId="41" fontId="41" fillId="2" borderId="27" xfId="0" applyNumberFormat="1" applyFont="1" applyFill="1" applyBorder="1" applyAlignment="1">
      <alignment horizontal="center" vertical="center"/>
    </xf>
    <xf numFmtId="0" fontId="41" fillId="2" borderId="30" xfId="0" applyFont="1" applyFill="1" applyBorder="1" applyAlignment="1">
      <alignment horizontal="center" vertical="center"/>
    </xf>
    <xf numFmtId="41" fontId="41" fillId="2" borderId="32" xfId="0" applyNumberFormat="1" applyFont="1" applyFill="1" applyBorder="1" applyAlignment="1">
      <alignment horizontal="center" vertical="center"/>
    </xf>
    <xf numFmtId="41" fontId="41" fillId="2" borderId="34" xfId="0" applyNumberFormat="1" applyFont="1" applyFill="1" applyBorder="1" applyAlignment="1">
      <alignment horizontal="center" vertical="center"/>
    </xf>
    <xf numFmtId="41" fontId="41" fillId="2" borderId="35" xfId="0" applyNumberFormat="1" applyFont="1" applyFill="1" applyBorder="1" applyAlignment="1">
      <alignment horizontal="center" vertical="center"/>
    </xf>
    <xf numFmtId="0" fontId="45" fillId="7" borderId="25" xfId="0" applyFont="1" applyFill="1" applyBorder="1" applyAlignment="1">
      <alignment horizontal="center" vertical="center"/>
    </xf>
    <xf numFmtId="0" fontId="45" fillId="7" borderId="26" xfId="0" applyFont="1" applyFill="1" applyBorder="1" applyAlignment="1">
      <alignment horizontal="center" vertical="center"/>
    </xf>
    <xf numFmtId="0" fontId="46" fillId="7" borderId="25" xfId="0" applyFont="1" applyFill="1" applyBorder="1" applyAlignment="1">
      <alignment horizontal="center" vertical="center" wrapText="1"/>
    </xf>
    <xf numFmtId="0" fontId="45" fillId="7" borderId="27" xfId="0" applyFont="1" applyFill="1" applyBorder="1" applyAlignment="1">
      <alignment horizontal="center" vertical="center" wrapText="1"/>
    </xf>
    <xf numFmtId="0" fontId="45" fillId="7" borderId="28" xfId="0" applyFont="1" applyFill="1" applyBorder="1" applyAlignment="1">
      <alignment horizontal="center" vertical="center"/>
    </xf>
    <xf numFmtId="0" fontId="45" fillId="8" borderId="26" xfId="0" applyFont="1" applyFill="1" applyBorder="1" applyAlignment="1">
      <alignment horizontal="center" vertical="center"/>
    </xf>
    <xf numFmtId="41" fontId="15" fillId="0" borderId="27" xfId="4" applyFont="1" applyBorder="1" applyAlignment="1">
      <alignment horizontal="center" vertical="center"/>
    </xf>
    <xf numFmtId="41" fontId="15" fillId="0" borderId="29" xfId="4" applyFont="1" applyBorder="1" applyAlignment="1">
      <alignment horizontal="center" vertical="center"/>
    </xf>
    <xf numFmtId="41" fontId="15" fillId="0" borderId="32" xfId="4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0" fillId="3" borderId="5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8" xfId="0" applyNumberFormat="1" applyFont="1" applyBorder="1" applyAlignment="1">
      <alignment horizontal="center" vertical="center"/>
    </xf>
    <xf numFmtId="14" fontId="18" fillId="0" borderId="21" xfId="0" applyNumberFormat="1" applyFont="1" applyBorder="1" applyAlignment="1">
      <alignment horizontal="center" vertical="center"/>
    </xf>
    <xf numFmtId="14" fontId="18" fillId="0" borderId="19" xfId="0" applyNumberFormat="1" applyFont="1" applyBorder="1" applyAlignment="1">
      <alignment horizontal="center" vertical="center"/>
    </xf>
    <xf numFmtId="14" fontId="18" fillId="0" borderId="2" xfId="0" applyNumberFormat="1" applyFont="1" applyBorder="1" applyAlignment="1">
      <alignment horizontal="center" vertical="center"/>
    </xf>
    <xf numFmtId="14" fontId="18" fillId="0" borderId="3" xfId="0" applyNumberFormat="1" applyFont="1" applyBorder="1" applyAlignment="1">
      <alignment horizontal="center" vertical="center"/>
    </xf>
    <xf numFmtId="14" fontId="18" fillId="0" borderId="4" xfId="0" applyNumberFormat="1" applyFont="1" applyBorder="1" applyAlignment="1">
      <alignment horizontal="center" vertical="center"/>
    </xf>
    <xf numFmtId="0" fontId="18" fillId="4" borderId="2" xfId="0" applyFont="1" applyFill="1" applyBorder="1" applyAlignment="1">
      <alignment horizontal="left" vertical="center" indent="1"/>
    </xf>
    <xf numFmtId="0" fontId="18" fillId="4" borderId="4" xfId="0" applyFont="1" applyFill="1" applyBorder="1" applyAlignment="1">
      <alignment horizontal="left" vertical="center" indent="1"/>
    </xf>
    <xf numFmtId="0" fontId="18" fillId="4" borderId="16" xfId="0" applyFont="1" applyFill="1" applyBorder="1" applyAlignment="1">
      <alignment horizontal="left" vertical="center" indent="1"/>
    </xf>
    <xf numFmtId="0" fontId="18" fillId="4" borderId="15" xfId="0" applyFont="1" applyFill="1" applyBorder="1" applyAlignment="1">
      <alignment horizontal="left" vertical="center" indent="1"/>
    </xf>
    <xf numFmtId="0" fontId="18" fillId="4" borderId="18" xfId="0" applyFont="1" applyFill="1" applyBorder="1" applyAlignment="1">
      <alignment horizontal="left" vertical="center" indent="1"/>
    </xf>
    <xf numFmtId="0" fontId="18" fillId="4" borderId="19" xfId="0" applyFont="1" applyFill="1" applyBorder="1" applyAlignment="1">
      <alignment horizontal="left" vertical="center" indent="1"/>
    </xf>
    <xf numFmtId="177" fontId="18" fillId="0" borderId="1" xfId="0" applyNumberFormat="1" applyFont="1" applyBorder="1" applyAlignment="1">
      <alignment horizontal="center" vertical="center"/>
    </xf>
    <xf numFmtId="182" fontId="18" fillId="0" borderId="2" xfId="0" applyNumberFormat="1" applyFont="1" applyBorder="1" applyAlignment="1">
      <alignment horizontal="center" vertical="center"/>
    </xf>
    <xf numFmtId="182" fontId="18" fillId="0" borderId="3" xfId="0" applyNumberFormat="1" applyFont="1" applyBorder="1" applyAlignment="1">
      <alignment horizontal="center" vertical="center"/>
    </xf>
    <xf numFmtId="182" fontId="18" fillId="0" borderId="4" xfId="0" applyNumberFormat="1" applyFont="1" applyBorder="1" applyAlignment="1">
      <alignment horizontal="center" vertical="center"/>
    </xf>
    <xf numFmtId="0" fontId="18" fillId="0" borderId="7" xfId="0" applyFont="1" applyBorder="1" applyAlignment="1">
      <alignment horizontal="left" vertical="center" wrapText="1" indent="1"/>
    </xf>
    <xf numFmtId="0" fontId="18" fillId="0" borderId="7" xfId="0" applyFont="1" applyBorder="1" applyAlignment="1">
      <alignment horizontal="left" vertical="center" indent="1"/>
    </xf>
    <xf numFmtId="0" fontId="18" fillId="0" borderId="6" xfId="0" applyFont="1" applyBorder="1" applyAlignment="1">
      <alignment horizontal="left" vertical="center" indent="1"/>
    </xf>
    <xf numFmtId="0" fontId="20" fillId="0" borderId="1" xfId="0" applyFont="1" applyBorder="1" applyAlignment="1">
      <alignment horizontal="center" vertical="center"/>
    </xf>
    <xf numFmtId="0" fontId="20" fillId="3" borderId="1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/>
    </xf>
    <xf numFmtId="0" fontId="20" fillId="3" borderId="23" xfId="0" applyFont="1" applyFill="1" applyBorder="1" applyAlignment="1">
      <alignment horizontal="center" vertical="center"/>
    </xf>
    <xf numFmtId="0" fontId="20" fillId="3" borderId="24" xfId="0" applyFont="1" applyFill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0" fillId="3" borderId="1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 indent="1"/>
    </xf>
    <xf numFmtId="0" fontId="4" fillId="0" borderId="17" xfId="0" applyFont="1" applyBorder="1" applyAlignment="1">
      <alignment horizontal="left" vertical="center" indent="1"/>
    </xf>
    <xf numFmtId="0" fontId="4" fillId="0" borderId="15" xfId="0" applyFont="1" applyBorder="1" applyAlignment="1">
      <alignment horizontal="left" vertical="center" indent="1"/>
    </xf>
    <xf numFmtId="0" fontId="20" fillId="0" borderId="6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 indent="1"/>
    </xf>
    <xf numFmtId="0" fontId="7" fillId="0" borderId="1" xfId="0" applyFont="1" applyBorder="1">
      <alignment vertical="center"/>
    </xf>
    <xf numFmtId="180" fontId="18" fillId="0" borderId="16" xfId="0" applyNumberFormat="1" applyFont="1" applyBorder="1" applyAlignment="1">
      <alignment horizontal="center" vertical="center"/>
    </xf>
    <xf numFmtId="180" fontId="18" fillId="0" borderId="17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center" vertical="center"/>
    </xf>
    <xf numFmtId="176" fontId="18" fillId="0" borderId="2" xfId="0" applyNumberFormat="1" applyFont="1" applyBorder="1" applyAlignment="1">
      <alignment horizontal="right" vertical="center"/>
    </xf>
    <xf numFmtId="176" fontId="18" fillId="0" borderId="3" xfId="0" applyNumberFormat="1" applyFont="1" applyBorder="1" applyAlignment="1">
      <alignment horizontal="right" vertical="center"/>
    </xf>
    <xf numFmtId="49" fontId="18" fillId="0" borderId="3" xfId="0" applyNumberFormat="1" applyFont="1" applyBorder="1" applyAlignment="1">
      <alignment horizontal="left" vertical="center"/>
    </xf>
    <xf numFmtId="49" fontId="18" fillId="0" borderId="4" xfId="0" applyNumberFormat="1" applyFont="1" applyBorder="1" applyAlignment="1">
      <alignment horizontal="left" vertical="center"/>
    </xf>
    <xf numFmtId="0" fontId="6" fillId="3" borderId="9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15" fillId="0" borderId="0" xfId="0" applyFont="1" applyAlignment="1">
      <alignment vertical="center" wrapText="1"/>
    </xf>
    <xf numFmtId="0" fontId="17" fillId="0" borderId="0" xfId="0" applyFont="1" applyAlignment="1">
      <alignment horizontal="distributed" vertical="center"/>
    </xf>
    <xf numFmtId="0" fontId="15" fillId="0" borderId="0" xfId="0" applyFont="1" applyAlignment="1">
      <alignment horizontal="distributed" vertical="center" wrapText="1"/>
    </xf>
    <xf numFmtId="0" fontId="15" fillId="4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17" fillId="0" borderId="0" xfId="0" applyFont="1" applyAlignment="1">
      <alignment horizontal="justify" vertical="center"/>
    </xf>
    <xf numFmtId="0" fontId="18" fillId="0" borderId="7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5" fillId="0" borderId="0" xfId="0" applyFont="1" applyAlignment="1">
      <alignment horizontal="right" vertical="center" indent="1"/>
    </xf>
    <xf numFmtId="0" fontId="37" fillId="0" borderId="0" xfId="0" applyFont="1" applyAlignment="1">
      <alignment horizontal="righ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5" fillId="4" borderId="18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7" fillId="0" borderId="0" xfId="0" applyFont="1" applyAlignment="1">
      <alignment horizontal="justify" vertical="center" wrapText="1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5" fillId="3" borderId="7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6" fillId="3" borderId="1" xfId="0" applyFont="1" applyFill="1" applyBorder="1" applyAlignment="1">
      <alignment horizontal="left" vertical="top" indent="1"/>
    </xf>
    <xf numFmtId="0" fontId="16" fillId="3" borderId="2" xfId="0" applyFont="1" applyFill="1" applyBorder="1" applyAlignment="1">
      <alignment horizontal="left" vertical="top" indent="1"/>
    </xf>
    <xf numFmtId="0" fontId="22" fillId="0" borderId="0" xfId="0" applyFont="1" applyAlignment="1">
      <alignment horizontal="justify" vertical="center" wrapText="1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8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" fillId="0" borderId="0" xfId="0" applyFont="1" applyAlignment="1">
      <alignment horizontal="distributed" vertical="center"/>
    </xf>
    <xf numFmtId="0" fontId="40" fillId="0" borderId="0" xfId="0" applyFont="1" applyAlignment="1">
      <alignment vertical="center" wrapText="1"/>
    </xf>
    <xf numFmtId="0" fontId="2" fillId="0" borderId="0" xfId="0" applyFont="1" applyAlignment="1">
      <alignment horizontal="distributed" vertical="center" wrapText="1"/>
    </xf>
    <xf numFmtId="0" fontId="3" fillId="0" borderId="0" xfId="0" applyFont="1" applyAlignment="1">
      <alignment horizontal="distributed" vertical="center" wrapText="1"/>
    </xf>
    <xf numFmtId="0" fontId="3" fillId="6" borderId="0" xfId="0" applyFont="1" applyFill="1" applyAlignment="1">
      <alignment horizontal="left" vertical="center" wrapText="1"/>
    </xf>
    <xf numFmtId="0" fontId="16" fillId="0" borderId="0" xfId="0" applyFont="1">
      <alignment vertical="center"/>
    </xf>
    <xf numFmtId="0" fontId="40" fillId="0" borderId="0" xfId="0" applyFont="1" applyAlignment="1">
      <alignment horizontal="left" vertical="center" wrapText="1"/>
    </xf>
    <xf numFmtId="0" fontId="20" fillId="5" borderId="0" xfId="0" applyFont="1" applyFill="1" applyAlignment="1">
      <alignment horizontal="center" vertical="center"/>
    </xf>
  </cellXfs>
  <cellStyles count="5">
    <cellStyle name="쉼표 [0]" xfId="4" builtinId="6"/>
    <cellStyle name="쉼표 [0] 2 10 2 4" xfId="1" xr:uid="{00000000-0005-0000-0000-000000000000}"/>
    <cellStyle name="쉼표 [0] 4 2 4" xfId="2" xr:uid="{00000000-0005-0000-0000-000001000000}"/>
    <cellStyle name="표준" xfId="0" builtinId="0"/>
    <cellStyle name="표준 2" xfId="3" xr:uid="{1E2446ED-6DE7-4091-A1ED-46BE9D82C78C}"/>
  </cellStyles>
  <dxfs count="0"/>
  <tableStyles count="0" defaultTableStyle="TableStyleMedium2" defaultPivotStyle="PivotStyleLight16"/>
  <colors>
    <mruColors>
      <color rgb="FFFEEBB6"/>
      <color rgb="FFD9D9D9"/>
      <color rgb="FFF2F2F2"/>
      <color rgb="FFE6E6E6"/>
      <color rgb="FF9E9E9E"/>
      <color rgb="FF1DEACD"/>
      <color rgb="FF0957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85724</xdr:colOff>
      <xdr:row>0</xdr:row>
      <xdr:rowOff>57150</xdr:rowOff>
    </xdr:from>
    <xdr:to>
      <xdr:col>3</xdr:col>
      <xdr:colOff>476249</xdr:colOff>
      <xdr:row>1</xdr:row>
      <xdr:rowOff>200024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D10D497-055A-4591-BC8A-56CA113BF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57150"/>
          <a:ext cx="2047875" cy="352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274320</xdr:colOff>
          <xdr:row>3</xdr:row>
          <xdr:rowOff>22860</xdr:rowOff>
        </xdr:from>
        <xdr:to>
          <xdr:col>21</xdr:col>
          <xdr:colOff>533400</xdr:colOff>
          <xdr:row>4</xdr:row>
          <xdr:rowOff>335280</xdr:rowOff>
        </xdr:to>
        <xdr:sp macro="" textlink="">
          <xdr:nvSpPr>
            <xdr:cNvPr id="2063" name="Group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595499</xdr:colOff>
      <xdr:row>11</xdr:row>
      <xdr:rowOff>172663</xdr:rowOff>
    </xdr:from>
    <xdr:to>
      <xdr:col>19</xdr:col>
      <xdr:colOff>143799</xdr:colOff>
      <xdr:row>14</xdr:row>
      <xdr:rowOff>11205</xdr:rowOff>
    </xdr:to>
    <xdr:pic macro="[0]!PDF저장"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37440" y="3153428"/>
          <a:ext cx="893006" cy="880690"/>
        </a:xfrm>
        <a:prstGeom prst="rect">
          <a:avLst/>
        </a:prstGeom>
      </xdr:spPr>
    </xdr:pic>
    <xdr:clientData/>
  </xdr:twoCellAnchor>
  <xdr:twoCellAnchor editAs="oneCell">
    <xdr:from>
      <xdr:col>10</xdr:col>
      <xdr:colOff>1176619</xdr:colOff>
      <xdr:row>4</xdr:row>
      <xdr:rowOff>89362</xdr:rowOff>
    </xdr:from>
    <xdr:to>
      <xdr:col>10</xdr:col>
      <xdr:colOff>1824476</xdr:colOff>
      <xdr:row>5</xdr:row>
      <xdr:rowOff>358589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D375E28-DA94-45C2-9995-E84D86A8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4972" y="828950"/>
          <a:ext cx="647857" cy="650227"/>
        </a:xfrm>
        <a:prstGeom prst="rect">
          <a:avLst/>
        </a:prstGeom>
      </xdr:spPr>
    </xdr:pic>
    <xdr:clientData/>
  </xdr:twoCellAnchor>
  <xdr:twoCellAnchor editAs="oneCell">
    <xdr:from>
      <xdr:col>13</xdr:col>
      <xdr:colOff>638735</xdr:colOff>
      <xdr:row>0</xdr:row>
      <xdr:rowOff>179294</xdr:rowOff>
    </xdr:from>
    <xdr:to>
      <xdr:col>15</xdr:col>
      <xdr:colOff>174520</xdr:colOff>
      <xdr:row>2</xdr:row>
      <xdr:rowOff>131268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2999A71-F00E-46CF-A145-F5F0CC805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5029" y="179294"/>
          <a:ext cx="1496814" cy="4226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EA36B-302F-495D-9271-98A18A3FF282}">
  <sheetPr codeName="Sheet3"/>
  <dimension ref="B1:J27"/>
  <sheetViews>
    <sheetView workbookViewId="0">
      <selection activeCell="N23" sqref="N23"/>
    </sheetView>
  </sheetViews>
  <sheetFormatPr defaultRowHeight="17.399999999999999"/>
  <cols>
    <col min="1" max="1" width="0.8984375" customWidth="1"/>
    <col min="2" max="2" width="12.59765625" customWidth="1"/>
    <col min="3" max="3" width="9.09765625" customWidth="1"/>
    <col min="4" max="4" width="9.8984375" customWidth="1"/>
    <col min="5" max="5" width="9.5" customWidth="1"/>
    <col min="6" max="10" width="9.8984375" customWidth="1"/>
  </cols>
  <sheetData>
    <row r="1" spans="2:10" ht="7.5" customHeight="1"/>
    <row r="2" spans="2:10" ht="25.8" thickBot="1">
      <c r="B2" s="79" t="s">
        <v>424</v>
      </c>
      <c r="D2" s="80"/>
      <c r="E2" s="80"/>
      <c r="F2" s="80"/>
      <c r="G2" s="80"/>
      <c r="H2" s="80"/>
      <c r="I2" s="80"/>
    </row>
    <row r="3" spans="2:10" ht="34.5" customHeight="1" thickBot="1">
      <c r="B3" s="92" t="s">
        <v>425</v>
      </c>
      <c r="C3" s="93" t="s">
        <v>36</v>
      </c>
      <c r="D3" s="94" t="s">
        <v>426</v>
      </c>
      <c r="E3" s="95" t="s">
        <v>427</v>
      </c>
      <c r="F3" s="93" t="s">
        <v>428</v>
      </c>
      <c r="G3" s="96" t="s">
        <v>429</v>
      </c>
      <c r="H3" s="96" t="s">
        <v>430</v>
      </c>
      <c r="I3" s="96" t="s">
        <v>431</v>
      </c>
      <c r="J3" s="97" t="s">
        <v>432</v>
      </c>
    </row>
    <row r="4" spans="2:10" ht="18" customHeight="1" thickBot="1">
      <c r="B4" s="86" t="s">
        <v>433</v>
      </c>
      <c r="C4" s="98">
        <v>300000</v>
      </c>
      <c r="D4" s="87">
        <v>9500</v>
      </c>
      <c r="E4" s="90" t="s">
        <v>434</v>
      </c>
      <c r="F4" s="90">
        <v>18500</v>
      </c>
      <c r="G4" s="90">
        <v>17000</v>
      </c>
      <c r="H4" s="90">
        <v>16000</v>
      </c>
      <c r="I4" s="90">
        <v>15000</v>
      </c>
      <c r="J4" s="91">
        <v>14000</v>
      </c>
    </row>
    <row r="5" spans="2:10" ht="18" customHeight="1" thickBot="1">
      <c r="B5" s="86" t="s">
        <v>407</v>
      </c>
      <c r="C5" s="99">
        <v>300000</v>
      </c>
      <c r="D5" s="87">
        <v>10000</v>
      </c>
      <c r="E5" s="81" t="s">
        <v>434</v>
      </c>
      <c r="F5" s="81">
        <v>27000</v>
      </c>
      <c r="G5" s="81">
        <v>24000</v>
      </c>
      <c r="H5" s="81">
        <v>22000</v>
      </c>
      <c r="I5" s="81">
        <v>20000</v>
      </c>
      <c r="J5" s="82">
        <v>18000</v>
      </c>
    </row>
    <row r="6" spans="2:10" ht="18" customHeight="1" thickBot="1">
      <c r="B6" s="86" t="s">
        <v>409</v>
      </c>
      <c r="C6" s="98">
        <v>300000</v>
      </c>
      <c r="D6" s="87">
        <v>15500</v>
      </c>
      <c r="E6" s="81" t="s">
        <v>434</v>
      </c>
      <c r="F6" s="81">
        <v>33000</v>
      </c>
      <c r="G6" s="81">
        <v>29500</v>
      </c>
      <c r="H6" s="81">
        <v>27500</v>
      </c>
      <c r="I6" s="81">
        <v>26000</v>
      </c>
      <c r="J6" s="82">
        <v>24000</v>
      </c>
    </row>
    <row r="7" spans="2:10" ht="18" customHeight="1" thickBot="1">
      <c r="B7" s="86" t="s">
        <v>410</v>
      </c>
      <c r="C7" s="98">
        <v>300000</v>
      </c>
      <c r="D7" s="87">
        <v>21000</v>
      </c>
      <c r="E7" s="81" t="s">
        <v>434</v>
      </c>
      <c r="F7" s="81">
        <v>38500</v>
      </c>
      <c r="G7" s="81">
        <v>35000</v>
      </c>
      <c r="H7" s="81">
        <v>33000</v>
      </c>
      <c r="I7" s="81">
        <v>31500</v>
      </c>
      <c r="J7" s="82">
        <v>29500</v>
      </c>
    </row>
    <row r="8" spans="2:10" ht="18" customHeight="1" thickBot="1">
      <c r="B8" s="86" t="s">
        <v>411</v>
      </c>
      <c r="C8" s="98">
        <v>300000</v>
      </c>
      <c r="D8" s="87">
        <v>10000</v>
      </c>
      <c r="E8" s="81" t="s">
        <v>434</v>
      </c>
      <c r="F8" s="81">
        <v>27500</v>
      </c>
      <c r="G8" s="81">
        <v>24000</v>
      </c>
      <c r="H8" s="81">
        <v>22000</v>
      </c>
      <c r="I8" s="81">
        <v>20500</v>
      </c>
      <c r="J8" s="82">
        <v>18500</v>
      </c>
    </row>
    <row r="9" spans="2:10" ht="18" customHeight="1" thickBot="1">
      <c r="B9" s="86" t="s">
        <v>412</v>
      </c>
      <c r="C9" s="98">
        <v>300000</v>
      </c>
      <c r="D9" s="87">
        <v>16500</v>
      </c>
      <c r="E9" s="81" t="s">
        <v>434</v>
      </c>
      <c r="F9" s="81">
        <v>34500</v>
      </c>
      <c r="G9" s="81">
        <v>31000</v>
      </c>
      <c r="H9" s="81">
        <v>29000</v>
      </c>
      <c r="I9" s="81">
        <v>27000</v>
      </c>
      <c r="J9" s="82">
        <v>25000</v>
      </c>
    </row>
    <row r="10" spans="2:10" ht="18" customHeight="1" thickBot="1">
      <c r="B10" s="86" t="s">
        <v>408</v>
      </c>
      <c r="C10" s="98">
        <v>300000</v>
      </c>
      <c r="D10" s="87">
        <v>16500</v>
      </c>
      <c r="E10" s="81" t="s">
        <v>434</v>
      </c>
      <c r="F10" s="81">
        <v>34500</v>
      </c>
      <c r="G10" s="81">
        <v>31000</v>
      </c>
      <c r="H10" s="81">
        <v>29000</v>
      </c>
      <c r="I10" s="81">
        <v>27000</v>
      </c>
      <c r="J10" s="82">
        <v>25000</v>
      </c>
    </row>
    <row r="11" spans="2:10" ht="18" customHeight="1" thickBot="1">
      <c r="B11" s="86" t="s">
        <v>413</v>
      </c>
      <c r="C11" s="98">
        <v>300000</v>
      </c>
      <c r="D11" s="87">
        <v>21000</v>
      </c>
      <c r="E11" s="81" t="s">
        <v>434</v>
      </c>
      <c r="F11" s="81">
        <v>38000</v>
      </c>
      <c r="G11" s="81">
        <v>34500</v>
      </c>
      <c r="H11" s="81">
        <v>32500</v>
      </c>
      <c r="I11" s="81">
        <v>31000</v>
      </c>
      <c r="J11" s="82">
        <v>29000</v>
      </c>
    </row>
    <row r="12" spans="2:10" ht="18" customHeight="1" thickBot="1">
      <c r="B12" s="86" t="s">
        <v>406</v>
      </c>
      <c r="C12" s="98">
        <v>500000</v>
      </c>
      <c r="D12" s="87">
        <v>29000</v>
      </c>
      <c r="E12" s="81" t="s">
        <v>434</v>
      </c>
      <c r="F12" s="81">
        <v>48000</v>
      </c>
      <c r="G12" s="81">
        <v>44000</v>
      </c>
      <c r="H12" s="81">
        <v>42000</v>
      </c>
      <c r="I12" s="81">
        <v>39500</v>
      </c>
      <c r="J12" s="82">
        <v>37500</v>
      </c>
    </row>
    <row r="13" spans="2:10" ht="18" customHeight="1" thickBot="1">
      <c r="B13" s="86" t="s">
        <v>414</v>
      </c>
      <c r="C13" s="98">
        <v>500000</v>
      </c>
      <c r="D13" s="87">
        <v>29500</v>
      </c>
      <c r="E13" s="81" t="s">
        <v>434</v>
      </c>
      <c r="F13" s="81">
        <v>49500</v>
      </c>
      <c r="G13" s="81">
        <v>46000</v>
      </c>
      <c r="H13" s="81">
        <v>43500</v>
      </c>
      <c r="I13" s="81">
        <v>41000</v>
      </c>
      <c r="J13" s="82">
        <v>39000</v>
      </c>
    </row>
    <row r="14" spans="2:10" ht="18" customHeight="1" thickBot="1">
      <c r="B14" s="86" t="s">
        <v>415</v>
      </c>
      <c r="C14" s="98">
        <v>500000</v>
      </c>
      <c r="D14" s="87">
        <v>31000</v>
      </c>
      <c r="E14" s="81" t="s">
        <v>434</v>
      </c>
      <c r="F14" s="81">
        <v>51000</v>
      </c>
      <c r="G14" s="81">
        <v>47500</v>
      </c>
      <c r="H14" s="81">
        <v>45000</v>
      </c>
      <c r="I14" s="81">
        <v>42500</v>
      </c>
      <c r="J14" s="82">
        <v>40500</v>
      </c>
    </row>
    <row r="15" spans="2:10" ht="18" customHeight="1" thickBot="1">
      <c r="B15" s="86" t="s">
        <v>416</v>
      </c>
      <c r="C15" s="98">
        <v>500000</v>
      </c>
      <c r="D15" s="87">
        <v>29500</v>
      </c>
      <c r="E15" s="81" t="s">
        <v>434</v>
      </c>
      <c r="F15" s="81">
        <v>48500</v>
      </c>
      <c r="G15" s="81">
        <v>44500</v>
      </c>
      <c r="H15" s="81">
        <v>42000</v>
      </c>
      <c r="I15" s="81">
        <v>40000</v>
      </c>
      <c r="J15" s="82">
        <v>37500</v>
      </c>
    </row>
    <row r="16" spans="2:10" ht="18" customHeight="1" thickBot="1">
      <c r="B16" s="88" t="s">
        <v>417</v>
      </c>
      <c r="C16" s="100">
        <v>500000</v>
      </c>
      <c r="D16" s="89">
        <v>26000</v>
      </c>
      <c r="E16" s="81" t="s">
        <v>434</v>
      </c>
      <c r="F16" s="81">
        <v>45000</v>
      </c>
      <c r="G16" s="81">
        <v>41500</v>
      </c>
      <c r="H16" s="81">
        <v>39000</v>
      </c>
      <c r="I16" s="81">
        <v>36500</v>
      </c>
      <c r="J16" s="81">
        <v>34500</v>
      </c>
    </row>
    <row r="25" ht="15.75" customHeight="1"/>
    <row r="26" ht="77.25" customHeight="1"/>
    <row r="27" ht="20.25" customHeight="1"/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D5A05-6C31-4291-AAA1-E5C6F26F3C91}">
  <sheetPr codeName="Sheet4"/>
  <dimension ref="A2:W1936"/>
  <sheetViews>
    <sheetView topLeftCell="E1" workbookViewId="0">
      <selection activeCell="T20" sqref="T20"/>
    </sheetView>
  </sheetViews>
  <sheetFormatPr defaultColWidth="9" defaultRowHeight="17.25" customHeight="1"/>
  <cols>
    <col min="1" max="1" width="6.3984375" style="74" customWidth="1"/>
    <col min="2" max="3" width="9.69921875" style="77" customWidth="1"/>
    <col min="4" max="4" width="16.5" style="74" bestFit="1" customWidth="1"/>
    <col min="5" max="5" width="12.09765625" style="74" customWidth="1"/>
    <col min="6" max="6" width="40.5" style="76" customWidth="1"/>
    <col min="7" max="7" width="8.5" style="74" customWidth="1"/>
    <col min="8" max="8" width="12.69921875" style="74" customWidth="1"/>
    <col min="9" max="9" width="13" style="74" customWidth="1"/>
    <col min="10" max="10" width="16.3984375" style="76" customWidth="1"/>
    <col min="11" max="11" width="12.09765625" style="74" customWidth="1"/>
    <col min="12" max="12" width="21.8984375" style="74" customWidth="1"/>
    <col min="13" max="13" width="17.8984375" style="74" customWidth="1"/>
    <col min="14" max="15" width="9.8984375" style="74" customWidth="1"/>
    <col min="16" max="16" width="9.3984375" style="85" customWidth="1"/>
    <col min="17" max="17" width="9.09765625" style="78" customWidth="1"/>
    <col min="18" max="18" width="9.09765625" style="84" customWidth="1"/>
    <col min="19" max="19" width="9.09765625" style="75" customWidth="1"/>
    <col min="20" max="20" width="9.09765625" style="78" customWidth="1"/>
    <col min="21" max="23" width="23.3984375" style="76" customWidth="1"/>
    <col min="24" max="16384" width="9" style="74"/>
  </cols>
  <sheetData>
    <row r="2" spans="1:23" ht="29.25" customHeight="1">
      <c r="A2" s="72" t="s">
        <v>395</v>
      </c>
      <c r="B2" s="73" t="s">
        <v>396</v>
      </c>
      <c r="C2" s="73" t="s">
        <v>442</v>
      </c>
      <c r="D2" s="74" t="s">
        <v>399</v>
      </c>
      <c r="E2" s="74" t="s">
        <v>400</v>
      </c>
      <c r="F2" s="74" t="s">
        <v>402</v>
      </c>
      <c r="G2" s="74" t="s">
        <v>401</v>
      </c>
      <c r="H2" s="74" t="s">
        <v>403</v>
      </c>
      <c r="I2" s="74" t="s">
        <v>404</v>
      </c>
      <c r="J2" s="74" t="s">
        <v>405</v>
      </c>
      <c r="K2" s="74" t="s">
        <v>397</v>
      </c>
      <c r="L2" s="74" t="s">
        <v>22</v>
      </c>
      <c r="M2" s="74" t="s">
        <v>24</v>
      </c>
      <c r="N2" s="74" t="s">
        <v>398</v>
      </c>
      <c r="O2" s="74" t="s">
        <v>29</v>
      </c>
      <c r="P2" s="85" t="s">
        <v>35</v>
      </c>
      <c r="Q2" s="78" t="s">
        <v>421</v>
      </c>
      <c r="R2" s="84" t="s">
        <v>36</v>
      </c>
      <c r="S2" s="75" t="s">
        <v>435</v>
      </c>
      <c r="T2" s="78" t="s">
        <v>33</v>
      </c>
      <c r="U2" s="74"/>
      <c r="V2" s="74"/>
      <c r="W2" s="74"/>
    </row>
    <row r="3" spans="1:23" ht="17.25" customHeight="1">
      <c r="A3" s="74">
        <f>IF(B3&lt;&gt;"",ROW()-2,"")</f>
        <v>1</v>
      </c>
      <c r="B3" s="77">
        <v>45945</v>
      </c>
      <c r="C3" s="77">
        <v>45946</v>
      </c>
      <c r="D3" s="74" t="s">
        <v>452</v>
      </c>
      <c r="E3" s="74" t="s">
        <v>453</v>
      </c>
      <c r="F3" s="76" t="s">
        <v>457</v>
      </c>
      <c r="G3" s="74" t="s">
        <v>454</v>
      </c>
      <c r="H3" s="74" t="s">
        <v>456</v>
      </c>
      <c r="I3" s="74" t="s">
        <v>455</v>
      </c>
      <c r="J3" s="76" t="s">
        <v>458</v>
      </c>
      <c r="K3" s="74" t="s">
        <v>459</v>
      </c>
      <c r="L3" s="74" t="s">
        <v>460</v>
      </c>
      <c r="N3" s="74" t="s">
        <v>461</v>
      </c>
      <c r="O3" s="74" t="s">
        <v>418</v>
      </c>
      <c r="P3" s="85">
        <v>35</v>
      </c>
      <c r="Q3" s="78">
        <v>365</v>
      </c>
      <c r="R3" s="84" t="s">
        <v>462</v>
      </c>
      <c r="S3" s="75">
        <v>23300</v>
      </c>
    </row>
    <row r="4" spans="1:23" ht="17.25" customHeight="1">
      <c r="A4" s="74">
        <f t="shared" ref="A4:A67" si="0">IF(B4&lt;&gt;"",ROW()-2,"")</f>
        <v>2</v>
      </c>
      <c r="B4" s="77">
        <v>45946</v>
      </c>
      <c r="C4" s="77">
        <v>45947</v>
      </c>
      <c r="D4" s="74" t="s">
        <v>451</v>
      </c>
      <c r="E4" s="74" t="s">
        <v>436</v>
      </c>
      <c r="F4" s="76" t="s">
        <v>437</v>
      </c>
      <c r="G4" s="74" t="s">
        <v>438</v>
      </c>
      <c r="H4" s="74" t="s">
        <v>439</v>
      </c>
      <c r="I4" s="74" t="s">
        <v>440</v>
      </c>
      <c r="J4" s="76" t="s">
        <v>441</v>
      </c>
      <c r="K4" s="74" t="s">
        <v>410</v>
      </c>
      <c r="L4" s="74" t="s">
        <v>463</v>
      </c>
      <c r="N4" s="74" t="s">
        <v>464</v>
      </c>
      <c r="O4" s="74" t="s">
        <v>418</v>
      </c>
      <c r="P4" s="85">
        <v>35</v>
      </c>
      <c r="Q4" s="78">
        <v>365</v>
      </c>
      <c r="R4" s="84">
        <v>300000</v>
      </c>
      <c r="S4" s="84">
        <v>29500</v>
      </c>
    </row>
    <row r="5" spans="1:23" ht="17.25" customHeight="1">
      <c r="A5" s="74">
        <f>IF(B5&lt;&gt;"",ROW()-2,"")</f>
        <v>3</v>
      </c>
      <c r="B5" s="77">
        <v>45950</v>
      </c>
      <c r="C5" s="77">
        <v>45950</v>
      </c>
      <c r="D5" s="74" t="s">
        <v>452</v>
      </c>
      <c r="E5" s="74" t="s">
        <v>453</v>
      </c>
      <c r="F5" s="76" t="s">
        <v>457</v>
      </c>
      <c r="G5" s="74" t="s">
        <v>454</v>
      </c>
      <c r="H5" s="74" t="s">
        <v>456</v>
      </c>
      <c r="I5" s="74" t="s">
        <v>455</v>
      </c>
      <c r="J5" s="76" t="s">
        <v>458</v>
      </c>
      <c r="K5" s="74" t="s">
        <v>459</v>
      </c>
      <c r="L5" s="74" t="s">
        <v>465</v>
      </c>
      <c r="N5" s="74" t="s">
        <v>464</v>
      </c>
      <c r="O5" s="74" t="s">
        <v>418</v>
      </c>
      <c r="P5" s="85">
        <v>35</v>
      </c>
      <c r="Q5" s="78">
        <v>365</v>
      </c>
      <c r="R5" s="84" t="s">
        <v>462</v>
      </c>
      <c r="S5" s="75">
        <v>23300</v>
      </c>
    </row>
    <row r="6" spans="1:23" ht="17.25" customHeight="1">
      <c r="A6" s="74">
        <f t="shared" si="0"/>
        <v>4</v>
      </c>
      <c r="B6" s="77">
        <v>45950</v>
      </c>
      <c r="C6" s="77">
        <v>45951</v>
      </c>
      <c r="D6" s="74" t="s">
        <v>468</v>
      </c>
      <c r="E6" s="74" t="s">
        <v>469</v>
      </c>
      <c r="F6" s="76" t="s">
        <v>470</v>
      </c>
      <c r="G6" s="74" t="s">
        <v>471</v>
      </c>
      <c r="H6" s="74" t="s">
        <v>472</v>
      </c>
      <c r="I6" s="74" t="s">
        <v>473</v>
      </c>
      <c r="J6" s="76" t="s">
        <v>470</v>
      </c>
      <c r="K6" s="74" t="s">
        <v>459</v>
      </c>
      <c r="L6" s="74" t="s">
        <v>474</v>
      </c>
      <c r="N6" s="74" t="s">
        <v>475</v>
      </c>
      <c r="O6" s="74" t="s">
        <v>476</v>
      </c>
      <c r="P6" s="85">
        <v>35</v>
      </c>
      <c r="Q6" s="78">
        <v>365</v>
      </c>
      <c r="R6" s="84">
        <v>300000</v>
      </c>
      <c r="S6" s="75">
        <v>25000</v>
      </c>
    </row>
    <row r="7" spans="1:23" ht="17.25" customHeight="1">
      <c r="A7" s="74">
        <f>IF(B7&lt;&gt;"",ROW()-2,"")</f>
        <v>5</v>
      </c>
      <c r="B7" s="77">
        <v>45951</v>
      </c>
      <c r="C7" s="77">
        <v>45952</v>
      </c>
      <c r="D7" s="74" t="s">
        <v>452</v>
      </c>
      <c r="E7" s="74" t="s">
        <v>453</v>
      </c>
      <c r="F7" s="76" t="s">
        <v>457</v>
      </c>
      <c r="G7" s="74" t="s">
        <v>454</v>
      </c>
      <c r="H7" s="74" t="s">
        <v>456</v>
      </c>
      <c r="I7" s="74" t="s">
        <v>455</v>
      </c>
      <c r="J7" s="76" t="s">
        <v>458</v>
      </c>
      <c r="K7" s="74" t="s">
        <v>459</v>
      </c>
      <c r="L7" s="74" t="s">
        <v>466</v>
      </c>
      <c r="N7" s="74" t="s">
        <v>461</v>
      </c>
      <c r="O7" s="74" t="s">
        <v>418</v>
      </c>
      <c r="P7" s="85">
        <v>35</v>
      </c>
      <c r="Q7" s="78">
        <v>365</v>
      </c>
      <c r="R7" s="84" t="s">
        <v>462</v>
      </c>
      <c r="S7" s="75">
        <v>23300</v>
      </c>
    </row>
    <row r="8" spans="1:23" ht="17.25" customHeight="1">
      <c r="A8" s="74">
        <f>IF(B8&lt;&gt;"",ROW()-2,"")</f>
        <v>6</v>
      </c>
      <c r="B8" s="77">
        <v>45951</v>
      </c>
      <c r="C8" s="77">
        <v>45952</v>
      </c>
      <c r="D8" s="74" t="s">
        <v>452</v>
      </c>
      <c r="E8" s="74" t="s">
        <v>453</v>
      </c>
      <c r="F8" s="76" t="s">
        <v>457</v>
      </c>
      <c r="G8" s="74" t="s">
        <v>454</v>
      </c>
      <c r="H8" s="74" t="s">
        <v>456</v>
      </c>
      <c r="I8" s="74" t="s">
        <v>455</v>
      </c>
      <c r="J8" s="76" t="s">
        <v>458</v>
      </c>
      <c r="K8" s="74" t="s">
        <v>459</v>
      </c>
      <c r="L8" s="74" t="s">
        <v>467</v>
      </c>
      <c r="N8" s="74" t="s">
        <v>475</v>
      </c>
      <c r="O8" s="74" t="s">
        <v>418</v>
      </c>
      <c r="P8" s="85">
        <v>35</v>
      </c>
      <c r="Q8" s="78">
        <v>365</v>
      </c>
      <c r="R8" s="84" t="s">
        <v>462</v>
      </c>
      <c r="S8" s="75">
        <v>23300</v>
      </c>
    </row>
    <row r="9" spans="1:23" ht="17.25" customHeight="1">
      <c r="A9" s="74">
        <f>IF(B9&lt;&gt;"",ROW()-2,"")</f>
        <v>7</v>
      </c>
      <c r="B9" s="77">
        <v>45953</v>
      </c>
      <c r="C9" s="77">
        <v>45954</v>
      </c>
      <c r="D9" s="74" t="s">
        <v>477</v>
      </c>
      <c r="E9" s="74" t="s">
        <v>478</v>
      </c>
      <c r="F9" s="76" t="s">
        <v>482</v>
      </c>
      <c r="G9" s="74" t="s">
        <v>479</v>
      </c>
      <c r="H9" s="74" t="s">
        <v>481</v>
      </c>
      <c r="I9" s="74" t="s">
        <v>480</v>
      </c>
      <c r="J9" s="76" t="s">
        <v>483</v>
      </c>
      <c r="K9" s="74" t="s">
        <v>459</v>
      </c>
      <c r="L9" s="74" t="s">
        <v>494</v>
      </c>
      <c r="N9" s="74" t="s">
        <v>484</v>
      </c>
      <c r="O9" s="74" t="s">
        <v>418</v>
      </c>
      <c r="P9" s="85">
        <v>35</v>
      </c>
      <c r="Q9" s="78">
        <v>365</v>
      </c>
      <c r="R9" s="84">
        <v>300000</v>
      </c>
      <c r="S9" s="75">
        <v>25000</v>
      </c>
    </row>
    <row r="10" spans="1:23" ht="17.25" customHeight="1">
      <c r="A10" s="74">
        <f t="shared" si="0"/>
        <v>8</v>
      </c>
      <c r="B10" s="77" t="s">
        <v>485</v>
      </c>
      <c r="C10" s="77">
        <v>45953</v>
      </c>
      <c r="D10" s="74" t="s">
        <v>493</v>
      </c>
      <c r="E10" s="74" t="s">
        <v>486</v>
      </c>
      <c r="F10" s="76" t="s">
        <v>487</v>
      </c>
      <c r="G10" s="74" t="s">
        <v>488</v>
      </c>
      <c r="H10" s="74" t="s">
        <v>489</v>
      </c>
      <c r="I10" s="74" t="s">
        <v>490</v>
      </c>
      <c r="J10" s="76" t="s">
        <v>487</v>
      </c>
      <c r="K10" s="74" t="s">
        <v>459</v>
      </c>
      <c r="L10" s="74" t="s">
        <v>491</v>
      </c>
      <c r="N10" s="74" t="s">
        <v>492</v>
      </c>
      <c r="O10" s="74" t="s">
        <v>418</v>
      </c>
      <c r="P10" s="85">
        <v>35</v>
      </c>
      <c r="Q10" s="78">
        <v>365</v>
      </c>
      <c r="R10" s="84">
        <v>300000</v>
      </c>
      <c r="S10" s="75">
        <v>25000</v>
      </c>
    </row>
    <row r="11" spans="1:23" ht="17.25" customHeight="1">
      <c r="A11" s="74">
        <f t="shared" si="0"/>
        <v>9</v>
      </c>
      <c r="B11" s="77" t="s">
        <v>485</v>
      </c>
      <c r="C11" s="77">
        <v>45954</v>
      </c>
      <c r="D11" s="74" t="s">
        <v>495</v>
      </c>
      <c r="E11" s="74" t="s">
        <v>496</v>
      </c>
      <c r="F11" s="76" t="s">
        <v>497</v>
      </c>
      <c r="G11" s="74" t="s">
        <v>498</v>
      </c>
      <c r="H11" s="74" t="s">
        <v>499</v>
      </c>
      <c r="I11" s="74" t="s">
        <v>500</v>
      </c>
      <c r="J11" s="76" t="s">
        <v>501</v>
      </c>
      <c r="K11" s="74" t="s">
        <v>502</v>
      </c>
      <c r="L11" s="74" t="s">
        <v>503</v>
      </c>
      <c r="N11" s="74" t="s">
        <v>504</v>
      </c>
      <c r="O11" s="74" t="s">
        <v>418</v>
      </c>
      <c r="P11" s="85">
        <v>35</v>
      </c>
      <c r="Q11" s="78">
        <v>365</v>
      </c>
      <c r="R11" s="84">
        <v>300000</v>
      </c>
      <c r="S11" s="75">
        <v>18000</v>
      </c>
    </row>
    <row r="12" spans="1:23" ht="17.25" customHeight="1">
      <c r="A12" s="74">
        <v>10</v>
      </c>
      <c r="B12" s="77">
        <v>45957</v>
      </c>
      <c r="C12" s="77">
        <v>45958</v>
      </c>
      <c r="D12" s="74" t="s">
        <v>451</v>
      </c>
      <c r="E12" s="74" t="s">
        <v>436</v>
      </c>
      <c r="F12" s="76" t="s">
        <v>437</v>
      </c>
      <c r="G12" s="74" t="s">
        <v>438</v>
      </c>
      <c r="H12" s="74" t="s">
        <v>439</v>
      </c>
      <c r="I12" s="74" t="s">
        <v>440</v>
      </c>
      <c r="J12" s="76" t="s">
        <v>441</v>
      </c>
      <c r="K12" s="74" t="s">
        <v>416</v>
      </c>
      <c r="L12" s="74" t="s">
        <v>506</v>
      </c>
      <c r="N12" s="74" t="s">
        <v>464</v>
      </c>
      <c r="O12" s="74" t="s">
        <v>418</v>
      </c>
      <c r="P12" s="85">
        <v>35</v>
      </c>
      <c r="Q12" s="78">
        <v>365</v>
      </c>
      <c r="R12" s="84">
        <f>IFERROR(VLOOKUP(K12,차량별사용료!$B$4:$J$16,2),"")</f>
        <v>500000</v>
      </c>
      <c r="S12" s="75">
        <v>37500</v>
      </c>
    </row>
    <row r="13" spans="1:23" ht="17.25" customHeight="1">
      <c r="A13" s="74">
        <f>IF(B13&lt;&gt;"",ROW()-2,"")</f>
        <v>11</v>
      </c>
      <c r="B13" s="77">
        <v>45959</v>
      </c>
      <c r="C13" s="77">
        <v>45960</v>
      </c>
      <c r="D13" s="74" t="s">
        <v>508</v>
      </c>
      <c r="E13" s="74" t="s">
        <v>453</v>
      </c>
      <c r="F13" s="76" t="s">
        <v>457</v>
      </c>
      <c r="G13" s="74" t="s">
        <v>509</v>
      </c>
      <c r="H13" s="74" t="s">
        <v>456</v>
      </c>
      <c r="I13" s="74" t="s">
        <v>455</v>
      </c>
      <c r="J13" s="76" t="s">
        <v>510</v>
      </c>
      <c r="K13" s="74" t="s">
        <v>511</v>
      </c>
      <c r="L13" s="74" t="s">
        <v>507</v>
      </c>
      <c r="N13" s="74" t="s">
        <v>464</v>
      </c>
      <c r="O13" s="74" t="s">
        <v>418</v>
      </c>
      <c r="P13" s="85">
        <v>30</v>
      </c>
      <c r="Q13" s="78">
        <v>365</v>
      </c>
      <c r="R13" s="84" t="s">
        <v>462</v>
      </c>
      <c r="S13" s="75">
        <v>25100</v>
      </c>
      <c r="T13" s="78" t="s">
        <v>512</v>
      </c>
    </row>
    <row r="14" spans="1:23" ht="17.25" customHeight="1">
      <c r="A14" s="74">
        <f t="shared" si="0"/>
        <v>12</v>
      </c>
      <c r="B14" s="77">
        <v>45964</v>
      </c>
      <c r="C14" s="77">
        <v>45966</v>
      </c>
      <c r="D14" s="74" t="s">
        <v>513</v>
      </c>
      <c r="E14" s="74" t="s">
        <v>514</v>
      </c>
      <c r="F14" s="76" t="s">
        <v>515</v>
      </c>
      <c r="G14" s="74" t="s">
        <v>516</v>
      </c>
      <c r="H14" s="74" t="s">
        <v>517</v>
      </c>
      <c r="I14" s="74" t="s">
        <v>518</v>
      </c>
      <c r="J14" s="76" t="s">
        <v>519</v>
      </c>
      <c r="K14" s="74" t="s">
        <v>520</v>
      </c>
      <c r="L14" s="74" t="s">
        <v>521</v>
      </c>
      <c r="N14" s="74" t="s">
        <v>464</v>
      </c>
      <c r="O14" s="74" t="s">
        <v>418</v>
      </c>
      <c r="P14" s="85">
        <v>21</v>
      </c>
      <c r="Q14" s="78">
        <v>365</v>
      </c>
      <c r="R14" s="84">
        <f>IFERROR(VLOOKUP(K14,차량별사용료!$B$4:$J$16,2),"")</f>
        <v>500000</v>
      </c>
      <c r="S14" s="75">
        <v>45000</v>
      </c>
      <c r="T14" s="78" t="s">
        <v>512</v>
      </c>
    </row>
    <row r="15" spans="1:23" ht="17.25" customHeight="1">
      <c r="A15" s="74">
        <f t="shared" ref="A15:A16" si="1">IF(B15&lt;&gt;"",ROW()-2,"")</f>
        <v>13</v>
      </c>
      <c r="B15" s="77">
        <v>45965</v>
      </c>
      <c r="C15" s="77">
        <v>45967</v>
      </c>
      <c r="D15" s="74" t="s">
        <v>513</v>
      </c>
      <c r="E15" s="74" t="s">
        <v>514</v>
      </c>
      <c r="F15" s="76" t="s">
        <v>515</v>
      </c>
      <c r="G15" s="74" t="s">
        <v>516</v>
      </c>
      <c r="H15" s="74" t="s">
        <v>517</v>
      </c>
      <c r="I15" s="74" t="s">
        <v>518</v>
      </c>
      <c r="J15" s="76" t="s">
        <v>519</v>
      </c>
      <c r="K15" s="74" t="s">
        <v>416</v>
      </c>
      <c r="L15" s="74" t="s">
        <v>527</v>
      </c>
      <c r="N15" s="74" t="s">
        <v>464</v>
      </c>
      <c r="O15" s="74" t="s">
        <v>418</v>
      </c>
      <c r="P15" s="85">
        <v>35</v>
      </c>
      <c r="Q15" s="78">
        <v>365</v>
      </c>
      <c r="R15" s="84">
        <f>IFERROR(VLOOKUP(K15,차량별사용료!$B$4:$J$16,2),"")</f>
        <v>500000</v>
      </c>
      <c r="S15" s="75">
        <v>39000</v>
      </c>
      <c r="T15" s="78" t="s">
        <v>512</v>
      </c>
    </row>
    <row r="16" spans="1:23" ht="17.25" customHeight="1">
      <c r="A16" s="74">
        <f t="shared" si="1"/>
        <v>14</v>
      </c>
      <c r="B16" s="77">
        <v>45965</v>
      </c>
      <c r="C16" s="77">
        <v>45967</v>
      </c>
      <c r="D16" s="74" t="s">
        <v>522</v>
      </c>
      <c r="E16" s="74" t="s">
        <v>523</v>
      </c>
      <c r="F16" s="76" t="s">
        <v>524</v>
      </c>
      <c r="G16" s="74" t="s">
        <v>531</v>
      </c>
      <c r="H16" s="74" t="s">
        <v>525</v>
      </c>
      <c r="I16" s="74" t="s">
        <v>526</v>
      </c>
      <c r="J16" s="76" t="s">
        <v>532</v>
      </c>
      <c r="K16" s="74" t="s">
        <v>416</v>
      </c>
      <c r="L16" s="74" t="s">
        <v>528</v>
      </c>
      <c r="N16" s="74" t="s">
        <v>464</v>
      </c>
      <c r="O16" s="74" t="s">
        <v>418</v>
      </c>
      <c r="P16" s="85">
        <v>30</v>
      </c>
      <c r="Q16" s="78">
        <v>365</v>
      </c>
      <c r="R16" s="84">
        <f>IFERROR(VLOOKUP(K16,차량별사용료!$B$4:$J$16,2),"")</f>
        <v>500000</v>
      </c>
      <c r="S16" s="75">
        <v>41000</v>
      </c>
      <c r="T16" s="78" t="s">
        <v>512</v>
      </c>
    </row>
    <row r="17" spans="1:20" ht="17.25" customHeight="1">
      <c r="A17" s="74">
        <f t="shared" si="0"/>
        <v>15</v>
      </c>
      <c r="B17" s="77">
        <v>45966</v>
      </c>
      <c r="C17" s="77">
        <v>45967</v>
      </c>
      <c r="D17" s="74" t="s">
        <v>495</v>
      </c>
      <c r="E17" s="74" t="s">
        <v>496</v>
      </c>
      <c r="F17" s="76" t="s">
        <v>497</v>
      </c>
      <c r="G17" s="74" t="s">
        <v>498</v>
      </c>
      <c r="H17" s="74" t="s">
        <v>499</v>
      </c>
      <c r="I17" s="74" t="s">
        <v>500</v>
      </c>
      <c r="J17" s="76" t="s">
        <v>501</v>
      </c>
      <c r="K17" s="74" t="s">
        <v>459</v>
      </c>
      <c r="L17" s="74" t="s">
        <v>530</v>
      </c>
      <c r="N17" s="74" t="s">
        <v>464</v>
      </c>
      <c r="O17" s="74" t="s">
        <v>418</v>
      </c>
      <c r="P17" s="85">
        <v>35</v>
      </c>
      <c r="Q17" s="78">
        <v>365</v>
      </c>
      <c r="R17" s="84">
        <v>300000</v>
      </c>
      <c r="S17" s="75">
        <v>25000</v>
      </c>
      <c r="T17" s="78" t="s">
        <v>512</v>
      </c>
    </row>
    <row r="18" spans="1:20" ht="17.25" customHeight="1">
      <c r="A18" s="74">
        <f t="shared" si="0"/>
        <v>16</v>
      </c>
      <c r="B18" s="77">
        <v>45973</v>
      </c>
      <c r="C18" s="77">
        <v>45974</v>
      </c>
      <c r="D18" s="74" t="s">
        <v>533</v>
      </c>
      <c r="E18" s="74" t="s">
        <v>534</v>
      </c>
      <c r="F18" s="76" t="s">
        <v>536</v>
      </c>
      <c r="G18" s="74" t="s">
        <v>537</v>
      </c>
      <c r="H18" s="74" t="s">
        <v>538</v>
      </c>
      <c r="I18" s="74" t="s">
        <v>539</v>
      </c>
      <c r="J18" s="76" t="s">
        <v>535</v>
      </c>
      <c r="K18" s="74" t="s">
        <v>502</v>
      </c>
      <c r="L18" s="74" t="s">
        <v>540</v>
      </c>
      <c r="N18" s="74" t="s">
        <v>541</v>
      </c>
      <c r="O18" s="74" t="s">
        <v>418</v>
      </c>
      <c r="P18" s="85">
        <v>26</v>
      </c>
      <c r="Q18" s="78">
        <v>365</v>
      </c>
      <c r="R18" s="84">
        <v>300000</v>
      </c>
      <c r="S18" s="75">
        <v>22000</v>
      </c>
      <c r="T18" s="78" t="s">
        <v>512</v>
      </c>
    </row>
    <row r="19" spans="1:20" ht="17.25" customHeight="1">
      <c r="A19" s="74">
        <v>17</v>
      </c>
      <c r="B19" s="77">
        <v>45992</v>
      </c>
      <c r="C19" s="77">
        <v>45993</v>
      </c>
      <c r="D19" s="74" t="s">
        <v>451</v>
      </c>
      <c r="E19" s="74" t="s">
        <v>436</v>
      </c>
      <c r="F19" s="76" t="s">
        <v>437</v>
      </c>
      <c r="G19" s="74" t="s">
        <v>438</v>
      </c>
      <c r="H19" s="74" t="s">
        <v>439</v>
      </c>
      <c r="I19" s="74" t="s">
        <v>440</v>
      </c>
      <c r="J19" s="76" t="s">
        <v>441</v>
      </c>
      <c r="K19" s="74" t="s">
        <v>543</v>
      </c>
      <c r="L19" s="74" t="s">
        <v>542</v>
      </c>
      <c r="N19" s="74" t="s">
        <v>464</v>
      </c>
      <c r="O19" s="74" t="s">
        <v>418</v>
      </c>
      <c r="P19" s="85">
        <v>35</v>
      </c>
      <c r="Q19" s="78">
        <v>365</v>
      </c>
      <c r="R19" s="84">
        <f>IFERROR(VLOOKUP(K19,차량별사용료!$B$4:$J$16,2),"")</f>
        <v>300000</v>
      </c>
      <c r="S19" s="75">
        <v>23500</v>
      </c>
      <c r="T19" s="78" t="s">
        <v>512</v>
      </c>
    </row>
    <row r="20" spans="1:20" ht="17.25" customHeight="1">
      <c r="A20" s="74">
        <v>18</v>
      </c>
      <c r="B20" s="77">
        <v>46000</v>
      </c>
      <c r="C20" s="77">
        <v>46001</v>
      </c>
      <c r="D20" s="74" t="s">
        <v>544</v>
      </c>
      <c r="E20" s="74" t="s">
        <v>545</v>
      </c>
      <c r="F20" s="76" t="s">
        <v>546</v>
      </c>
      <c r="G20" s="74" t="s">
        <v>547</v>
      </c>
      <c r="H20" s="74" t="s">
        <v>548</v>
      </c>
      <c r="I20" s="74" t="s">
        <v>549</v>
      </c>
      <c r="J20" s="76" t="s">
        <v>550</v>
      </c>
      <c r="K20" s="74" t="s">
        <v>416</v>
      </c>
      <c r="L20" s="74" t="s">
        <v>551</v>
      </c>
      <c r="N20" s="74" t="s">
        <v>484</v>
      </c>
      <c r="O20" s="74" t="s">
        <v>418</v>
      </c>
      <c r="P20" s="85">
        <v>35</v>
      </c>
      <c r="Q20" s="78">
        <v>365</v>
      </c>
      <c r="R20" s="84">
        <f>IFERROR(VLOOKUP(K20,차량별사용료!$B$4:$J$16,2),"")</f>
        <v>500000</v>
      </c>
      <c r="S20" s="75">
        <v>38000</v>
      </c>
      <c r="T20" s="78" t="s">
        <v>512</v>
      </c>
    </row>
    <row r="21" spans="1:20" ht="17.25" customHeight="1">
      <c r="R21" s="84" t="str">
        <f>IFERROR(VLOOKUP(K21,차량별사용료!$B$4:$J$16,2),"")</f>
        <v/>
      </c>
    </row>
    <row r="22" spans="1:20" ht="17.25" customHeight="1">
      <c r="A22" s="74" t="str">
        <f t="shared" si="0"/>
        <v/>
      </c>
      <c r="R22" s="84" t="str">
        <f>IFERROR(VLOOKUP(K22,차량별사용료!$B$4:$J$16,2),"")</f>
        <v/>
      </c>
    </row>
    <row r="23" spans="1:20" ht="17.25" customHeight="1">
      <c r="A23" s="74" t="str">
        <f t="shared" si="0"/>
        <v/>
      </c>
      <c r="R23" s="84" t="str">
        <f>IFERROR(VLOOKUP(K23,차량별사용료!$B$4:$J$16,2),"")</f>
        <v/>
      </c>
    </row>
    <row r="24" spans="1:20" ht="17.25" customHeight="1">
      <c r="A24" s="74" t="str">
        <f t="shared" si="0"/>
        <v/>
      </c>
      <c r="R24" s="84" t="str">
        <f>IFERROR(VLOOKUP(K24,차량별사용료!$B$4:$J$16,2),"")</f>
        <v/>
      </c>
    </row>
    <row r="25" spans="1:20" ht="17.25" customHeight="1">
      <c r="A25" s="74" t="str">
        <f t="shared" si="0"/>
        <v/>
      </c>
      <c r="R25" s="84" t="str">
        <f>IFERROR(VLOOKUP(K25,차량별사용료!$B$4:$J$16,2),"")</f>
        <v/>
      </c>
    </row>
    <row r="26" spans="1:20" ht="17.25" customHeight="1">
      <c r="A26" s="74" t="str">
        <f t="shared" si="0"/>
        <v/>
      </c>
      <c r="R26" s="84" t="str">
        <f>IFERROR(VLOOKUP(K26,차량별사용료!$B$4:$J$16,2),"")</f>
        <v/>
      </c>
    </row>
    <row r="27" spans="1:20" ht="17.25" customHeight="1">
      <c r="A27" s="74" t="str">
        <f t="shared" si="0"/>
        <v/>
      </c>
      <c r="R27" s="84" t="str">
        <f>IFERROR(VLOOKUP(K27,차량별사용료!$B$4:$J$16,2),"")</f>
        <v/>
      </c>
    </row>
    <row r="28" spans="1:20" ht="17.25" customHeight="1">
      <c r="A28" s="74" t="str">
        <f t="shared" si="0"/>
        <v/>
      </c>
      <c r="R28" s="84" t="str">
        <f>IFERROR(VLOOKUP(K28,차량별사용료!$B$4:$J$16,2),"")</f>
        <v/>
      </c>
    </row>
    <row r="29" spans="1:20" ht="17.25" customHeight="1">
      <c r="A29" s="74" t="str">
        <f t="shared" si="0"/>
        <v/>
      </c>
      <c r="R29" s="84" t="str">
        <f>IFERROR(VLOOKUP(K29,차량별사용료!$B$4:$J$16,2),"")</f>
        <v/>
      </c>
    </row>
    <row r="30" spans="1:20" ht="17.25" customHeight="1">
      <c r="A30" s="74" t="str">
        <f t="shared" si="0"/>
        <v/>
      </c>
      <c r="R30" s="84" t="str">
        <f>IFERROR(VLOOKUP(K30,차량별사용료!$B$4:$J$16,2),"")</f>
        <v/>
      </c>
    </row>
    <row r="31" spans="1:20" ht="17.25" customHeight="1">
      <c r="A31" s="74" t="str">
        <f t="shared" si="0"/>
        <v/>
      </c>
      <c r="R31" s="84" t="str">
        <f>IFERROR(VLOOKUP(K31,차량별사용료!$B$4:$J$16,2),"")</f>
        <v/>
      </c>
    </row>
    <row r="32" spans="1:20" ht="17.25" customHeight="1">
      <c r="A32" s="74" t="str">
        <f t="shared" si="0"/>
        <v/>
      </c>
      <c r="R32" s="84" t="str">
        <f>IFERROR(VLOOKUP(K32,차량별사용료!$B$4:$J$16,2),"")</f>
        <v/>
      </c>
    </row>
    <row r="33" spans="1:18" ht="17.25" customHeight="1">
      <c r="A33" s="74" t="str">
        <f t="shared" si="0"/>
        <v/>
      </c>
      <c r="R33" s="84" t="str">
        <f>IFERROR(VLOOKUP(K33,차량별사용료!$B$4:$J$16,2),"")</f>
        <v/>
      </c>
    </row>
    <row r="34" spans="1:18" ht="17.25" customHeight="1">
      <c r="A34" s="74" t="str">
        <f t="shared" si="0"/>
        <v/>
      </c>
      <c r="R34" s="84" t="str">
        <f>IFERROR(VLOOKUP(K34,차량별사용료!$B$4:$J$16,2),"")</f>
        <v/>
      </c>
    </row>
    <row r="35" spans="1:18" ht="17.25" customHeight="1">
      <c r="A35" s="74" t="str">
        <f t="shared" si="0"/>
        <v/>
      </c>
      <c r="R35" s="84" t="str">
        <f>IFERROR(VLOOKUP(K35,차량별사용료!$B$4:$J$16,2),"")</f>
        <v/>
      </c>
    </row>
    <row r="36" spans="1:18" ht="17.25" customHeight="1">
      <c r="A36" s="74" t="str">
        <f t="shared" si="0"/>
        <v/>
      </c>
      <c r="R36" s="84" t="str">
        <f>IFERROR(VLOOKUP(K36,차량별사용료!$B$4:$J$16,2),"")</f>
        <v/>
      </c>
    </row>
    <row r="37" spans="1:18" ht="17.25" customHeight="1">
      <c r="A37" s="74" t="str">
        <f t="shared" si="0"/>
        <v/>
      </c>
      <c r="R37" s="84" t="str">
        <f>IFERROR(VLOOKUP(K37,차량별사용료!$B$4:$J$16,2),"")</f>
        <v/>
      </c>
    </row>
    <row r="38" spans="1:18" ht="17.25" customHeight="1">
      <c r="A38" s="74" t="str">
        <f t="shared" si="0"/>
        <v/>
      </c>
      <c r="R38" s="84" t="str">
        <f>IFERROR(VLOOKUP(K38,차량별사용료!$B$4:$J$16,2),"")</f>
        <v/>
      </c>
    </row>
    <row r="39" spans="1:18" ht="17.25" customHeight="1">
      <c r="A39" s="74" t="str">
        <f t="shared" si="0"/>
        <v/>
      </c>
      <c r="R39" s="84" t="str">
        <f>IFERROR(VLOOKUP(K39,차량별사용료!$B$4:$J$16,2),"")</f>
        <v/>
      </c>
    </row>
    <row r="40" spans="1:18" ht="17.25" customHeight="1">
      <c r="A40" s="74" t="str">
        <f t="shared" si="0"/>
        <v/>
      </c>
      <c r="R40" s="84" t="str">
        <f>IFERROR(VLOOKUP(K40,차량별사용료!$B$4:$J$16,2),"")</f>
        <v/>
      </c>
    </row>
    <row r="41" spans="1:18" ht="17.25" customHeight="1">
      <c r="A41" s="74" t="str">
        <f t="shared" si="0"/>
        <v/>
      </c>
      <c r="R41" s="84" t="str">
        <f>IFERROR(VLOOKUP(K41,차량별사용료!$B$4:$J$16,2),"")</f>
        <v/>
      </c>
    </row>
    <row r="42" spans="1:18" ht="17.25" customHeight="1">
      <c r="A42" s="74" t="str">
        <f t="shared" si="0"/>
        <v/>
      </c>
      <c r="R42" s="84" t="str">
        <f>IFERROR(VLOOKUP(K42,차량별사용료!$B$4:$J$16,2),"")</f>
        <v/>
      </c>
    </row>
    <row r="43" spans="1:18" ht="17.25" customHeight="1">
      <c r="A43" s="74" t="str">
        <f t="shared" si="0"/>
        <v/>
      </c>
      <c r="R43" s="84" t="str">
        <f>IFERROR(VLOOKUP(K43,차량별사용료!$B$4:$J$16,2),"")</f>
        <v/>
      </c>
    </row>
    <row r="44" spans="1:18" ht="17.25" customHeight="1">
      <c r="A44" s="74" t="str">
        <f t="shared" si="0"/>
        <v/>
      </c>
      <c r="R44" s="84" t="str">
        <f>IFERROR(VLOOKUP(K44,차량별사용료!$B$4:$J$16,2),"")</f>
        <v/>
      </c>
    </row>
    <row r="45" spans="1:18" ht="17.25" customHeight="1">
      <c r="A45" s="74" t="str">
        <f t="shared" si="0"/>
        <v/>
      </c>
      <c r="R45" s="84" t="str">
        <f>IFERROR(VLOOKUP(K45,차량별사용료!$B$4:$J$16,2),"")</f>
        <v/>
      </c>
    </row>
    <row r="46" spans="1:18" ht="17.25" customHeight="1">
      <c r="A46" s="74" t="str">
        <f t="shared" si="0"/>
        <v/>
      </c>
      <c r="R46" s="84" t="str">
        <f>IFERROR(VLOOKUP(K46,차량별사용료!$B$4:$J$16,2),"")</f>
        <v/>
      </c>
    </row>
    <row r="47" spans="1:18" ht="17.25" customHeight="1">
      <c r="A47" s="74" t="str">
        <f t="shared" si="0"/>
        <v/>
      </c>
      <c r="R47" s="84" t="str">
        <f>IFERROR(VLOOKUP(K47,차량별사용료!$B$4:$J$16,2),"")</f>
        <v/>
      </c>
    </row>
    <row r="48" spans="1:18" ht="17.25" customHeight="1">
      <c r="A48" s="74" t="str">
        <f t="shared" si="0"/>
        <v/>
      </c>
      <c r="R48" s="84" t="str">
        <f>IFERROR(VLOOKUP(K48,차량별사용료!$B$4:$J$16,2),"")</f>
        <v/>
      </c>
    </row>
    <row r="49" spans="1:18" ht="17.25" customHeight="1">
      <c r="A49" s="74" t="str">
        <f t="shared" si="0"/>
        <v/>
      </c>
      <c r="R49" s="84" t="str">
        <f>IFERROR(VLOOKUP(K49,차량별사용료!$B$4:$J$16,2),"")</f>
        <v/>
      </c>
    </row>
    <row r="50" spans="1:18" ht="17.25" customHeight="1">
      <c r="A50" s="74" t="str">
        <f t="shared" si="0"/>
        <v/>
      </c>
      <c r="R50" s="84" t="str">
        <f>IFERROR(VLOOKUP(K50,차량별사용료!$B$4:$J$16,2),"")</f>
        <v/>
      </c>
    </row>
    <row r="51" spans="1:18" ht="17.25" customHeight="1">
      <c r="A51" s="74" t="str">
        <f t="shared" si="0"/>
        <v/>
      </c>
      <c r="R51" s="84" t="str">
        <f>IFERROR(VLOOKUP(K51,차량별사용료!$B$4:$J$16,2),"")</f>
        <v/>
      </c>
    </row>
    <row r="52" spans="1:18" ht="17.25" customHeight="1">
      <c r="A52" s="74" t="str">
        <f t="shared" si="0"/>
        <v/>
      </c>
      <c r="R52" s="84" t="str">
        <f>IFERROR(VLOOKUP(K52,차량별사용료!$B$4:$J$16,2),"")</f>
        <v/>
      </c>
    </row>
    <row r="53" spans="1:18" ht="17.25" customHeight="1">
      <c r="A53" s="74" t="str">
        <f t="shared" si="0"/>
        <v/>
      </c>
      <c r="R53" s="84" t="str">
        <f>IFERROR(VLOOKUP(K53,차량별사용료!$B$4:$J$16,2),"")</f>
        <v/>
      </c>
    </row>
    <row r="54" spans="1:18" ht="17.25" customHeight="1">
      <c r="A54" s="74" t="str">
        <f t="shared" si="0"/>
        <v/>
      </c>
      <c r="R54" s="84" t="str">
        <f>IFERROR(VLOOKUP(K54,차량별사용료!$B$4:$J$16,2),"")</f>
        <v/>
      </c>
    </row>
    <row r="55" spans="1:18" ht="17.25" customHeight="1">
      <c r="A55" s="74" t="str">
        <f t="shared" si="0"/>
        <v/>
      </c>
      <c r="R55" s="84" t="str">
        <f>IFERROR(VLOOKUP(K55,차량별사용료!$B$4:$J$16,2),"")</f>
        <v/>
      </c>
    </row>
    <row r="56" spans="1:18" ht="17.25" customHeight="1">
      <c r="A56" s="74" t="str">
        <f t="shared" si="0"/>
        <v/>
      </c>
      <c r="R56" s="84" t="str">
        <f>IFERROR(VLOOKUP(K56,차량별사용료!$B$4:$J$16,2),"")</f>
        <v/>
      </c>
    </row>
    <row r="57" spans="1:18" ht="17.25" customHeight="1">
      <c r="A57" s="74" t="str">
        <f t="shared" si="0"/>
        <v/>
      </c>
      <c r="R57" s="84" t="str">
        <f>IFERROR(VLOOKUP(K57,차량별사용료!$B$4:$J$16,2),"")</f>
        <v/>
      </c>
    </row>
    <row r="58" spans="1:18" ht="17.25" customHeight="1">
      <c r="A58" s="74" t="str">
        <f t="shared" si="0"/>
        <v/>
      </c>
      <c r="R58" s="84" t="str">
        <f>IFERROR(VLOOKUP(K58,차량별사용료!$B$4:$J$16,2),"")</f>
        <v/>
      </c>
    </row>
    <row r="59" spans="1:18" ht="17.25" customHeight="1">
      <c r="A59" s="74" t="str">
        <f t="shared" si="0"/>
        <v/>
      </c>
      <c r="R59" s="84" t="str">
        <f>IFERROR(VLOOKUP(K59,차량별사용료!$B$4:$J$16,2),"")</f>
        <v/>
      </c>
    </row>
    <row r="60" spans="1:18" ht="17.25" customHeight="1">
      <c r="A60" s="74" t="str">
        <f t="shared" si="0"/>
        <v/>
      </c>
      <c r="R60" s="84" t="str">
        <f>IFERROR(VLOOKUP(K60,차량별사용료!$B$4:$J$16,2),"")</f>
        <v/>
      </c>
    </row>
    <row r="61" spans="1:18" ht="17.25" customHeight="1">
      <c r="A61" s="74" t="str">
        <f t="shared" si="0"/>
        <v/>
      </c>
      <c r="R61" s="84" t="str">
        <f>IFERROR(VLOOKUP(K61,차량별사용료!$B$4:$J$16,2),"")</f>
        <v/>
      </c>
    </row>
    <row r="62" spans="1:18" ht="17.25" customHeight="1">
      <c r="A62" s="74" t="str">
        <f t="shared" si="0"/>
        <v/>
      </c>
      <c r="R62" s="84" t="str">
        <f>IFERROR(VLOOKUP(K62,차량별사용료!$B$4:$J$16,2),"")</f>
        <v/>
      </c>
    </row>
    <row r="63" spans="1:18" ht="17.25" customHeight="1">
      <c r="A63" s="74" t="str">
        <f t="shared" si="0"/>
        <v/>
      </c>
      <c r="R63" s="84" t="str">
        <f>IFERROR(VLOOKUP(K63,차량별사용료!$B$4:$J$16,2),"")</f>
        <v/>
      </c>
    </row>
    <row r="64" spans="1:18" ht="17.25" customHeight="1">
      <c r="A64" s="74" t="str">
        <f t="shared" si="0"/>
        <v/>
      </c>
      <c r="R64" s="84" t="str">
        <f>IFERROR(VLOOKUP(K64,차량별사용료!$B$4:$J$16,2),"")</f>
        <v/>
      </c>
    </row>
    <row r="65" spans="1:18" ht="17.25" customHeight="1">
      <c r="A65" s="74" t="str">
        <f t="shared" si="0"/>
        <v/>
      </c>
      <c r="R65" s="84" t="str">
        <f>IFERROR(VLOOKUP(K65,차량별사용료!$B$4:$J$16,2),"")</f>
        <v/>
      </c>
    </row>
    <row r="66" spans="1:18" ht="17.25" customHeight="1">
      <c r="A66" s="74" t="str">
        <f t="shared" si="0"/>
        <v/>
      </c>
      <c r="R66" s="84" t="str">
        <f>IFERROR(VLOOKUP(K66,차량별사용료!$B$4:$J$16,2),"")</f>
        <v/>
      </c>
    </row>
    <row r="67" spans="1:18" ht="17.25" customHeight="1">
      <c r="A67" s="74" t="str">
        <f t="shared" si="0"/>
        <v/>
      </c>
      <c r="R67" s="84" t="str">
        <f>IFERROR(VLOOKUP(K67,차량별사용료!$B$4:$J$16,2),"")</f>
        <v/>
      </c>
    </row>
    <row r="68" spans="1:18" ht="17.25" customHeight="1">
      <c r="A68" s="74" t="str">
        <f t="shared" ref="A68:A131" si="2">IF(B68&lt;&gt;"",ROW()-2,"")</f>
        <v/>
      </c>
      <c r="R68" s="84" t="str">
        <f>IFERROR(VLOOKUP(K68,차량별사용료!$B$4:$J$16,2),"")</f>
        <v/>
      </c>
    </row>
    <row r="69" spans="1:18" ht="17.25" customHeight="1">
      <c r="A69" s="74" t="str">
        <f t="shared" si="2"/>
        <v/>
      </c>
      <c r="R69" s="84" t="str">
        <f>IFERROR(VLOOKUP(K69,차량별사용료!$B$4:$J$16,2),"")</f>
        <v/>
      </c>
    </row>
    <row r="70" spans="1:18" ht="17.25" customHeight="1">
      <c r="A70" s="74" t="str">
        <f t="shared" si="2"/>
        <v/>
      </c>
      <c r="R70" s="84" t="str">
        <f>IFERROR(VLOOKUP(K70,차량별사용료!$B$4:$J$16,2),"")</f>
        <v/>
      </c>
    </row>
    <row r="71" spans="1:18" ht="17.25" customHeight="1">
      <c r="A71" s="74" t="str">
        <f t="shared" si="2"/>
        <v/>
      </c>
      <c r="R71" s="84" t="str">
        <f>IFERROR(VLOOKUP(K71,차량별사용료!$B$4:$J$16,2),"")</f>
        <v/>
      </c>
    </row>
    <row r="72" spans="1:18" ht="17.25" customHeight="1">
      <c r="A72" s="74" t="str">
        <f t="shared" si="2"/>
        <v/>
      </c>
      <c r="R72" s="84" t="str">
        <f>IFERROR(VLOOKUP(K72,차량별사용료!$B$4:$J$16,2),"")</f>
        <v/>
      </c>
    </row>
    <row r="73" spans="1:18" ht="17.25" customHeight="1">
      <c r="A73" s="74" t="str">
        <f t="shared" si="2"/>
        <v/>
      </c>
      <c r="R73" s="84" t="str">
        <f>IFERROR(VLOOKUP(K73,차량별사용료!$B$4:$J$16,2),"")</f>
        <v/>
      </c>
    </row>
    <row r="74" spans="1:18" ht="17.25" customHeight="1">
      <c r="A74" s="74" t="str">
        <f t="shared" si="2"/>
        <v/>
      </c>
      <c r="R74" s="84" t="str">
        <f>IFERROR(VLOOKUP(K74,차량별사용료!$B$4:$J$16,2),"")</f>
        <v/>
      </c>
    </row>
    <row r="75" spans="1:18" ht="17.25" customHeight="1">
      <c r="A75" s="74" t="str">
        <f t="shared" si="2"/>
        <v/>
      </c>
      <c r="R75" s="84" t="str">
        <f>IFERROR(VLOOKUP(K75,차량별사용료!$B$4:$J$16,2),"")</f>
        <v/>
      </c>
    </row>
    <row r="76" spans="1:18" ht="17.25" customHeight="1">
      <c r="A76" s="74" t="str">
        <f t="shared" si="2"/>
        <v/>
      </c>
      <c r="R76" s="84" t="str">
        <f>IFERROR(VLOOKUP(K76,차량별사용료!$B$4:$J$16,2),"")</f>
        <v/>
      </c>
    </row>
    <row r="77" spans="1:18" ht="17.25" customHeight="1">
      <c r="A77" s="74" t="str">
        <f t="shared" si="2"/>
        <v/>
      </c>
      <c r="R77" s="84" t="str">
        <f>IFERROR(VLOOKUP(K77,차량별사용료!$B$4:$J$16,2),"")</f>
        <v/>
      </c>
    </row>
    <row r="78" spans="1:18" ht="17.25" customHeight="1">
      <c r="A78" s="74" t="str">
        <f t="shared" si="2"/>
        <v/>
      </c>
      <c r="R78" s="84" t="str">
        <f>IFERROR(VLOOKUP(K78,차량별사용료!$B$4:$J$16,2),"")</f>
        <v/>
      </c>
    </row>
    <row r="79" spans="1:18" ht="17.25" customHeight="1">
      <c r="A79" s="74" t="str">
        <f t="shared" si="2"/>
        <v/>
      </c>
      <c r="R79" s="84" t="str">
        <f>IFERROR(VLOOKUP(K79,차량별사용료!$B$4:$J$16,2),"")</f>
        <v/>
      </c>
    </row>
    <row r="80" spans="1:18" ht="17.25" customHeight="1">
      <c r="A80" s="74" t="str">
        <f t="shared" si="2"/>
        <v/>
      </c>
      <c r="R80" s="84" t="str">
        <f>IFERROR(VLOOKUP(K80,차량별사용료!$B$4:$J$16,2),"")</f>
        <v/>
      </c>
    </row>
    <row r="81" spans="1:18" ht="17.25" customHeight="1">
      <c r="A81" s="74" t="str">
        <f t="shared" si="2"/>
        <v/>
      </c>
      <c r="R81" s="84" t="str">
        <f>IFERROR(VLOOKUP(K81,차량별사용료!$B$4:$J$16,2),"")</f>
        <v/>
      </c>
    </row>
    <row r="82" spans="1:18" ht="17.25" customHeight="1">
      <c r="A82" s="74" t="str">
        <f t="shared" si="2"/>
        <v/>
      </c>
      <c r="R82" s="84" t="str">
        <f>IFERROR(VLOOKUP(K82,차량별사용료!$B$4:$J$16,2),"")</f>
        <v/>
      </c>
    </row>
    <row r="83" spans="1:18" ht="17.25" customHeight="1">
      <c r="A83" s="74" t="str">
        <f t="shared" si="2"/>
        <v/>
      </c>
      <c r="R83" s="84" t="str">
        <f>IFERROR(VLOOKUP(K83,차량별사용료!$B$4:$J$16,2),"")</f>
        <v/>
      </c>
    </row>
    <row r="84" spans="1:18" ht="17.25" customHeight="1">
      <c r="A84" s="74" t="str">
        <f t="shared" si="2"/>
        <v/>
      </c>
      <c r="R84" s="84" t="str">
        <f>IFERROR(VLOOKUP(K84,차량별사용료!$B$4:$J$16,2),"")</f>
        <v/>
      </c>
    </row>
    <row r="85" spans="1:18" ht="17.25" customHeight="1">
      <c r="A85" s="74" t="str">
        <f t="shared" si="2"/>
        <v/>
      </c>
      <c r="R85" s="84" t="str">
        <f>IFERROR(VLOOKUP(K85,차량별사용료!$B$4:$J$16,2),"")</f>
        <v/>
      </c>
    </row>
    <row r="86" spans="1:18" ht="17.25" customHeight="1">
      <c r="A86" s="74" t="str">
        <f t="shared" si="2"/>
        <v/>
      </c>
      <c r="R86" s="84" t="str">
        <f>IFERROR(VLOOKUP(K86,차량별사용료!$B$4:$J$16,2),"")</f>
        <v/>
      </c>
    </row>
    <row r="87" spans="1:18" ht="17.25" customHeight="1">
      <c r="A87" s="74" t="str">
        <f t="shared" si="2"/>
        <v/>
      </c>
      <c r="R87" s="84" t="str">
        <f>IFERROR(VLOOKUP(K87,차량별사용료!$B$4:$J$16,2),"")</f>
        <v/>
      </c>
    </row>
    <row r="88" spans="1:18" ht="17.25" customHeight="1">
      <c r="A88" s="74" t="str">
        <f t="shared" si="2"/>
        <v/>
      </c>
      <c r="R88" s="84" t="str">
        <f>IFERROR(VLOOKUP(K88,차량별사용료!$B$4:$J$16,2),"")</f>
        <v/>
      </c>
    </row>
    <row r="89" spans="1:18" ht="17.25" customHeight="1">
      <c r="A89" s="74" t="str">
        <f t="shared" si="2"/>
        <v/>
      </c>
      <c r="R89" s="84" t="str">
        <f>IFERROR(VLOOKUP(K89,차량별사용료!$B$4:$J$16,2),"")</f>
        <v/>
      </c>
    </row>
    <row r="90" spans="1:18" ht="17.25" customHeight="1">
      <c r="A90" s="74" t="str">
        <f t="shared" si="2"/>
        <v/>
      </c>
      <c r="R90" s="84" t="str">
        <f>IFERROR(VLOOKUP(K90,차량별사용료!$B$4:$J$16,2),"")</f>
        <v/>
      </c>
    </row>
    <row r="91" spans="1:18" ht="17.25" customHeight="1">
      <c r="A91" s="74" t="str">
        <f t="shared" si="2"/>
        <v/>
      </c>
      <c r="R91" s="84" t="str">
        <f>IFERROR(VLOOKUP(K91,차량별사용료!$B$4:$J$16,2),"")</f>
        <v/>
      </c>
    </row>
    <row r="92" spans="1:18" ht="17.25" customHeight="1">
      <c r="A92" s="74" t="str">
        <f t="shared" si="2"/>
        <v/>
      </c>
      <c r="R92" s="84" t="str">
        <f>IFERROR(VLOOKUP(K92,차량별사용료!$B$4:$J$16,2),"")</f>
        <v/>
      </c>
    </row>
    <row r="93" spans="1:18" ht="17.25" customHeight="1">
      <c r="A93" s="74" t="str">
        <f t="shared" si="2"/>
        <v/>
      </c>
      <c r="R93" s="84" t="str">
        <f>IFERROR(VLOOKUP(K93,차량별사용료!$B$4:$J$16,2),"")</f>
        <v/>
      </c>
    </row>
    <row r="94" spans="1:18" ht="17.25" customHeight="1">
      <c r="A94" s="74" t="str">
        <f t="shared" si="2"/>
        <v/>
      </c>
      <c r="R94" s="84" t="str">
        <f>IFERROR(VLOOKUP(K94,차량별사용료!$B$4:$J$16,2),"")</f>
        <v/>
      </c>
    </row>
    <row r="95" spans="1:18" ht="17.25" customHeight="1">
      <c r="A95" s="74" t="str">
        <f t="shared" si="2"/>
        <v/>
      </c>
      <c r="R95" s="84" t="str">
        <f>IFERROR(VLOOKUP(K95,차량별사용료!$B$4:$J$16,2),"")</f>
        <v/>
      </c>
    </row>
    <row r="96" spans="1:18" ht="17.25" customHeight="1">
      <c r="A96" s="74" t="str">
        <f t="shared" si="2"/>
        <v/>
      </c>
      <c r="R96" s="84" t="str">
        <f>IFERROR(VLOOKUP(K96,차량별사용료!$B$4:$J$16,2),"")</f>
        <v/>
      </c>
    </row>
    <row r="97" spans="1:18" ht="17.25" customHeight="1">
      <c r="A97" s="74" t="str">
        <f t="shared" si="2"/>
        <v/>
      </c>
      <c r="R97" s="84" t="str">
        <f>IFERROR(VLOOKUP(K97,차량별사용료!$B$4:$J$16,2),"")</f>
        <v/>
      </c>
    </row>
    <row r="98" spans="1:18" ht="17.25" customHeight="1">
      <c r="A98" s="74" t="str">
        <f t="shared" si="2"/>
        <v/>
      </c>
      <c r="R98" s="84" t="str">
        <f>IFERROR(VLOOKUP(K98,차량별사용료!$B$4:$J$16,2),"")</f>
        <v/>
      </c>
    </row>
    <row r="99" spans="1:18" ht="17.25" customHeight="1">
      <c r="A99" s="74" t="str">
        <f t="shared" si="2"/>
        <v/>
      </c>
      <c r="R99" s="84" t="str">
        <f>IFERROR(VLOOKUP(K99,차량별사용료!$B$4:$J$16,2),"")</f>
        <v/>
      </c>
    </row>
    <row r="100" spans="1:18" ht="17.25" customHeight="1">
      <c r="A100" s="74" t="str">
        <f t="shared" si="2"/>
        <v/>
      </c>
      <c r="R100" s="84" t="str">
        <f>IFERROR(VLOOKUP(K100,차량별사용료!$B$4:$J$16,2),"")</f>
        <v/>
      </c>
    </row>
    <row r="101" spans="1:18" ht="17.25" customHeight="1">
      <c r="A101" s="74" t="str">
        <f t="shared" si="2"/>
        <v/>
      </c>
      <c r="R101" s="84" t="str">
        <f>IFERROR(VLOOKUP(K101,차량별사용료!$B$4:$J$16,2),"")</f>
        <v/>
      </c>
    </row>
    <row r="102" spans="1:18" ht="17.25" customHeight="1">
      <c r="A102" s="74" t="str">
        <f t="shared" si="2"/>
        <v/>
      </c>
      <c r="R102" s="84" t="str">
        <f>IFERROR(VLOOKUP(K102,차량별사용료!$B$4:$J$16,2),"")</f>
        <v/>
      </c>
    </row>
    <row r="103" spans="1:18" ht="17.25" customHeight="1">
      <c r="A103" s="74" t="str">
        <f t="shared" si="2"/>
        <v/>
      </c>
      <c r="R103" s="84" t="str">
        <f>IFERROR(VLOOKUP(K103,차량별사용료!$B$4:$J$16,2),"")</f>
        <v/>
      </c>
    </row>
    <row r="104" spans="1:18" ht="17.25" customHeight="1">
      <c r="A104" s="74" t="str">
        <f t="shared" si="2"/>
        <v/>
      </c>
      <c r="R104" s="84" t="str">
        <f>IFERROR(VLOOKUP(K104,차량별사용료!$B$4:$J$16,2),"")</f>
        <v/>
      </c>
    </row>
    <row r="105" spans="1:18" ht="17.25" customHeight="1">
      <c r="A105" s="74" t="str">
        <f t="shared" si="2"/>
        <v/>
      </c>
      <c r="R105" s="84" t="str">
        <f>IFERROR(VLOOKUP(K105,차량별사용료!$B$4:$J$16,2),"")</f>
        <v/>
      </c>
    </row>
    <row r="106" spans="1:18" ht="17.25" customHeight="1">
      <c r="A106" s="74" t="str">
        <f t="shared" si="2"/>
        <v/>
      </c>
      <c r="R106" s="84" t="str">
        <f>IFERROR(VLOOKUP(K106,차량별사용료!$B$4:$J$16,2),"")</f>
        <v/>
      </c>
    </row>
    <row r="107" spans="1:18" ht="17.25" customHeight="1">
      <c r="A107" s="74" t="str">
        <f t="shared" si="2"/>
        <v/>
      </c>
      <c r="R107" s="84" t="str">
        <f>IFERROR(VLOOKUP(K107,차량별사용료!$B$4:$J$16,2),"")</f>
        <v/>
      </c>
    </row>
    <row r="108" spans="1:18" ht="17.25" customHeight="1">
      <c r="A108" s="74" t="str">
        <f t="shared" si="2"/>
        <v/>
      </c>
      <c r="R108" s="84" t="str">
        <f>IFERROR(VLOOKUP(K108,차량별사용료!$B$4:$J$16,2),"")</f>
        <v/>
      </c>
    </row>
    <row r="109" spans="1:18" ht="17.25" customHeight="1">
      <c r="A109" s="74" t="str">
        <f t="shared" si="2"/>
        <v/>
      </c>
      <c r="R109" s="84" t="str">
        <f>IFERROR(VLOOKUP(K109,차량별사용료!$B$4:$J$16,2),"")</f>
        <v/>
      </c>
    </row>
    <row r="110" spans="1:18" ht="17.25" customHeight="1">
      <c r="A110" s="74" t="str">
        <f t="shared" si="2"/>
        <v/>
      </c>
      <c r="R110" s="84" t="str">
        <f>IFERROR(VLOOKUP(K110,차량별사용료!$B$4:$J$16,2),"")</f>
        <v/>
      </c>
    </row>
    <row r="111" spans="1:18" ht="17.25" customHeight="1">
      <c r="A111" s="74" t="str">
        <f t="shared" si="2"/>
        <v/>
      </c>
      <c r="R111" s="84" t="str">
        <f>IFERROR(VLOOKUP(K111,차량별사용료!$B$4:$J$16,2),"")</f>
        <v/>
      </c>
    </row>
    <row r="112" spans="1:18" ht="17.25" customHeight="1">
      <c r="A112" s="74" t="str">
        <f t="shared" si="2"/>
        <v/>
      </c>
      <c r="R112" s="84" t="str">
        <f>IFERROR(VLOOKUP(K112,차량별사용료!$B$4:$J$16,2),"")</f>
        <v/>
      </c>
    </row>
    <row r="113" spans="1:18" ht="17.25" customHeight="1">
      <c r="A113" s="74" t="str">
        <f t="shared" si="2"/>
        <v/>
      </c>
      <c r="R113" s="84" t="str">
        <f>IFERROR(VLOOKUP(K113,차량별사용료!$B$4:$J$16,2),"")</f>
        <v/>
      </c>
    </row>
    <row r="114" spans="1:18" ht="17.25" customHeight="1">
      <c r="A114" s="74" t="str">
        <f t="shared" si="2"/>
        <v/>
      </c>
      <c r="R114" s="84" t="str">
        <f>IFERROR(VLOOKUP(K114,차량별사용료!$B$4:$J$16,2),"")</f>
        <v/>
      </c>
    </row>
    <row r="115" spans="1:18" ht="17.25" customHeight="1">
      <c r="A115" s="74" t="str">
        <f t="shared" si="2"/>
        <v/>
      </c>
      <c r="R115" s="84" t="str">
        <f>IFERROR(VLOOKUP(K115,차량별사용료!$B$4:$J$16,2),"")</f>
        <v/>
      </c>
    </row>
    <row r="116" spans="1:18" ht="17.25" customHeight="1">
      <c r="A116" s="74" t="str">
        <f t="shared" si="2"/>
        <v/>
      </c>
      <c r="R116" s="84" t="str">
        <f>IFERROR(VLOOKUP(K116,차량별사용료!$B$4:$J$16,2),"")</f>
        <v/>
      </c>
    </row>
    <row r="117" spans="1:18" ht="17.25" customHeight="1">
      <c r="A117" s="74" t="str">
        <f t="shared" si="2"/>
        <v/>
      </c>
      <c r="R117" s="84" t="str">
        <f>IFERROR(VLOOKUP(K117,차량별사용료!$B$4:$J$16,2),"")</f>
        <v/>
      </c>
    </row>
    <row r="118" spans="1:18" ht="17.25" customHeight="1">
      <c r="A118" s="74" t="str">
        <f t="shared" si="2"/>
        <v/>
      </c>
      <c r="R118" s="84" t="str">
        <f>IFERROR(VLOOKUP(K118,차량별사용료!$B$4:$J$16,2),"")</f>
        <v/>
      </c>
    </row>
    <row r="119" spans="1:18" ht="17.25" customHeight="1">
      <c r="A119" s="74" t="str">
        <f t="shared" si="2"/>
        <v/>
      </c>
      <c r="R119" s="84" t="str">
        <f>IFERROR(VLOOKUP(K119,차량별사용료!$B$4:$J$16,2),"")</f>
        <v/>
      </c>
    </row>
    <row r="120" spans="1:18" ht="17.25" customHeight="1">
      <c r="A120" s="74" t="str">
        <f t="shared" si="2"/>
        <v/>
      </c>
      <c r="R120" s="84" t="str">
        <f>IFERROR(VLOOKUP(K120,차량별사용료!$B$4:$J$16,2),"")</f>
        <v/>
      </c>
    </row>
    <row r="121" spans="1:18" ht="17.25" customHeight="1">
      <c r="A121" s="74" t="str">
        <f t="shared" si="2"/>
        <v/>
      </c>
      <c r="R121" s="84" t="str">
        <f>IFERROR(VLOOKUP(K121,차량별사용료!$B$4:$J$16,2),"")</f>
        <v/>
      </c>
    </row>
    <row r="122" spans="1:18" ht="17.25" customHeight="1">
      <c r="A122" s="74" t="str">
        <f t="shared" si="2"/>
        <v/>
      </c>
      <c r="R122" s="84" t="str">
        <f>IFERROR(VLOOKUP(K122,차량별사용료!$B$4:$J$16,2),"")</f>
        <v/>
      </c>
    </row>
    <row r="123" spans="1:18" ht="17.25" customHeight="1">
      <c r="A123" s="74" t="str">
        <f t="shared" si="2"/>
        <v/>
      </c>
      <c r="R123" s="84" t="str">
        <f>IFERROR(VLOOKUP(K123,차량별사용료!$B$4:$J$16,2),"")</f>
        <v/>
      </c>
    </row>
    <row r="124" spans="1:18" ht="17.25" customHeight="1">
      <c r="A124" s="74" t="str">
        <f t="shared" si="2"/>
        <v/>
      </c>
      <c r="R124" s="84" t="str">
        <f>IFERROR(VLOOKUP(K124,차량별사용료!$B$4:$J$16,2),"")</f>
        <v/>
      </c>
    </row>
    <row r="125" spans="1:18" ht="17.25" customHeight="1">
      <c r="A125" s="74" t="str">
        <f t="shared" si="2"/>
        <v/>
      </c>
      <c r="R125" s="84" t="str">
        <f>IFERROR(VLOOKUP(K125,차량별사용료!$B$4:$J$16,2),"")</f>
        <v/>
      </c>
    </row>
    <row r="126" spans="1:18" ht="17.25" customHeight="1">
      <c r="A126" s="74" t="str">
        <f t="shared" si="2"/>
        <v/>
      </c>
      <c r="R126" s="84" t="str">
        <f>IFERROR(VLOOKUP(K126,차량별사용료!$B$4:$J$16,2),"")</f>
        <v/>
      </c>
    </row>
    <row r="127" spans="1:18" ht="17.25" customHeight="1">
      <c r="A127" s="74" t="str">
        <f t="shared" si="2"/>
        <v/>
      </c>
      <c r="R127" s="84" t="str">
        <f>IFERROR(VLOOKUP(K127,차량별사용료!$B$4:$J$16,2),"")</f>
        <v/>
      </c>
    </row>
    <row r="128" spans="1:18" ht="17.25" customHeight="1">
      <c r="A128" s="74" t="str">
        <f t="shared" si="2"/>
        <v/>
      </c>
      <c r="R128" s="84" t="str">
        <f>IFERROR(VLOOKUP(K128,차량별사용료!$B$4:$J$16,2),"")</f>
        <v/>
      </c>
    </row>
    <row r="129" spans="1:18" ht="17.25" customHeight="1">
      <c r="A129" s="74" t="str">
        <f t="shared" si="2"/>
        <v/>
      </c>
      <c r="R129" s="84" t="str">
        <f>IFERROR(VLOOKUP(K129,차량별사용료!$B$4:$J$16,2),"")</f>
        <v/>
      </c>
    </row>
    <row r="130" spans="1:18" ht="17.25" customHeight="1">
      <c r="A130" s="74" t="str">
        <f t="shared" si="2"/>
        <v/>
      </c>
      <c r="R130" s="84" t="str">
        <f>IFERROR(VLOOKUP(K130,차량별사용료!$B$4:$J$16,2),"")</f>
        <v/>
      </c>
    </row>
    <row r="131" spans="1:18" ht="17.25" customHeight="1">
      <c r="A131" s="74" t="str">
        <f t="shared" si="2"/>
        <v/>
      </c>
      <c r="R131" s="84" t="str">
        <f>IFERROR(VLOOKUP(K131,차량별사용료!$B$4:$J$16,2),"")</f>
        <v/>
      </c>
    </row>
    <row r="132" spans="1:18" ht="17.25" customHeight="1">
      <c r="A132" s="74" t="str">
        <f t="shared" ref="A132:A195" si="3">IF(B132&lt;&gt;"",ROW()-2,"")</f>
        <v/>
      </c>
      <c r="R132" s="84" t="str">
        <f>IFERROR(VLOOKUP(K132,차량별사용료!$B$4:$J$16,2),"")</f>
        <v/>
      </c>
    </row>
    <row r="133" spans="1:18" ht="17.25" customHeight="1">
      <c r="A133" s="74" t="str">
        <f t="shared" si="3"/>
        <v/>
      </c>
      <c r="R133" s="84" t="str">
        <f>IFERROR(VLOOKUP(K133,차량별사용료!$B$4:$J$16,2),"")</f>
        <v/>
      </c>
    </row>
    <row r="134" spans="1:18" ht="17.25" customHeight="1">
      <c r="A134" s="74" t="str">
        <f t="shared" si="3"/>
        <v/>
      </c>
      <c r="R134" s="84" t="str">
        <f>IFERROR(VLOOKUP(K134,차량별사용료!$B$4:$J$16,2),"")</f>
        <v/>
      </c>
    </row>
    <row r="135" spans="1:18" ht="17.25" customHeight="1">
      <c r="A135" s="74" t="str">
        <f t="shared" si="3"/>
        <v/>
      </c>
      <c r="R135" s="84" t="str">
        <f>IFERROR(VLOOKUP(K135,차량별사용료!$B$4:$J$16,2),"")</f>
        <v/>
      </c>
    </row>
    <row r="136" spans="1:18" ht="17.25" customHeight="1">
      <c r="A136" s="74" t="str">
        <f t="shared" si="3"/>
        <v/>
      </c>
      <c r="R136" s="84" t="str">
        <f>IFERROR(VLOOKUP(K136,차량별사용료!$B$4:$J$16,2),"")</f>
        <v/>
      </c>
    </row>
    <row r="137" spans="1:18" ht="17.25" customHeight="1">
      <c r="A137" s="74" t="str">
        <f t="shared" si="3"/>
        <v/>
      </c>
      <c r="R137" s="84" t="str">
        <f>IFERROR(VLOOKUP(K137,차량별사용료!$B$4:$J$16,2),"")</f>
        <v/>
      </c>
    </row>
    <row r="138" spans="1:18" ht="17.25" customHeight="1">
      <c r="A138" s="74" t="str">
        <f t="shared" si="3"/>
        <v/>
      </c>
      <c r="R138" s="84" t="str">
        <f>IFERROR(VLOOKUP(K138,차량별사용료!$B$4:$J$16,2),"")</f>
        <v/>
      </c>
    </row>
    <row r="139" spans="1:18" ht="17.25" customHeight="1">
      <c r="A139" s="74" t="str">
        <f t="shared" si="3"/>
        <v/>
      </c>
      <c r="R139" s="84" t="str">
        <f>IFERROR(VLOOKUP(K139,차량별사용료!$B$4:$J$16,2),"")</f>
        <v/>
      </c>
    </row>
    <row r="140" spans="1:18" ht="17.25" customHeight="1">
      <c r="A140" s="74" t="str">
        <f t="shared" si="3"/>
        <v/>
      </c>
      <c r="R140" s="84" t="str">
        <f>IFERROR(VLOOKUP(K140,차량별사용료!$B$4:$J$16,2),"")</f>
        <v/>
      </c>
    </row>
    <row r="141" spans="1:18" ht="17.25" customHeight="1">
      <c r="A141" s="74" t="str">
        <f t="shared" si="3"/>
        <v/>
      </c>
      <c r="R141" s="84" t="str">
        <f>IFERROR(VLOOKUP(K141,차량별사용료!$B$4:$J$16,2),"")</f>
        <v/>
      </c>
    </row>
    <row r="142" spans="1:18" ht="17.25" customHeight="1">
      <c r="A142" s="74" t="str">
        <f t="shared" si="3"/>
        <v/>
      </c>
      <c r="R142" s="84" t="str">
        <f>IFERROR(VLOOKUP(K142,차량별사용료!$B$4:$J$16,2),"")</f>
        <v/>
      </c>
    </row>
    <row r="143" spans="1:18" ht="17.25" customHeight="1">
      <c r="A143" s="74" t="str">
        <f t="shared" si="3"/>
        <v/>
      </c>
      <c r="R143" s="84" t="str">
        <f>IFERROR(VLOOKUP(K143,차량별사용료!$B$4:$J$16,2),"")</f>
        <v/>
      </c>
    </row>
    <row r="144" spans="1:18" ht="17.25" customHeight="1">
      <c r="A144" s="74" t="str">
        <f t="shared" si="3"/>
        <v/>
      </c>
      <c r="R144" s="84" t="str">
        <f>IFERROR(VLOOKUP(K144,차량별사용료!$B$4:$J$16,2),"")</f>
        <v/>
      </c>
    </row>
    <row r="145" spans="1:18" ht="17.25" customHeight="1">
      <c r="A145" s="74" t="str">
        <f t="shared" si="3"/>
        <v/>
      </c>
      <c r="R145" s="84" t="str">
        <f>IFERROR(VLOOKUP(K145,차량별사용료!$B$4:$J$16,2),"")</f>
        <v/>
      </c>
    </row>
    <row r="146" spans="1:18" ht="17.25" customHeight="1">
      <c r="A146" s="74" t="str">
        <f t="shared" si="3"/>
        <v/>
      </c>
      <c r="R146" s="84" t="str">
        <f>IFERROR(VLOOKUP(K146,차량별사용료!$B$4:$J$16,2),"")</f>
        <v/>
      </c>
    </row>
    <row r="147" spans="1:18" ht="17.25" customHeight="1">
      <c r="A147" s="74" t="str">
        <f t="shared" si="3"/>
        <v/>
      </c>
      <c r="R147" s="84" t="str">
        <f>IFERROR(VLOOKUP(K147,차량별사용료!$B$4:$J$16,2),"")</f>
        <v/>
      </c>
    </row>
    <row r="148" spans="1:18" ht="17.25" customHeight="1">
      <c r="A148" s="74" t="str">
        <f t="shared" si="3"/>
        <v/>
      </c>
      <c r="R148" s="84" t="str">
        <f>IFERROR(VLOOKUP(K148,차량별사용료!$B$4:$J$16,2),"")</f>
        <v/>
      </c>
    </row>
    <row r="149" spans="1:18" ht="17.25" customHeight="1">
      <c r="A149" s="74" t="str">
        <f t="shared" si="3"/>
        <v/>
      </c>
      <c r="R149" s="84" t="str">
        <f>IFERROR(VLOOKUP(K149,차량별사용료!$B$4:$J$16,2),"")</f>
        <v/>
      </c>
    </row>
    <row r="150" spans="1:18" ht="17.25" customHeight="1">
      <c r="A150" s="74" t="str">
        <f t="shared" si="3"/>
        <v/>
      </c>
      <c r="R150" s="84" t="str">
        <f>IFERROR(VLOOKUP(K150,차량별사용료!$B$4:$J$16,2),"")</f>
        <v/>
      </c>
    </row>
    <row r="151" spans="1:18" ht="17.25" customHeight="1">
      <c r="A151" s="74" t="str">
        <f t="shared" si="3"/>
        <v/>
      </c>
      <c r="R151" s="84" t="str">
        <f>IFERROR(VLOOKUP(K151,차량별사용료!$B$4:$J$16,2),"")</f>
        <v/>
      </c>
    </row>
    <row r="152" spans="1:18" ht="17.25" customHeight="1">
      <c r="A152" s="74" t="str">
        <f t="shared" si="3"/>
        <v/>
      </c>
      <c r="R152" s="84" t="str">
        <f>IFERROR(VLOOKUP(K152,차량별사용료!$B$4:$J$16,2),"")</f>
        <v/>
      </c>
    </row>
    <row r="153" spans="1:18" ht="17.25" customHeight="1">
      <c r="A153" s="74" t="str">
        <f t="shared" si="3"/>
        <v/>
      </c>
      <c r="R153" s="84" t="str">
        <f>IFERROR(VLOOKUP(K153,차량별사용료!$B$4:$J$16,2),"")</f>
        <v/>
      </c>
    </row>
    <row r="154" spans="1:18" ht="17.25" customHeight="1">
      <c r="A154" s="74" t="str">
        <f t="shared" si="3"/>
        <v/>
      </c>
      <c r="R154" s="84" t="str">
        <f>IFERROR(VLOOKUP(K154,차량별사용료!$B$4:$J$16,2),"")</f>
        <v/>
      </c>
    </row>
    <row r="155" spans="1:18" ht="17.25" customHeight="1">
      <c r="A155" s="74" t="str">
        <f t="shared" si="3"/>
        <v/>
      </c>
      <c r="R155" s="84" t="str">
        <f>IFERROR(VLOOKUP(K155,차량별사용료!$B$4:$J$16,2),"")</f>
        <v/>
      </c>
    </row>
    <row r="156" spans="1:18" ht="17.25" customHeight="1">
      <c r="A156" s="74" t="str">
        <f t="shared" si="3"/>
        <v/>
      </c>
      <c r="R156" s="84" t="str">
        <f>IFERROR(VLOOKUP(K156,차량별사용료!$B$4:$J$16,2),"")</f>
        <v/>
      </c>
    </row>
    <row r="157" spans="1:18" ht="17.25" customHeight="1">
      <c r="A157" s="74" t="str">
        <f t="shared" si="3"/>
        <v/>
      </c>
      <c r="R157" s="84" t="str">
        <f>IFERROR(VLOOKUP(K157,차량별사용료!$B$4:$J$16,2),"")</f>
        <v/>
      </c>
    </row>
    <row r="158" spans="1:18" ht="17.25" customHeight="1">
      <c r="A158" s="74" t="str">
        <f t="shared" si="3"/>
        <v/>
      </c>
      <c r="R158" s="84" t="str">
        <f>IFERROR(VLOOKUP(K158,차량별사용료!$B$4:$J$16,2),"")</f>
        <v/>
      </c>
    </row>
    <row r="159" spans="1:18" ht="17.25" customHeight="1">
      <c r="A159" s="74" t="str">
        <f t="shared" si="3"/>
        <v/>
      </c>
      <c r="R159" s="84" t="str">
        <f>IFERROR(VLOOKUP(K159,차량별사용료!$B$4:$J$16,2),"")</f>
        <v/>
      </c>
    </row>
    <row r="160" spans="1:18" ht="17.25" customHeight="1">
      <c r="A160" s="74" t="str">
        <f t="shared" si="3"/>
        <v/>
      </c>
      <c r="R160" s="84" t="str">
        <f>IFERROR(VLOOKUP(K160,차량별사용료!$B$4:$J$16,2),"")</f>
        <v/>
      </c>
    </row>
    <row r="161" spans="1:18" ht="17.25" customHeight="1">
      <c r="A161" s="74" t="str">
        <f t="shared" si="3"/>
        <v/>
      </c>
      <c r="R161" s="84" t="str">
        <f>IFERROR(VLOOKUP(K161,차량별사용료!$B$4:$J$16,2),"")</f>
        <v/>
      </c>
    </row>
    <row r="162" spans="1:18" ht="17.25" customHeight="1">
      <c r="A162" s="74" t="str">
        <f t="shared" si="3"/>
        <v/>
      </c>
      <c r="R162" s="84" t="str">
        <f>IFERROR(VLOOKUP(K162,차량별사용료!$B$4:$J$16,2),"")</f>
        <v/>
      </c>
    </row>
    <row r="163" spans="1:18" ht="17.25" customHeight="1">
      <c r="A163" s="74" t="str">
        <f t="shared" si="3"/>
        <v/>
      </c>
      <c r="R163" s="84" t="str">
        <f>IFERROR(VLOOKUP(K163,차량별사용료!$B$4:$J$16,2),"")</f>
        <v/>
      </c>
    </row>
    <row r="164" spans="1:18" ht="17.25" customHeight="1">
      <c r="A164" s="74" t="str">
        <f t="shared" si="3"/>
        <v/>
      </c>
      <c r="R164" s="84" t="str">
        <f>IFERROR(VLOOKUP(K164,차량별사용료!$B$4:$J$16,2),"")</f>
        <v/>
      </c>
    </row>
    <row r="165" spans="1:18" ht="17.25" customHeight="1">
      <c r="A165" s="74" t="str">
        <f t="shared" si="3"/>
        <v/>
      </c>
      <c r="R165" s="84" t="str">
        <f>IFERROR(VLOOKUP(K165,차량별사용료!$B$4:$J$16,2),"")</f>
        <v/>
      </c>
    </row>
    <row r="166" spans="1:18" ht="17.25" customHeight="1">
      <c r="A166" s="74" t="str">
        <f t="shared" si="3"/>
        <v/>
      </c>
      <c r="R166" s="84" t="str">
        <f>IFERROR(VLOOKUP(K166,차량별사용료!$B$4:$J$16,2),"")</f>
        <v/>
      </c>
    </row>
    <row r="167" spans="1:18" ht="17.25" customHeight="1">
      <c r="A167" s="74" t="str">
        <f t="shared" si="3"/>
        <v/>
      </c>
      <c r="R167" s="84" t="str">
        <f>IFERROR(VLOOKUP(K167,차량별사용료!$B$4:$J$16,2),"")</f>
        <v/>
      </c>
    </row>
    <row r="168" spans="1:18" ht="17.25" customHeight="1">
      <c r="A168" s="74" t="str">
        <f t="shared" si="3"/>
        <v/>
      </c>
      <c r="R168" s="84" t="str">
        <f>IFERROR(VLOOKUP(K168,차량별사용료!$B$4:$J$16,2),"")</f>
        <v/>
      </c>
    </row>
    <row r="169" spans="1:18" ht="17.25" customHeight="1">
      <c r="A169" s="74" t="str">
        <f t="shared" si="3"/>
        <v/>
      </c>
      <c r="R169" s="84" t="str">
        <f>IFERROR(VLOOKUP(K169,차량별사용료!$B$4:$J$16,2),"")</f>
        <v/>
      </c>
    </row>
    <row r="170" spans="1:18" ht="17.25" customHeight="1">
      <c r="A170" s="74" t="str">
        <f t="shared" si="3"/>
        <v/>
      </c>
      <c r="R170" s="84" t="str">
        <f>IFERROR(VLOOKUP(K170,차량별사용료!$B$4:$J$16,2),"")</f>
        <v/>
      </c>
    </row>
    <row r="171" spans="1:18" ht="17.25" customHeight="1">
      <c r="A171" s="74" t="str">
        <f t="shared" si="3"/>
        <v/>
      </c>
      <c r="R171" s="84" t="str">
        <f>IFERROR(VLOOKUP(K171,차량별사용료!$B$4:$J$16,2),"")</f>
        <v/>
      </c>
    </row>
    <row r="172" spans="1:18" ht="17.25" customHeight="1">
      <c r="A172" s="74" t="str">
        <f t="shared" si="3"/>
        <v/>
      </c>
      <c r="R172" s="84" t="str">
        <f>IFERROR(VLOOKUP(K172,차량별사용료!$B$4:$J$16,2),"")</f>
        <v/>
      </c>
    </row>
    <row r="173" spans="1:18" ht="17.25" customHeight="1">
      <c r="A173" s="74" t="str">
        <f t="shared" si="3"/>
        <v/>
      </c>
      <c r="R173" s="84" t="str">
        <f>IFERROR(VLOOKUP(K173,차량별사용료!$B$4:$J$16,2),"")</f>
        <v/>
      </c>
    </row>
    <row r="174" spans="1:18" ht="17.25" customHeight="1">
      <c r="A174" s="74" t="str">
        <f t="shared" si="3"/>
        <v/>
      </c>
      <c r="R174" s="84" t="str">
        <f>IFERROR(VLOOKUP(K174,차량별사용료!$B$4:$J$16,2),"")</f>
        <v/>
      </c>
    </row>
    <row r="175" spans="1:18" ht="17.25" customHeight="1">
      <c r="A175" s="74" t="str">
        <f t="shared" si="3"/>
        <v/>
      </c>
      <c r="R175" s="84" t="str">
        <f>IFERROR(VLOOKUP(K175,차량별사용료!$B$4:$J$16,2),"")</f>
        <v/>
      </c>
    </row>
    <row r="176" spans="1:18" ht="17.25" customHeight="1">
      <c r="A176" s="74" t="str">
        <f t="shared" si="3"/>
        <v/>
      </c>
      <c r="R176" s="84" t="str">
        <f>IFERROR(VLOOKUP(K176,차량별사용료!$B$4:$J$16,2),"")</f>
        <v/>
      </c>
    </row>
    <row r="177" spans="1:18" ht="17.25" customHeight="1">
      <c r="A177" s="74" t="str">
        <f t="shared" si="3"/>
        <v/>
      </c>
      <c r="R177" s="84" t="str">
        <f>IFERROR(VLOOKUP(K177,차량별사용료!$B$4:$J$16,2),"")</f>
        <v/>
      </c>
    </row>
    <row r="178" spans="1:18" ht="17.25" customHeight="1">
      <c r="A178" s="74" t="str">
        <f t="shared" si="3"/>
        <v/>
      </c>
      <c r="R178" s="84" t="str">
        <f>IFERROR(VLOOKUP(K178,차량별사용료!$B$4:$J$16,2),"")</f>
        <v/>
      </c>
    </row>
    <row r="179" spans="1:18" ht="17.25" customHeight="1">
      <c r="A179" s="74" t="str">
        <f t="shared" si="3"/>
        <v/>
      </c>
      <c r="R179" s="84" t="str">
        <f>IFERROR(VLOOKUP(K179,차량별사용료!$B$4:$J$16,2),"")</f>
        <v/>
      </c>
    </row>
    <row r="180" spans="1:18" ht="17.25" customHeight="1">
      <c r="A180" s="74" t="str">
        <f t="shared" si="3"/>
        <v/>
      </c>
      <c r="R180" s="84" t="str">
        <f>IFERROR(VLOOKUP(K180,차량별사용료!$B$4:$J$16,2),"")</f>
        <v/>
      </c>
    </row>
    <row r="181" spans="1:18" ht="17.25" customHeight="1">
      <c r="A181" s="74" t="str">
        <f t="shared" si="3"/>
        <v/>
      </c>
      <c r="R181" s="84" t="str">
        <f>IFERROR(VLOOKUP(K181,차량별사용료!$B$4:$J$16,2),"")</f>
        <v/>
      </c>
    </row>
    <row r="182" spans="1:18" ht="17.25" customHeight="1">
      <c r="A182" s="74" t="str">
        <f t="shared" si="3"/>
        <v/>
      </c>
      <c r="R182" s="84" t="str">
        <f>IFERROR(VLOOKUP(K182,차량별사용료!$B$4:$J$16,2),"")</f>
        <v/>
      </c>
    </row>
    <row r="183" spans="1:18" ht="17.25" customHeight="1">
      <c r="A183" s="74" t="str">
        <f t="shared" si="3"/>
        <v/>
      </c>
      <c r="R183" s="84" t="str">
        <f>IFERROR(VLOOKUP(K183,차량별사용료!$B$4:$J$16,2),"")</f>
        <v/>
      </c>
    </row>
    <row r="184" spans="1:18" ht="17.25" customHeight="1">
      <c r="A184" s="74" t="str">
        <f t="shared" si="3"/>
        <v/>
      </c>
      <c r="R184" s="84" t="str">
        <f>IFERROR(VLOOKUP(K184,차량별사용료!$B$4:$J$16,2),"")</f>
        <v/>
      </c>
    </row>
    <row r="185" spans="1:18" ht="17.25" customHeight="1">
      <c r="A185" s="74" t="str">
        <f t="shared" si="3"/>
        <v/>
      </c>
      <c r="R185" s="84" t="str">
        <f>IFERROR(VLOOKUP(K185,차량별사용료!$B$4:$J$16,2),"")</f>
        <v/>
      </c>
    </row>
    <row r="186" spans="1:18" ht="17.25" customHeight="1">
      <c r="A186" s="74" t="str">
        <f t="shared" si="3"/>
        <v/>
      </c>
      <c r="R186" s="84" t="str">
        <f>IFERROR(VLOOKUP(K186,차량별사용료!$B$4:$J$16,2),"")</f>
        <v/>
      </c>
    </row>
    <row r="187" spans="1:18" ht="17.25" customHeight="1">
      <c r="A187" s="74" t="str">
        <f t="shared" si="3"/>
        <v/>
      </c>
      <c r="R187" s="84" t="str">
        <f>IFERROR(VLOOKUP(K187,차량별사용료!$B$4:$J$16,2),"")</f>
        <v/>
      </c>
    </row>
    <row r="188" spans="1:18" ht="17.25" customHeight="1">
      <c r="A188" s="74" t="str">
        <f t="shared" si="3"/>
        <v/>
      </c>
      <c r="R188" s="84" t="str">
        <f>IFERROR(VLOOKUP(K188,차량별사용료!$B$4:$J$16,2),"")</f>
        <v/>
      </c>
    </row>
    <row r="189" spans="1:18" ht="17.25" customHeight="1">
      <c r="A189" s="74" t="str">
        <f t="shared" si="3"/>
        <v/>
      </c>
      <c r="R189" s="84" t="str">
        <f>IFERROR(VLOOKUP(K189,차량별사용료!$B$4:$J$16,2),"")</f>
        <v/>
      </c>
    </row>
    <row r="190" spans="1:18" ht="17.25" customHeight="1">
      <c r="A190" s="74" t="str">
        <f t="shared" si="3"/>
        <v/>
      </c>
      <c r="R190" s="84" t="str">
        <f>IFERROR(VLOOKUP(K190,차량별사용료!$B$4:$J$16,2),"")</f>
        <v/>
      </c>
    </row>
    <row r="191" spans="1:18" ht="17.25" customHeight="1">
      <c r="A191" s="74" t="str">
        <f t="shared" si="3"/>
        <v/>
      </c>
      <c r="R191" s="84" t="str">
        <f>IFERROR(VLOOKUP(K191,차량별사용료!$B$4:$J$16,2),"")</f>
        <v/>
      </c>
    </row>
    <row r="192" spans="1:18" ht="17.25" customHeight="1">
      <c r="A192" s="74" t="str">
        <f t="shared" si="3"/>
        <v/>
      </c>
      <c r="R192" s="84" t="str">
        <f>IFERROR(VLOOKUP(K192,차량별사용료!$B$4:$J$16,2),"")</f>
        <v/>
      </c>
    </row>
    <row r="193" spans="1:18" ht="17.25" customHeight="1">
      <c r="A193" s="74" t="str">
        <f t="shared" si="3"/>
        <v/>
      </c>
      <c r="R193" s="84" t="str">
        <f>IFERROR(VLOOKUP(K193,차량별사용료!$B$4:$J$16,2),"")</f>
        <v/>
      </c>
    </row>
    <row r="194" spans="1:18" ht="17.25" customHeight="1">
      <c r="A194" s="74" t="str">
        <f t="shared" si="3"/>
        <v/>
      </c>
      <c r="R194" s="84" t="str">
        <f>IFERROR(VLOOKUP(K194,차량별사용료!$B$4:$J$16,2),"")</f>
        <v/>
      </c>
    </row>
    <row r="195" spans="1:18" ht="17.25" customHeight="1">
      <c r="A195" s="74" t="str">
        <f t="shared" si="3"/>
        <v/>
      </c>
      <c r="R195" s="84" t="str">
        <f>IFERROR(VLOOKUP(K195,차량별사용료!$B$4:$J$16,2),"")</f>
        <v/>
      </c>
    </row>
    <row r="196" spans="1:18" ht="17.25" customHeight="1">
      <c r="A196" s="74" t="str">
        <f t="shared" ref="A196:A259" si="4">IF(B196&lt;&gt;"",ROW()-2,"")</f>
        <v/>
      </c>
      <c r="R196" s="84" t="str">
        <f>IFERROR(VLOOKUP(K196,차량별사용료!$B$4:$J$16,2),"")</f>
        <v/>
      </c>
    </row>
    <row r="197" spans="1:18" ht="17.25" customHeight="1">
      <c r="A197" s="74" t="str">
        <f t="shared" si="4"/>
        <v/>
      </c>
      <c r="R197" s="84" t="str">
        <f>IFERROR(VLOOKUP(K197,차량별사용료!$B$4:$J$16,2),"")</f>
        <v/>
      </c>
    </row>
    <row r="198" spans="1:18" ht="17.25" customHeight="1">
      <c r="A198" s="74" t="str">
        <f t="shared" si="4"/>
        <v/>
      </c>
      <c r="R198" s="84" t="str">
        <f>IFERROR(VLOOKUP(K198,차량별사용료!$B$4:$J$16,2),"")</f>
        <v/>
      </c>
    </row>
    <row r="199" spans="1:18" ht="17.25" customHeight="1">
      <c r="A199" s="74" t="str">
        <f t="shared" si="4"/>
        <v/>
      </c>
      <c r="R199" s="84" t="str">
        <f>IFERROR(VLOOKUP(K199,차량별사용료!$B$4:$J$16,2),"")</f>
        <v/>
      </c>
    </row>
    <row r="200" spans="1:18" ht="17.25" customHeight="1">
      <c r="A200" s="74" t="str">
        <f t="shared" si="4"/>
        <v/>
      </c>
      <c r="R200" s="84" t="str">
        <f>IFERROR(VLOOKUP(K200,차량별사용료!$B$4:$J$16,2),"")</f>
        <v/>
      </c>
    </row>
    <row r="201" spans="1:18" ht="17.25" customHeight="1">
      <c r="A201" s="74" t="str">
        <f t="shared" si="4"/>
        <v/>
      </c>
      <c r="R201" s="84" t="str">
        <f>IFERROR(VLOOKUP(K201,차량별사용료!$B$4:$J$16,2),"")</f>
        <v/>
      </c>
    </row>
    <row r="202" spans="1:18" ht="17.25" customHeight="1">
      <c r="A202" s="74" t="str">
        <f t="shared" si="4"/>
        <v/>
      </c>
      <c r="R202" s="84" t="str">
        <f>IFERROR(VLOOKUP(K202,차량별사용료!$B$4:$J$16,2),"")</f>
        <v/>
      </c>
    </row>
    <row r="203" spans="1:18" ht="17.25" customHeight="1">
      <c r="A203" s="74" t="str">
        <f t="shared" si="4"/>
        <v/>
      </c>
      <c r="R203" s="84" t="str">
        <f>IFERROR(VLOOKUP(K203,차량별사용료!$B$4:$J$16,2),"")</f>
        <v/>
      </c>
    </row>
    <row r="204" spans="1:18" ht="17.25" customHeight="1">
      <c r="A204" s="74" t="str">
        <f t="shared" si="4"/>
        <v/>
      </c>
      <c r="R204" s="84" t="str">
        <f>IFERROR(VLOOKUP(K204,차량별사용료!$B$4:$J$16,2),"")</f>
        <v/>
      </c>
    </row>
    <row r="205" spans="1:18" ht="17.25" customHeight="1">
      <c r="A205" s="74" t="str">
        <f t="shared" si="4"/>
        <v/>
      </c>
      <c r="R205" s="84" t="str">
        <f>IFERROR(VLOOKUP(K205,차량별사용료!$B$4:$J$16,2),"")</f>
        <v/>
      </c>
    </row>
    <row r="206" spans="1:18" ht="17.25" customHeight="1">
      <c r="A206" s="74" t="str">
        <f t="shared" si="4"/>
        <v/>
      </c>
      <c r="R206" s="84" t="str">
        <f>IFERROR(VLOOKUP(K206,차량별사용료!$B$4:$J$16,2),"")</f>
        <v/>
      </c>
    </row>
    <row r="207" spans="1:18" ht="17.25" customHeight="1">
      <c r="A207" s="74" t="str">
        <f t="shared" si="4"/>
        <v/>
      </c>
      <c r="R207" s="84" t="str">
        <f>IFERROR(VLOOKUP(K207,차량별사용료!$B$4:$J$16,2),"")</f>
        <v/>
      </c>
    </row>
    <row r="208" spans="1:18" ht="17.25" customHeight="1">
      <c r="A208" s="74" t="str">
        <f t="shared" si="4"/>
        <v/>
      </c>
      <c r="R208" s="84" t="str">
        <f>IFERROR(VLOOKUP(K208,차량별사용료!$B$4:$J$16,2),"")</f>
        <v/>
      </c>
    </row>
    <row r="209" spans="1:18" ht="17.25" customHeight="1">
      <c r="A209" s="74" t="str">
        <f t="shared" si="4"/>
        <v/>
      </c>
      <c r="R209" s="84" t="str">
        <f>IFERROR(VLOOKUP(K209,차량별사용료!$B$4:$J$16,2),"")</f>
        <v/>
      </c>
    </row>
    <row r="210" spans="1:18" ht="17.25" customHeight="1">
      <c r="A210" s="74" t="str">
        <f t="shared" si="4"/>
        <v/>
      </c>
      <c r="R210" s="84" t="str">
        <f>IFERROR(VLOOKUP(K210,차량별사용료!$B$4:$J$16,2),"")</f>
        <v/>
      </c>
    </row>
    <row r="211" spans="1:18" ht="17.25" customHeight="1">
      <c r="A211" s="74" t="str">
        <f t="shared" si="4"/>
        <v/>
      </c>
      <c r="R211" s="84" t="str">
        <f>IFERROR(VLOOKUP(K211,차량별사용료!$B$4:$J$16,2),"")</f>
        <v/>
      </c>
    </row>
    <row r="212" spans="1:18" ht="17.25" customHeight="1">
      <c r="A212" s="74" t="str">
        <f t="shared" si="4"/>
        <v/>
      </c>
      <c r="R212" s="84" t="str">
        <f>IFERROR(VLOOKUP(K212,차량별사용료!$B$4:$J$16,2),"")</f>
        <v/>
      </c>
    </row>
    <row r="213" spans="1:18" ht="17.25" customHeight="1">
      <c r="A213" s="74" t="str">
        <f t="shared" si="4"/>
        <v/>
      </c>
      <c r="R213" s="84" t="str">
        <f>IFERROR(VLOOKUP(K213,차량별사용료!$B$4:$J$16,2),"")</f>
        <v/>
      </c>
    </row>
    <row r="214" spans="1:18" ht="17.25" customHeight="1">
      <c r="A214" s="74" t="str">
        <f t="shared" si="4"/>
        <v/>
      </c>
      <c r="R214" s="84" t="str">
        <f>IFERROR(VLOOKUP(K214,차량별사용료!$B$4:$J$16,2),"")</f>
        <v/>
      </c>
    </row>
    <row r="215" spans="1:18" ht="17.25" customHeight="1">
      <c r="A215" s="74" t="str">
        <f t="shared" si="4"/>
        <v/>
      </c>
      <c r="R215" s="84" t="str">
        <f>IFERROR(VLOOKUP(K215,차량별사용료!$B$4:$J$16,2),"")</f>
        <v/>
      </c>
    </row>
    <row r="216" spans="1:18" ht="17.25" customHeight="1">
      <c r="A216" s="74" t="str">
        <f t="shared" si="4"/>
        <v/>
      </c>
      <c r="R216" s="84" t="str">
        <f>IFERROR(VLOOKUP(K216,차량별사용료!$B$4:$J$16,2),"")</f>
        <v/>
      </c>
    </row>
    <row r="217" spans="1:18" ht="17.25" customHeight="1">
      <c r="A217" s="74" t="str">
        <f t="shared" si="4"/>
        <v/>
      </c>
      <c r="R217" s="84" t="str">
        <f>IFERROR(VLOOKUP(K217,차량별사용료!$B$4:$J$16,2),"")</f>
        <v/>
      </c>
    </row>
    <row r="218" spans="1:18" ht="17.25" customHeight="1">
      <c r="A218" s="74" t="str">
        <f t="shared" si="4"/>
        <v/>
      </c>
      <c r="R218" s="84" t="str">
        <f>IFERROR(VLOOKUP(K218,차량별사용료!$B$4:$J$16,2),"")</f>
        <v/>
      </c>
    </row>
    <row r="219" spans="1:18" ht="17.25" customHeight="1">
      <c r="A219" s="74" t="str">
        <f t="shared" si="4"/>
        <v/>
      </c>
      <c r="R219" s="84" t="str">
        <f>IFERROR(VLOOKUP(K219,차량별사용료!$B$4:$J$16,2),"")</f>
        <v/>
      </c>
    </row>
    <row r="220" spans="1:18" ht="17.25" customHeight="1">
      <c r="A220" s="74" t="str">
        <f t="shared" si="4"/>
        <v/>
      </c>
      <c r="R220" s="84" t="str">
        <f>IFERROR(VLOOKUP(K220,차량별사용료!$B$4:$J$16,2),"")</f>
        <v/>
      </c>
    </row>
    <row r="221" spans="1:18" ht="17.25" customHeight="1">
      <c r="A221" s="74" t="str">
        <f t="shared" si="4"/>
        <v/>
      </c>
      <c r="R221" s="84" t="str">
        <f>IFERROR(VLOOKUP(K221,차량별사용료!$B$4:$J$16,2),"")</f>
        <v/>
      </c>
    </row>
    <row r="222" spans="1:18" ht="17.25" customHeight="1">
      <c r="A222" s="74" t="str">
        <f t="shared" si="4"/>
        <v/>
      </c>
      <c r="R222" s="84" t="str">
        <f>IFERROR(VLOOKUP(K222,차량별사용료!$B$4:$J$16,2),"")</f>
        <v/>
      </c>
    </row>
    <row r="223" spans="1:18" ht="17.25" customHeight="1">
      <c r="A223" s="74" t="str">
        <f t="shared" si="4"/>
        <v/>
      </c>
      <c r="R223" s="84" t="str">
        <f>IFERROR(VLOOKUP(K223,차량별사용료!$B$4:$J$16,2),"")</f>
        <v/>
      </c>
    </row>
    <row r="224" spans="1:18" ht="17.25" customHeight="1">
      <c r="A224" s="74" t="str">
        <f t="shared" si="4"/>
        <v/>
      </c>
      <c r="R224" s="84" t="str">
        <f>IFERROR(VLOOKUP(K224,차량별사용료!$B$4:$J$16,2),"")</f>
        <v/>
      </c>
    </row>
    <row r="225" spans="1:18" ht="17.25" customHeight="1">
      <c r="A225" s="74" t="str">
        <f t="shared" si="4"/>
        <v/>
      </c>
      <c r="R225" s="84" t="str">
        <f>IFERROR(VLOOKUP(K225,차량별사용료!$B$4:$J$16,2),"")</f>
        <v/>
      </c>
    </row>
    <row r="226" spans="1:18" ht="17.25" customHeight="1">
      <c r="A226" s="74" t="str">
        <f t="shared" si="4"/>
        <v/>
      </c>
      <c r="R226" s="84" t="str">
        <f>IFERROR(VLOOKUP(K226,차량별사용료!$B$4:$J$16,2),"")</f>
        <v/>
      </c>
    </row>
    <row r="227" spans="1:18" ht="17.25" customHeight="1">
      <c r="A227" s="74" t="str">
        <f t="shared" si="4"/>
        <v/>
      </c>
      <c r="R227" s="84" t="str">
        <f>IFERROR(VLOOKUP(K227,차량별사용료!$B$4:$J$16,2),"")</f>
        <v/>
      </c>
    </row>
    <row r="228" spans="1:18" ht="17.25" customHeight="1">
      <c r="A228" s="74" t="str">
        <f t="shared" si="4"/>
        <v/>
      </c>
      <c r="R228" s="84" t="str">
        <f>IFERROR(VLOOKUP(K228,차량별사용료!$B$4:$J$16,2),"")</f>
        <v/>
      </c>
    </row>
    <row r="229" spans="1:18" ht="17.25" customHeight="1">
      <c r="A229" s="74" t="str">
        <f t="shared" si="4"/>
        <v/>
      </c>
      <c r="R229" s="84" t="str">
        <f>IFERROR(VLOOKUP(K229,차량별사용료!$B$4:$J$16,2),"")</f>
        <v/>
      </c>
    </row>
    <row r="230" spans="1:18" ht="17.25" customHeight="1">
      <c r="A230" s="74" t="str">
        <f t="shared" si="4"/>
        <v/>
      </c>
      <c r="R230" s="84" t="str">
        <f>IFERROR(VLOOKUP(K230,차량별사용료!$B$4:$J$16,2),"")</f>
        <v/>
      </c>
    </row>
    <row r="231" spans="1:18" ht="17.25" customHeight="1">
      <c r="A231" s="74" t="str">
        <f t="shared" si="4"/>
        <v/>
      </c>
      <c r="R231" s="84" t="str">
        <f>IFERROR(VLOOKUP(K231,차량별사용료!$B$4:$J$16,2),"")</f>
        <v/>
      </c>
    </row>
    <row r="232" spans="1:18" ht="17.25" customHeight="1">
      <c r="A232" s="74" t="str">
        <f t="shared" si="4"/>
        <v/>
      </c>
      <c r="R232" s="84" t="str">
        <f>IFERROR(VLOOKUP(K232,차량별사용료!$B$4:$J$16,2),"")</f>
        <v/>
      </c>
    </row>
    <row r="233" spans="1:18" ht="17.25" customHeight="1">
      <c r="A233" s="74" t="str">
        <f t="shared" si="4"/>
        <v/>
      </c>
      <c r="R233" s="84" t="str">
        <f>IFERROR(VLOOKUP(K233,차량별사용료!$B$4:$J$16,2),"")</f>
        <v/>
      </c>
    </row>
    <row r="234" spans="1:18" ht="17.25" customHeight="1">
      <c r="A234" s="74" t="str">
        <f t="shared" si="4"/>
        <v/>
      </c>
      <c r="R234" s="84" t="str">
        <f>IFERROR(VLOOKUP(K234,차량별사용료!$B$4:$J$16,2),"")</f>
        <v/>
      </c>
    </row>
    <row r="235" spans="1:18" ht="17.25" customHeight="1">
      <c r="A235" s="74" t="str">
        <f t="shared" si="4"/>
        <v/>
      </c>
      <c r="R235" s="84" t="str">
        <f>IFERROR(VLOOKUP(K235,차량별사용료!$B$4:$J$16,2),"")</f>
        <v/>
      </c>
    </row>
    <row r="236" spans="1:18" ht="17.25" customHeight="1">
      <c r="A236" s="74" t="str">
        <f t="shared" si="4"/>
        <v/>
      </c>
      <c r="R236" s="84" t="str">
        <f>IFERROR(VLOOKUP(K236,차량별사용료!$B$4:$J$16,2),"")</f>
        <v/>
      </c>
    </row>
    <row r="237" spans="1:18" ht="17.25" customHeight="1">
      <c r="A237" s="74" t="str">
        <f t="shared" si="4"/>
        <v/>
      </c>
      <c r="R237" s="84" t="str">
        <f>IFERROR(VLOOKUP(K237,차량별사용료!$B$4:$J$16,2),"")</f>
        <v/>
      </c>
    </row>
    <row r="238" spans="1:18" ht="17.25" customHeight="1">
      <c r="A238" s="74" t="str">
        <f t="shared" si="4"/>
        <v/>
      </c>
      <c r="R238" s="84" t="str">
        <f>IFERROR(VLOOKUP(K238,차량별사용료!$B$4:$J$16,2),"")</f>
        <v/>
      </c>
    </row>
    <row r="239" spans="1:18" ht="17.25" customHeight="1">
      <c r="A239" s="74" t="str">
        <f t="shared" si="4"/>
        <v/>
      </c>
      <c r="R239" s="84" t="str">
        <f>IFERROR(VLOOKUP(K239,차량별사용료!$B$4:$J$16,2),"")</f>
        <v/>
      </c>
    </row>
    <row r="240" spans="1:18" ht="17.25" customHeight="1">
      <c r="A240" s="74" t="str">
        <f t="shared" si="4"/>
        <v/>
      </c>
      <c r="R240" s="84" t="str">
        <f>IFERROR(VLOOKUP(K240,차량별사용료!$B$4:$J$16,2),"")</f>
        <v/>
      </c>
    </row>
    <row r="241" spans="1:18" ht="17.25" customHeight="1">
      <c r="A241" s="74" t="str">
        <f t="shared" si="4"/>
        <v/>
      </c>
      <c r="R241" s="84" t="str">
        <f>IFERROR(VLOOKUP(K241,차량별사용료!$B$4:$J$16,2),"")</f>
        <v/>
      </c>
    </row>
    <row r="242" spans="1:18" ht="17.25" customHeight="1">
      <c r="A242" s="74" t="str">
        <f t="shared" si="4"/>
        <v/>
      </c>
      <c r="R242" s="84" t="str">
        <f>IFERROR(VLOOKUP(K242,차량별사용료!$B$4:$J$16,2),"")</f>
        <v/>
      </c>
    </row>
    <row r="243" spans="1:18" ht="17.25" customHeight="1">
      <c r="A243" s="74" t="str">
        <f t="shared" si="4"/>
        <v/>
      </c>
      <c r="R243" s="84" t="str">
        <f>IFERROR(VLOOKUP(K243,차량별사용료!$B$4:$J$16,2),"")</f>
        <v/>
      </c>
    </row>
    <row r="244" spans="1:18" ht="17.25" customHeight="1">
      <c r="A244" s="74" t="str">
        <f t="shared" si="4"/>
        <v/>
      </c>
      <c r="R244" s="84" t="str">
        <f>IFERROR(VLOOKUP(K244,차량별사용료!$B$4:$J$16,2),"")</f>
        <v/>
      </c>
    </row>
    <row r="245" spans="1:18" ht="17.25" customHeight="1">
      <c r="A245" s="74" t="str">
        <f t="shared" si="4"/>
        <v/>
      </c>
      <c r="R245" s="84" t="str">
        <f>IFERROR(VLOOKUP(K245,차량별사용료!$B$4:$J$16,2),"")</f>
        <v/>
      </c>
    </row>
    <row r="246" spans="1:18" ht="17.25" customHeight="1">
      <c r="A246" s="74" t="str">
        <f t="shared" si="4"/>
        <v/>
      </c>
      <c r="R246" s="84" t="str">
        <f>IFERROR(VLOOKUP(K246,차량별사용료!$B$4:$J$16,2),"")</f>
        <v/>
      </c>
    </row>
    <row r="247" spans="1:18" ht="17.25" customHeight="1">
      <c r="A247" s="74" t="str">
        <f t="shared" si="4"/>
        <v/>
      </c>
      <c r="R247" s="84" t="str">
        <f>IFERROR(VLOOKUP(K247,차량별사용료!$B$4:$J$16,2),"")</f>
        <v/>
      </c>
    </row>
    <row r="248" spans="1:18" ht="17.25" customHeight="1">
      <c r="A248" s="74" t="str">
        <f t="shared" si="4"/>
        <v/>
      </c>
      <c r="R248" s="84" t="str">
        <f>IFERROR(VLOOKUP(K248,차량별사용료!$B$4:$J$16,2),"")</f>
        <v/>
      </c>
    </row>
    <row r="249" spans="1:18" ht="17.25" customHeight="1">
      <c r="A249" s="74" t="str">
        <f t="shared" si="4"/>
        <v/>
      </c>
      <c r="R249" s="84" t="str">
        <f>IFERROR(VLOOKUP(K249,차량별사용료!$B$4:$J$16,2),"")</f>
        <v/>
      </c>
    </row>
    <row r="250" spans="1:18" ht="17.25" customHeight="1">
      <c r="A250" s="74" t="str">
        <f t="shared" si="4"/>
        <v/>
      </c>
      <c r="R250" s="84" t="str">
        <f>IFERROR(VLOOKUP(K250,차량별사용료!$B$4:$J$16,2),"")</f>
        <v/>
      </c>
    </row>
    <row r="251" spans="1:18" ht="17.25" customHeight="1">
      <c r="A251" s="74" t="str">
        <f t="shared" si="4"/>
        <v/>
      </c>
      <c r="R251" s="84" t="str">
        <f>IFERROR(VLOOKUP(K251,차량별사용료!$B$4:$J$16,2),"")</f>
        <v/>
      </c>
    </row>
    <row r="252" spans="1:18" ht="17.25" customHeight="1">
      <c r="A252" s="74" t="str">
        <f t="shared" si="4"/>
        <v/>
      </c>
      <c r="R252" s="84" t="str">
        <f>IFERROR(VLOOKUP(K252,차량별사용료!$B$4:$J$16,2),"")</f>
        <v/>
      </c>
    </row>
    <row r="253" spans="1:18" ht="17.25" customHeight="1">
      <c r="A253" s="74" t="str">
        <f t="shared" si="4"/>
        <v/>
      </c>
      <c r="R253" s="84" t="str">
        <f>IFERROR(VLOOKUP(K253,차량별사용료!$B$4:$J$16,2),"")</f>
        <v/>
      </c>
    </row>
    <row r="254" spans="1:18" ht="17.25" customHeight="1">
      <c r="A254" s="74" t="str">
        <f t="shared" si="4"/>
        <v/>
      </c>
      <c r="R254" s="84" t="str">
        <f>IFERROR(VLOOKUP(K254,차량별사용료!$B$4:$J$16,2),"")</f>
        <v/>
      </c>
    </row>
    <row r="255" spans="1:18" ht="17.25" customHeight="1">
      <c r="A255" s="74" t="str">
        <f t="shared" si="4"/>
        <v/>
      </c>
      <c r="R255" s="84" t="str">
        <f>IFERROR(VLOOKUP(K255,차량별사용료!$B$4:$J$16,2),"")</f>
        <v/>
      </c>
    </row>
    <row r="256" spans="1:18" ht="17.25" customHeight="1">
      <c r="A256" s="74" t="str">
        <f t="shared" si="4"/>
        <v/>
      </c>
      <c r="R256" s="84" t="str">
        <f>IFERROR(VLOOKUP(K256,차량별사용료!$B$4:$J$16,2),"")</f>
        <v/>
      </c>
    </row>
    <row r="257" spans="1:18" ht="17.25" customHeight="1">
      <c r="A257" s="74" t="str">
        <f t="shared" si="4"/>
        <v/>
      </c>
      <c r="R257" s="84" t="str">
        <f>IFERROR(VLOOKUP(K257,차량별사용료!$B$4:$J$16,2),"")</f>
        <v/>
      </c>
    </row>
    <row r="258" spans="1:18" ht="17.25" customHeight="1">
      <c r="A258" s="74" t="str">
        <f t="shared" si="4"/>
        <v/>
      </c>
      <c r="R258" s="84" t="str">
        <f>IFERROR(VLOOKUP(K258,차량별사용료!$B$4:$J$16,2),"")</f>
        <v/>
      </c>
    </row>
    <row r="259" spans="1:18" ht="17.25" customHeight="1">
      <c r="A259" s="74" t="str">
        <f t="shared" si="4"/>
        <v/>
      </c>
      <c r="R259" s="84" t="str">
        <f>IFERROR(VLOOKUP(K259,차량별사용료!$B$4:$J$16,2),"")</f>
        <v/>
      </c>
    </row>
    <row r="260" spans="1:18" ht="17.25" customHeight="1">
      <c r="A260" s="74" t="str">
        <f t="shared" ref="A260:A323" si="5">IF(B260&lt;&gt;"",ROW()-2,"")</f>
        <v/>
      </c>
      <c r="R260" s="84" t="str">
        <f>IFERROR(VLOOKUP(K260,차량별사용료!$B$4:$J$16,2),"")</f>
        <v/>
      </c>
    </row>
    <row r="261" spans="1:18" ht="17.25" customHeight="1">
      <c r="A261" s="74" t="str">
        <f t="shared" si="5"/>
        <v/>
      </c>
      <c r="R261" s="84" t="str">
        <f>IFERROR(VLOOKUP(K261,차량별사용료!$B$4:$J$16,2),"")</f>
        <v/>
      </c>
    </row>
    <row r="262" spans="1:18" ht="17.25" customHeight="1">
      <c r="A262" s="74" t="str">
        <f t="shared" si="5"/>
        <v/>
      </c>
      <c r="R262" s="84" t="str">
        <f>IFERROR(VLOOKUP(K262,차량별사용료!$B$4:$J$16,2),"")</f>
        <v/>
      </c>
    </row>
    <row r="263" spans="1:18" ht="17.25" customHeight="1">
      <c r="A263" s="74" t="str">
        <f t="shared" si="5"/>
        <v/>
      </c>
      <c r="R263" s="84" t="str">
        <f>IFERROR(VLOOKUP(K263,차량별사용료!$B$4:$J$16,2),"")</f>
        <v/>
      </c>
    </row>
    <row r="264" spans="1:18" ht="17.25" customHeight="1">
      <c r="A264" s="74" t="str">
        <f t="shared" si="5"/>
        <v/>
      </c>
      <c r="R264" s="84" t="str">
        <f>IFERROR(VLOOKUP(K264,차량별사용료!$B$4:$J$16,2),"")</f>
        <v/>
      </c>
    </row>
    <row r="265" spans="1:18" ht="17.25" customHeight="1">
      <c r="A265" s="74" t="str">
        <f t="shared" si="5"/>
        <v/>
      </c>
      <c r="R265" s="84" t="str">
        <f>IFERROR(VLOOKUP(K265,차량별사용료!$B$4:$J$16,2),"")</f>
        <v/>
      </c>
    </row>
    <row r="266" spans="1:18" ht="17.25" customHeight="1">
      <c r="A266" s="74" t="str">
        <f t="shared" si="5"/>
        <v/>
      </c>
      <c r="R266" s="84" t="str">
        <f>IFERROR(VLOOKUP(K266,차량별사용료!$B$4:$J$16,2),"")</f>
        <v/>
      </c>
    </row>
    <row r="267" spans="1:18" ht="17.25" customHeight="1">
      <c r="A267" s="74" t="str">
        <f t="shared" si="5"/>
        <v/>
      </c>
      <c r="R267" s="84" t="str">
        <f>IFERROR(VLOOKUP(K267,차량별사용료!$B$4:$J$16,2),"")</f>
        <v/>
      </c>
    </row>
    <row r="268" spans="1:18" ht="17.25" customHeight="1">
      <c r="A268" s="74" t="str">
        <f t="shared" si="5"/>
        <v/>
      </c>
      <c r="R268" s="84" t="str">
        <f>IFERROR(VLOOKUP(K268,차량별사용료!$B$4:$J$16,2),"")</f>
        <v/>
      </c>
    </row>
    <row r="269" spans="1:18" ht="17.25" customHeight="1">
      <c r="A269" s="74" t="str">
        <f t="shared" si="5"/>
        <v/>
      </c>
      <c r="R269" s="84" t="str">
        <f>IFERROR(VLOOKUP(K269,차량별사용료!$B$4:$J$16,2),"")</f>
        <v/>
      </c>
    </row>
    <row r="270" spans="1:18" ht="17.25" customHeight="1">
      <c r="A270" s="74" t="str">
        <f t="shared" si="5"/>
        <v/>
      </c>
      <c r="R270" s="84" t="str">
        <f>IFERROR(VLOOKUP(K270,차량별사용료!$B$4:$J$16,2),"")</f>
        <v/>
      </c>
    </row>
    <row r="271" spans="1:18" ht="17.25" customHeight="1">
      <c r="A271" s="74" t="str">
        <f t="shared" si="5"/>
        <v/>
      </c>
      <c r="R271" s="84" t="str">
        <f>IFERROR(VLOOKUP(K271,차량별사용료!$B$4:$J$16,2),"")</f>
        <v/>
      </c>
    </row>
    <row r="272" spans="1:18" ht="17.25" customHeight="1">
      <c r="A272" s="74" t="str">
        <f t="shared" si="5"/>
        <v/>
      </c>
      <c r="R272" s="84" t="str">
        <f>IFERROR(VLOOKUP(K272,차량별사용료!$B$4:$J$16,2),"")</f>
        <v/>
      </c>
    </row>
    <row r="273" spans="1:18" ht="17.25" customHeight="1">
      <c r="A273" s="74" t="str">
        <f t="shared" si="5"/>
        <v/>
      </c>
      <c r="R273" s="84" t="str">
        <f>IFERROR(VLOOKUP(K273,차량별사용료!$B$4:$J$16,2),"")</f>
        <v/>
      </c>
    </row>
    <row r="274" spans="1:18" ht="17.25" customHeight="1">
      <c r="A274" s="74" t="str">
        <f t="shared" si="5"/>
        <v/>
      </c>
      <c r="R274" s="84" t="str">
        <f>IFERROR(VLOOKUP(K274,차량별사용료!$B$4:$J$16,2),"")</f>
        <v/>
      </c>
    </row>
    <row r="275" spans="1:18" ht="17.25" customHeight="1">
      <c r="A275" s="74" t="str">
        <f t="shared" si="5"/>
        <v/>
      </c>
      <c r="R275" s="84" t="str">
        <f>IFERROR(VLOOKUP(K275,차량별사용료!$B$4:$J$16,2),"")</f>
        <v/>
      </c>
    </row>
    <row r="276" spans="1:18" ht="17.25" customHeight="1">
      <c r="A276" s="74" t="str">
        <f t="shared" si="5"/>
        <v/>
      </c>
      <c r="R276" s="84" t="str">
        <f>IFERROR(VLOOKUP(K276,차량별사용료!$B$4:$J$16,2),"")</f>
        <v/>
      </c>
    </row>
    <row r="277" spans="1:18" ht="17.25" customHeight="1">
      <c r="A277" s="74" t="str">
        <f t="shared" si="5"/>
        <v/>
      </c>
      <c r="R277" s="84" t="str">
        <f>IFERROR(VLOOKUP(K277,차량별사용료!$B$4:$J$16,2),"")</f>
        <v/>
      </c>
    </row>
    <row r="278" spans="1:18" ht="17.25" customHeight="1">
      <c r="A278" s="74" t="str">
        <f t="shared" si="5"/>
        <v/>
      </c>
      <c r="R278" s="84" t="str">
        <f>IFERROR(VLOOKUP(K278,차량별사용료!$B$4:$J$16,2),"")</f>
        <v/>
      </c>
    </row>
    <row r="279" spans="1:18" ht="17.25" customHeight="1">
      <c r="A279" s="74" t="str">
        <f t="shared" si="5"/>
        <v/>
      </c>
      <c r="R279" s="84" t="str">
        <f>IFERROR(VLOOKUP(K279,차량별사용료!$B$4:$J$16,2),"")</f>
        <v/>
      </c>
    </row>
    <row r="280" spans="1:18" ht="17.25" customHeight="1">
      <c r="A280" s="74" t="str">
        <f t="shared" si="5"/>
        <v/>
      </c>
      <c r="R280" s="84" t="str">
        <f>IFERROR(VLOOKUP(K280,차량별사용료!$B$4:$J$16,2),"")</f>
        <v/>
      </c>
    </row>
    <row r="281" spans="1:18" ht="17.25" customHeight="1">
      <c r="A281" s="74" t="str">
        <f t="shared" si="5"/>
        <v/>
      </c>
      <c r="R281" s="84" t="str">
        <f>IFERROR(VLOOKUP(K281,차량별사용료!$B$4:$J$16,2),"")</f>
        <v/>
      </c>
    </row>
    <row r="282" spans="1:18" ht="17.25" customHeight="1">
      <c r="A282" s="74" t="str">
        <f t="shared" si="5"/>
        <v/>
      </c>
      <c r="R282" s="84" t="str">
        <f>IFERROR(VLOOKUP(K282,차량별사용료!$B$4:$J$16,2),"")</f>
        <v/>
      </c>
    </row>
    <row r="283" spans="1:18" ht="17.25" customHeight="1">
      <c r="A283" s="74" t="str">
        <f t="shared" si="5"/>
        <v/>
      </c>
      <c r="R283" s="84" t="str">
        <f>IFERROR(VLOOKUP(K283,차량별사용료!$B$4:$J$16,2),"")</f>
        <v/>
      </c>
    </row>
    <row r="284" spans="1:18" ht="17.25" customHeight="1">
      <c r="A284" s="74" t="str">
        <f t="shared" si="5"/>
        <v/>
      </c>
      <c r="R284" s="84" t="str">
        <f>IFERROR(VLOOKUP(K284,차량별사용료!$B$4:$J$16,2),"")</f>
        <v/>
      </c>
    </row>
    <row r="285" spans="1:18" ht="17.25" customHeight="1">
      <c r="A285" s="74" t="str">
        <f t="shared" si="5"/>
        <v/>
      </c>
      <c r="R285" s="84" t="str">
        <f>IFERROR(VLOOKUP(K285,차량별사용료!$B$4:$J$16,2),"")</f>
        <v/>
      </c>
    </row>
    <row r="286" spans="1:18" ht="17.25" customHeight="1">
      <c r="A286" s="74" t="str">
        <f t="shared" si="5"/>
        <v/>
      </c>
      <c r="R286" s="84" t="str">
        <f>IFERROR(VLOOKUP(K286,차량별사용료!$B$4:$J$16,2),"")</f>
        <v/>
      </c>
    </row>
    <row r="287" spans="1:18" ht="17.25" customHeight="1">
      <c r="A287" s="74" t="str">
        <f t="shared" si="5"/>
        <v/>
      </c>
      <c r="R287" s="84" t="str">
        <f>IFERROR(VLOOKUP(K287,차량별사용료!$B$4:$J$16,2),"")</f>
        <v/>
      </c>
    </row>
    <row r="288" spans="1:18" ht="17.25" customHeight="1">
      <c r="A288" s="74" t="str">
        <f t="shared" si="5"/>
        <v/>
      </c>
      <c r="R288" s="84" t="str">
        <f>IFERROR(VLOOKUP(K288,차량별사용료!$B$4:$J$16,2),"")</f>
        <v/>
      </c>
    </row>
    <row r="289" spans="1:18" ht="17.25" customHeight="1">
      <c r="A289" s="74" t="str">
        <f t="shared" si="5"/>
        <v/>
      </c>
      <c r="R289" s="84" t="str">
        <f>IFERROR(VLOOKUP(K289,차량별사용료!$B$4:$J$16,2),"")</f>
        <v/>
      </c>
    </row>
    <row r="290" spans="1:18" ht="17.25" customHeight="1">
      <c r="A290" s="74" t="str">
        <f t="shared" si="5"/>
        <v/>
      </c>
      <c r="R290" s="84" t="str">
        <f>IFERROR(VLOOKUP(K290,차량별사용료!$B$4:$J$16,2),"")</f>
        <v/>
      </c>
    </row>
    <row r="291" spans="1:18" ht="17.25" customHeight="1">
      <c r="A291" s="74" t="str">
        <f t="shared" si="5"/>
        <v/>
      </c>
      <c r="R291" s="84" t="str">
        <f>IFERROR(VLOOKUP(K291,차량별사용료!$B$4:$J$16,2),"")</f>
        <v/>
      </c>
    </row>
    <row r="292" spans="1:18" ht="17.25" customHeight="1">
      <c r="A292" s="74" t="str">
        <f t="shared" si="5"/>
        <v/>
      </c>
      <c r="R292" s="84" t="str">
        <f>IFERROR(VLOOKUP(K292,차량별사용료!$B$4:$J$16,2),"")</f>
        <v/>
      </c>
    </row>
    <row r="293" spans="1:18" ht="17.25" customHeight="1">
      <c r="A293" s="74" t="str">
        <f t="shared" si="5"/>
        <v/>
      </c>
      <c r="R293" s="84" t="str">
        <f>IFERROR(VLOOKUP(K293,차량별사용료!$B$4:$J$16,2),"")</f>
        <v/>
      </c>
    </row>
    <row r="294" spans="1:18" ht="17.25" customHeight="1">
      <c r="A294" s="74" t="str">
        <f t="shared" si="5"/>
        <v/>
      </c>
      <c r="R294" s="84" t="str">
        <f>IFERROR(VLOOKUP(K294,차량별사용료!$B$4:$J$16,2),"")</f>
        <v/>
      </c>
    </row>
    <row r="295" spans="1:18" ht="17.25" customHeight="1">
      <c r="A295" s="74" t="str">
        <f t="shared" si="5"/>
        <v/>
      </c>
      <c r="R295" s="84" t="str">
        <f>IFERROR(VLOOKUP(K295,차량별사용료!$B$4:$J$16,2),"")</f>
        <v/>
      </c>
    </row>
    <row r="296" spans="1:18" ht="17.25" customHeight="1">
      <c r="A296" s="74" t="str">
        <f t="shared" si="5"/>
        <v/>
      </c>
      <c r="R296" s="84" t="str">
        <f>IFERROR(VLOOKUP(K296,차량별사용료!$B$4:$J$16,2),"")</f>
        <v/>
      </c>
    </row>
    <row r="297" spans="1:18" ht="17.25" customHeight="1">
      <c r="A297" s="74" t="str">
        <f t="shared" si="5"/>
        <v/>
      </c>
      <c r="R297" s="84" t="str">
        <f>IFERROR(VLOOKUP(K297,차량별사용료!$B$4:$J$16,2),"")</f>
        <v/>
      </c>
    </row>
    <row r="298" spans="1:18" ht="17.25" customHeight="1">
      <c r="A298" s="74" t="str">
        <f t="shared" si="5"/>
        <v/>
      </c>
      <c r="R298" s="84" t="str">
        <f>IFERROR(VLOOKUP(K298,차량별사용료!$B$4:$J$16,2),"")</f>
        <v/>
      </c>
    </row>
    <row r="299" spans="1:18" ht="17.25" customHeight="1">
      <c r="A299" s="74" t="str">
        <f t="shared" si="5"/>
        <v/>
      </c>
      <c r="R299" s="84" t="str">
        <f>IFERROR(VLOOKUP(K299,차량별사용료!$B$4:$J$16,2),"")</f>
        <v/>
      </c>
    </row>
    <row r="300" spans="1:18" ht="17.25" customHeight="1">
      <c r="A300" s="74" t="str">
        <f t="shared" si="5"/>
        <v/>
      </c>
      <c r="R300" s="84" t="str">
        <f>IFERROR(VLOOKUP(K300,차량별사용료!$B$4:$J$16,2),"")</f>
        <v/>
      </c>
    </row>
    <row r="301" spans="1:18" ht="17.25" customHeight="1">
      <c r="A301" s="74" t="str">
        <f t="shared" si="5"/>
        <v/>
      </c>
      <c r="R301" s="84" t="str">
        <f>IFERROR(VLOOKUP(K301,차량별사용료!$B$4:$J$16,2),"")</f>
        <v/>
      </c>
    </row>
    <row r="302" spans="1:18" ht="17.25" customHeight="1">
      <c r="A302" s="74" t="str">
        <f t="shared" si="5"/>
        <v/>
      </c>
      <c r="R302" s="84" t="str">
        <f>IFERROR(VLOOKUP(K302,차량별사용료!$B$4:$J$16,2),"")</f>
        <v/>
      </c>
    </row>
    <row r="303" spans="1:18" ht="17.25" customHeight="1">
      <c r="A303" s="74" t="str">
        <f t="shared" si="5"/>
        <v/>
      </c>
      <c r="R303" s="84" t="str">
        <f>IFERROR(VLOOKUP(K303,차량별사용료!$B$4:$J$16,2),"")</f>
        <v/>
      </c>
    </row>
    <row r="304" spans="1:18" ht="17.25" customHeight="1">
      <c r="A304" s="74" t="str">
        <f t="shared" si="5"/>
        <v/>
      </c>
      <c r="R304" s="84" t="str">
        <f>IFERROR(VLOOKUP(K304,차량별사용료!$B$4:$J$16,2),"")</f>
        <v/>
      </c>
    </row>
    <row r="305" spans="1:18" ht="17.25" customHeight="1">
      <c r="A305" s="74" t="str">
        <f t="shared" si="5"/>
        <v/>
      </c>
      <c r="R305" s="84" t="str">
        <f>IFERROR(VLOOKUP(K305,차량별사용료!$B$4:$J$16,2),"")</f>
        <v/>
      </c>
    </row>
    <row r="306" spans="1:18" ht="17.25" customHeight="1">
      <c r="A306" s="74" t="str">
        <f t="shared" si="5"/>
        <v/>
      </c>
      <c r="R306" s="84" t="str">
        <f>IFERROR(VLOOKUP(K306,차량별사용료!$B$4:$J$16,2),"")</f>
        <v/>
      </c>
    </row>
    <row r="307" spans="1:18" ht="17.25" customHeight="1">
      <c r="A307" s="74" t="str">
        <f t="shared" si="5"/>
        <v/>
      </c>
      <c r="R307" s="84" t="str">
        <f>IFERROR(VLOOKUP(K307,차량별사용료!$B$4:$J$16,2),"")</f>
        <v/>
      </c>
    </row>
    <row r="308" spans="1:18" ht="17.25" customHeight="1">
      <c r="A308" s="74" t="str">
        <f t="shared" si="5"/>
        <v/>
      </c>
      <c r="R308" s="84" t="str">
        <f>IFERROR(VLOOKUP(K308,차량별사용료!$B$4:$J$16,2),"")</f>
        <v/>
      </c>
    </row>
    <row r="309" spans="1:18" ht="17.25" customHeight="1">
      <c r="A309" s="74" t="str">
        <f t="shared" si="5"/>
        <v/>
      </c>
      <c r="R309" s="84" t="str">
        <f>IFERROR(VLOOKUP(K309,차량별사용료!$B$4:$J$16,2),"")</f>
        <v/>
      </c>
    </row>
    <row r="310" spans="1:18" ht="17.25" customHeight="1">
      <c r="A310" s="74" t="str">
        <f t="shared" si="5"/>
        <v/>
      </c>
      <c r="R310" s="84" t="str">
        <f>IFERROR(VLOOKUP(K310,차량별사용료!$B$4:$J$16,2),"")</f>
        <v/>
      </c>
    </row>
    <row r="311" spans="1:18" ht="17.25" customHeight="1">
      <c r="A311" s="74" t="str">
        <f t="shared" si="5"/>
        <v/>
      </c>
      <c r="R311" s="84" t="str">
        <f>IFERROR(VLOOKUP(K311,차량별사용료!$B$4:$J$16,2),"")</f>
        <v/>
      </c>
    </row>
    <row r="312" spans="1:18" ht="17.25" customHeight="1">
      <c r="A312" s="74" t="str">
        <f t="shared" si="5"/>
        <v/>
      </c>
      <c r="R312" s="84" t="str">
        <f>IFERROR(VLOOKUP(K312,차량별사용료!$B$4:$J$16,2),"")</f>
        <v/>
      </c>
    </row>
    <row r="313" spans="1:18" ht="17.25" customHeight="1">
      <c r="A313" s="74" t="str">
        <f t="shared" si="5"/>
        <v/>
      </c>
      <c r="R313" s="84" t="str">
        <f>IFERROR(VLOOKUP(K313,차량별사용료!$B$4:$J$16,2),"")</f>
        <v/>
      </c>
    </row>
    <row r="314" spans="1:18" ht="17.25" customHeight="1">
      <c r="A314" s="74" t="str">
        <f t="shared" si="5"/>
        <v/>
      </c>
      <c r="R314" s="84" t="str">
        <f>IFERROR(VLOOKUP(K314,차량별사용료!$B$4:$J$16,2),"")</f>
        <v/>
      </c>
    </row>
    <row r="315" spans="1:18" ht="17.25" customHeight="1">
      <c r="A315" s="74" t="str">
        <f t="shared" si="5"/>
        <v/>
      </c>
      <c r="R315" s="84" t="str">
        <f>IFERROR(VLOOKUP(K315,차량별사용료!$B$4:$J$16,2),"")</f>
        <v/>
      </c>
    </row>
    <row r="316" spans="1:18" ht="17.25" customHeight="1">
      <c r="A316" s="74" t="str">
        <f t="shared" si="5"/>
        <v/>
      </c>
      <c r="R316" s="84" t="str">
        <f>IFERROR(VLOOKUP(K316,차량별사용료!$B$4:$J$16,2),"")</f>
        <v/>
      </c>
    </row>
    <row r="317" spans="1:18" ht="17.25" customHeight="1">
      <c r="A317" s="74" t="str">
        <f t="shared" si="5"/>
        <v/>
      </c>
      <c r="R317" s="84" t="str">
        <f>IFERROR(VLOOKUP(K317,차량별사용료!$B$4:$J$16,2),"")</f>
        <v/>
      </c>
    </row>
    <row r="318" spans="1:18" ht="17.25" customHeight="1">
      <c r="A318" s="74" t="str">
        <f t="shared" si="5"/>
        <v/>
      </c>
      <c r="R318" s="84" t="str">
        <f>IFERROR(VLOOKUP(K318,차량별사용료!$B$4:$J$16,2),"")</f>
        <v/>
      </c>
    </row>
    <row r="319" spans="1:18" ht="17.25" customHeight="1">
      <c r="A319" s="74" t="str">
        <f t="shared" si="5"/>
        <v/>
      </c>
      <c r="R319" s="84" t="str">
        <f>IFERROR(VLOOKUP(K319,차량별사용료!$B$4:$J$16,2),"")</f>
        <v/>
      </c>
    </row>
    <row r="320" spans="1:18" ht="17.25" customHeight="1">
      <c r="A320" s="74" t="str">
        <f t="shared" si="5"/>
        <v/>
      </c>
      <c r="R320" s="84" t="str">
        <f>IFERROR(VLOOKUP(K320,차량별사용료!$B$4:$J$16,2),"")</f>
        <v/>
      </c>
    </row>
    <row r="321" spans="1:18" ht="17.25" customHeight="1">
      <c r="A321" s="74" t="str">
        <f t="shared" si="5"/>
        <v/>
      </c>
      <c r="R321" s="84" t="str">
        <f>IFERROR(VLOOKUP(K321,차량별사용료!$B$4:$J$16,2),"")</f>
        <v/>
      </c>
    </row>
    <row r="322" spans="1:18" ht="17.25" customHeight="1">
      <c r="A322" s="74" t="str">
        <f t="shared" si="5"/>
        <v/>
      </c>
      <c r="R322" s="84" t="str">
        <f>IFERROR(VLOOKUP(K322,차량별사용료!$B$4:$J$16,2),"")</f>
        <v/>
      </c>
    </row>
    <row r="323" spans="1:18" ht="17.25" customHeight="1">
      <c r="A323" s="74" t="str">
        <f t="shared" si="5"/>
        <v/>
      </c>
      <c r="R323" s="84" t="str">
        <f>IFERROR(VLOOKUP(K323,차량별사용료!$B$4:$J$16,2),"")</f>
        <v/>
      </c>
    </row>
    <row r="324" spans="1:18" ht="17.25" customHeight="1">
      <c r="A324" s="74" t="str">
        <f t="shared" ref="A324:A387" si="6">IF(B324&lt;&gt;"",ROW()-2,"")</f>
        <v/>
      </c>
      <c r="R324" s="84" t="str">
        <f>IFERROR(VLOOKUP(K324,차량별사용료!$B$4:$J$16,2),"")</f>
        <v/>
      </c>
    </row>
    <row r="325" spans="1:18" ht="17.25" customHeight="1">
      <c r="A325" s="74" t="str">
        <f t="shared" si="6"/>
        <v/>
      </c>
      <c r="R325" s="84" t="str">
        <f>IFERROR(VLOOKUP(K325,차량별사용료!$B$4:$J$16,2),"")</f>
        <v/>
      </c>
    </row>
    <row r="326" spans="1:18" ht="17.25" customHeight="1">
      <c r="A326" s="74" t="str">
        <f t="shared" si="6"/>
        <v/>
      </c>
      <c r="R326" s="84" t="str">
        <f>IFERROR(VLOOKUP(K326,차량별사용료!$B$4:$J$16,2),"")</f>
        <v/>
      </c>
    </row>
    <row r="327" spans="1:18" ht="17.25" customHeight="1">
      <c r="A327" s="74" t="str">
        <f t="shared" si="6"/>
        <v/>
      </c>
      <c r="R327" s="84" t="str">
        <f>IFERROR(VLOOKUP(K327,차량별사용료!$B$4:$J$16,2),"")</f>
        <v/>
      </c>
    </row>
    <row r="328" spans="1:18" ht="17.25" customHeight="1">
      <c r="A328" s="74" t="str">
        <f t="shared" si="6"/>
        <v/>
      </c>
      <c r="R328" s="84" t="str">
        <f>IFERROR(VLOOKUP(K328,차량별사용료!$B$4:$J$16,2),"")</f>
        <v/>
      </c>
    </row>
    <row r="329" spans="1:18" ht="17.25" customHeight="1">
      <c r="A329" s="74" t="str">
        <f t="shared" si="6"/>
        <v/>
      </c>
      <c r="R329" s="84" t="str">
        <f>IFERROR(VLOOKUP(K329,차량별사용료!$B$4:$J$16,2),"")</f>
        <v/>
      </c>
    </row>
    <row r="330" spans="1:18" ht="17.25" customHeight="1">
      <c r="A330" s="74" t="str">
        <f t="shared" si="6"/>
        <v/>
      </c>
      <c r="R330" s="84" t="str">
        <f>IFERROR(VLOOKUP(K330,차량별사용료!$B$4:$J$16,2),"")</f>
        <v/>
      </c>
    </row>
    <row r="331" spans="1:18" ht="17.25" customHeight="1">
      <c r="A331" s="74" t="str">
        <f t="shared" si="6"/>
        <v/>
      </c>
      <c r="R331" s="84" t="str">
        <f>IFERROR(VLOOKUP(K331,차량별사용료!$B$4:$J$16,2),"")</f>
        <v/>
      </c>
    </row>
    <row r="332" spans="1:18" ht="17.25" customHeight="1">
      <c r="A332" s="74" t="str">
        <f t="shared" si="6"/>
        <v/>
      </c>
      <c r="R332" s="84" t="str">
        <f>IFERROR(VLOOKUP(K332,차량별사용료!$B$4:$J$16,2),"")</f>
        <v/>
      </c>
    </row>
    <row r="333" spans="1:18" ht="17.25" customHeight="1">
      <c r="A333" s="74" t="str">
        <f t="shared" si="6"/>
        <v/>
      </c>
      <c r="R333" s="84" t="str">
        <f>IFERROR(VLOOKUP(K333,차량별사용료!$B$4:$J$16,2),"")</f>
        <v/>
      </c>
    </row>
    <row r="334" spans="1:18" ht="17.25" customHeight="1">
      <c r="A334" s="74" t="str">
        <f t="shared" si="6"/>
        <v/>
      </c>
      <c r="R334" s="84" t="str">
        <f>IFERROR(VLOOKUP(K334,차량별사용료!$B$4:$J$16,2),"")</f>
        <v/>
      </c>
    </row>
    <row r="335" spans="1:18" ht="17.25" customHeight="1">
      <c r="A335" s="74" t="str">
        <f t="shared" si="6"/>
        <v/>
      </c>
      <c r="R335" s="84" t="str">
        <f>IFERROR(VLOOKUP(K335,차량별사용료!$B$4:$J$16,2),"")</f>
        <v/>
      </c>
    </row>
    <row r="336" spans="1:18" ht="17.25" customHeight="1">
      <c r="A336" s="74" t="str">
        <f t="shared" si="6"/>
        <v/>
      </c>
      <c r="R336" s="84" t="str">
        <f>IFERROR(VLOOKUP(K336,차량별사용료!$B$4:$J$16,2),"")</f>
        <v/>
      </c>
    </row>
    <row r="337" spans="1:18" ht="17.25" customHeight="1">
      <c r="A337" s="74" t="str">
        <f t="shared" si="6"/>
        <v/>
      </c>
      <c r="R337" s="84" t="str">
        <f>IFERROR(VLOOKUP(K337,차량별사용료!$B$4:$J$16,2),"")</f>
        <v/>
      </c>
    </row>
    <row r="338" spans="1:18" ht="17.25" customHeight="1">
      <c r="A338" s="74" t="str">
        <f t="shared" si="6"/>
        <v/>
      </c>
      <c r="R338" s="84" t="str">
        <f>IFERROR(VLOOKUP(K338,차량별사용료!$B$4:$J$16,2),"")</f>
        <v/>
      </c>
    </row>
    <row r="339" spans="1:18" ht="17.25" customHeight="1">
      <c r="A339" s="74" t="str">
        <f t="shared" si="6"/>
        <v/>
      </c>
      <c r="R339" s="84" t="str">
        <f>IFERROR(VLOOKUP(K339,차량별사용료!$B$4:$J$16,2),"")</f>
        <v/>
      </c>
    </row>
    <row r="340" spans="1:18" ht="17.25" customHeight="1">
      <c r="A340" s="74" t="str">
        <f t="shared" si="6"/>
        <v/>
      </c>
      <c r="R340" s="84" t="str">
        <f>IFERROR(VLOOKUP(K340,차량별사용료!$B$4:$J$16,2),"")</f>
        <v/>
      </c>
    </row>
    <row r="341" spans="1:18" ht="17.25" customHeight="1">
      <c r="A341" s="74" t="str">
        <f t="shared" si="6"/>
        <v/>
      </c>
      <c r="R341" s="84" t="str">
        <f>IFERROR(VLOOKUP(K341,차량별사용료!$B$4:$J$16,2),"")</f>
        <v/>
      </c>
    </row>
    <row r="342" spans="1:18" ht="17.25" customHeight="1">
      <c r="A342" s="74" t="str">
        <f t="shared" si="6"/>
        <v/>
      </c>
      <c r="R342" s="84" t="str">
        <f>IFERROR(VLOOKUP(K342,차량별사용료!$B$4:$J$16,2),"")</f>
        <v/>
      </c>
    </row>
    <row r="343" spans="1:18" ht="17.25" customHeight="1">
      <c r="A343" s="74" t="str">
        <f t="shared" si="6"/>
        <v/>
      </c>
      <c r="R343" s="84" t="str">
        <f>IFERROR(VLOOKUP(K343,차량별사용료!$B$4:$J$16,2),"")</f>
        <v/>
      </c>
    </row>
    <row r="344" spans="1:18" ht="17.25" customHeight="1">
      <c r="A344" s="74" t="str">
        <f t="shared" si="6"/>
        <v/>
      </c>
      <c r="R344" s="84" t="str">
        <f>IFERROR(VLOOKUP(K344,차량별사용료!$B$4:$J$16,2),"")</f>
        <v/>
      </c>
    </row>
    <row r="345" spans="1:18" ht="17.25" customHeight="1">
      <c r="A345" s="74" t="str">
        <f t="shared" si="6"/>
        <v/>
      </c>
      <c r="R345" s="84" t="str">
        <f>IFERROR(VLOOKUP(K345,차량별사용료!$B$4:$J$16,2),"")</f>
        <v/>
      </c>
    </row>
    <row r="346" spans="1:18" ht="17.25" customHeight="1">
      <c r="A346" s="74" t="str">
        <f t="shared" si="6"/>
        <v/>
      </c>
      <c r="R346" s="84" t="str">
        <f>IFERROR(VLOOKUP(K346,차량별사용료!$B$4:$J$16,2),"")</f>
        <v/>
      </c>
    </row>
    <row r="347" spans="1:18" ht="17.25" customHeight="1">
      <c r="A347" s="74" t="str">
        <f t="shared" si="6"/>
        <v/>
      </c>
      <c r="R347" s="84" t="str">
        <f>IFERROR(VLOOKUP(K347,차량별사용료!$B$4:$J$16,2),"")</f>
        <v/>
      </c>
    </row>
    <row r="348" spans="1:18" ht="17.25" customHeight="1">
      <c r="A348" s="74" t="str">
        <f t="shared" si="6"/>
        <v/>
      </c>
      <c r="R348" s="84" t="str">
        <f>IFERROR(VLOOKUP(K348,차량별사용료!$B$4:$J$16,2),"")</f>
        <v/>
      </c>
    </row>
    <row r="349" spans="1:18" ht="17.25" customHeight="1">
      <c r="A349" s="74" t="str">
        <f t="shared" si="6"/>
        <v/>
      </c>
      <c r="R349" s="84" t="str">
        <f>IFERROR(VLOOKUP(K349,차량별사용료!$B$4:$J$16,2),"")</f>
        <v/>
      </c>
    </row>
    <row r="350" spans="1:18" ht="17.25" customHeight="1">
      <c r="A350" s="74" t="str">
        <f t="shared" si="6"/>
        <v/>
      </c>
      <c r="R350" s="84" t="str">
        <f>IFERROR(VLOOKUP(K350,차량별사용료!$B$4:$J$16,2),"")</f>
        <v/>
      </c>
    </row>
    <row r="351" spans="1:18" ht="17.25" customHeight="1">
      <c r="A351" s="74" t="str">
        <f t="shared" si="6"/>
        <v/>
      </c>
      <c r="R351" s="84" t="str">
        <f>IFERROR(VLOOKUP(K351,차량별사용료!$B$4:$J$16,2),"")</f>
        <v/>
      </c>
    </row>
    <row r="352" spans="1:18" ht="17.25" customHeight="1">
      <c r="A352" s="74" t="str">
        <f t="shared" si="6"/>
        <v/>
      </c>
      <c r="R352" s="84" t="str">
        <f>IFERROR(VLOOKUP(K352,차량별사용료!$B$4:$J$16,2),"")</f>
        <v/>
      </c>
    </row>
    <row r="353" spans="1:18" ht="17.25" customHeight="1">
      <c r="A353" s="74" t="str">
        <f t="shared" si="6"/>
        <v/>
      </c>
      <c r="R353" s="84" t="str">
        <f>IFERROR(VLOOKUP(K353,차량별사용료!$B$4:$J$16,2),"")</f>
        <v/>
      </c>
    </row>
    <row r="354" spans="1:18" ht="17.25" customHeight="1">
      <c r="A354" s="74" t="str">
        <f t="shared" si="6"/>
        <v/>
      </c>
      <c r="R354" s="84" t="str">
        <f>IFERROR(VLOOKUP(K354,차량별사용료!$B$4:$J$16,2),"")</f>
        <v/>
      </c>
    </row>
    <row r="355" spans="1:18" ht="17.25" customHeight="1">
      <c r="A355" s="74" t="str">
        <f t="shared" si="6"/>
        <v/>
      </c>
      <c r="R355" s="84" t="str">
        <f>IFERROR(VLOOKUP(K355,차량별사용료!$B$4:$J$16,2),"")</f>
        <v/>
      </c>
    </row>
    <row r="356" spans="1:18" ht="17.25" customHeight="1">
      <c r="A356" s="74" t="str">
        <f t="shared" si="6"/>
        <v/>
      </c>
      <c r="R356" s="84" t="str">
        <f>IFERROR(VLOOKUP(K356,차량별사용료!$B$4:$J$16,2),"")</f>
        <v/>
      </c>
    </row>
    <row r="357" spans="1:18" ht="17.25" customHeight="1">
      <c r="A357" s="74" t="str">
        <f t="shared" si="6"/>
        <v/>
      </c>
      <c r="R357" s="84" t="str">
        <f>IFERROR(VLOOKUP(K357,차량별사용료!$B$4:$J$16,2),"")</f>
        <v/>
      </c>
    </row>
    <row r="358" spans="1:18" ht="17.25" customHeight="1">
      <c r="A358" s="74" t="str">
        <f t="shared" si="6"/>
        <v/>
      </c>
      <c r="R358" s="84" t="str">
        <f>IFERROR(VLOOKUP(K358,차량별사용료!$B$4:$J$16,2),"")</f>
        <v/>
      </c>
    </row>
    <row r="359" spans="1:18" ht="17.25" customHeight="1">
      <c r="A359" s="74" t="str">
        <f t="shared" si="6"/>
        <v/>
      </c>
      <c r="R359" s="84" t="str">
        <f>IFERROR(VLOOKUP(K359,차량별사용료!$B$4:$J$16,2),"")</f>
        <v/>
      </c>
    </row>
    <row r="360" spans="1:18" ht="17.25" customHeight="1">
      <c r="A360" s="74" t="str">
        <f t="shared" si="6"/>
        <v/>
      </c>
      <c r="R360" s="84" t="str">
        <f>IFERROR(VLOOKUP(K360,차량별사용료!$B$4:$J$16,2),"")</f>
        <v/>
      </c>
    </row>
    <row r="361" spans="1:18" ht="17.25" customHeight="1">
      <c r="A361" s="74" t="str">
        <f t="shared" si="6"/>
        <v/>
      </c>
      <c r="R361" s="84" t="str">
        <f>IFERROR(VLOOKUP(K361,차량별사용료!$B$4:$J$16,2),"")</f>
        <v/>
      </c>
    </row>
    <row r="362" spans="1:18" ht="17.25" customHeight="1">
      <c r="A362" s="74" t="str">
        <f t="shared" si="6"/>
        <v/>
      </c>
      <c r="R362" s="84" t="str">
        <f>IFERROR(VLOOKUP(K362,차량별사용료!$B$4:$J$16,2),"")</f>
        <v/>
      </c>
    </row>
    <row r="363" spans="1:18" ht="17.25" customHeight="1">
      <c r="A363" s="74" t="str">
        <f t="shared" si="6"/>
        <v/>
      </c>
      <c r="R363" s="84" t="str">
        <f>IFERROR(VLOOKUP(K363,차량별사용료!$B$4:$J$16,2),"")</f>
        <v/>
      </c>
    </row>
    <row r="364" spans="1:18" ht="17.25" customHeight="1">
      <c r="A364" s="74" t="str">
        <f t="shared" si="6"/>
        <v/>
      </c>
      <c r="R364" s="84" t="str">
        <f>IFERROR(VLOOKUP(K364,차량별사용료!$B$4:$J$16,2),"")</f>
        <v/>
      </c>
    </row>
    <row r="365" spans="1:18" ht="17.25" customHeight="1">
      <c r="A365" s="74" t="str">
        <f t="shared" si="6"/>
        <v/>
      </c>
      <c r="R365" s="84" t="str">
        <f>IFERROR(VLOOKUP(K365,차량별사용료!$B$4:$J$16,2),"")</f>
        <v/>
      </c>
    </row>
    <row r="366" spans="1:18" ht="17.25" customHeight="1">
      <c r="A366" s="74" t="str">
        <f t="shared" si="6"/>
        <v/>
      </c>
      <c r="R366" s="84" t="str">
        <f>IFERROR(VLOOKUP(K366,차량별사용료!$B$4:$J$16,2),"")</f>
        <v/>
      </c>
    </row>
    <row r="367" spans="1:18" ht="17.25" customHeight="1">
      <c r="A367" s="74" t="str">
        <f t="shared" si="6"/>
        <v/>
      </c>
      <c r="R367" s="84" t="str">
        <f>IFERROR(VLOOKUP(K367,차량별사용료!$B$4:$J$16,2),"")</f>
        <v/>
      </c>
    </row>
    <row r="368" spans="1:18" ht="17.25" customHeight="1">
      <c r="A368" s="74" t="str">
        <f t="shared" si="6"/>
        <v/>
      </c>
      <c r="R368" s="84" t="str">
        <f>IFERROR(VLOOKUP(K368,차량별사용료!$B$4:$J$16,2),"")</f>
        <v/>
      </c>
    </row>
    <row r="369" spans="1:18" ht="17.25" customHeight="1">
      <c r="A369" s="74" t="str">
        <f t="shared" si="6"/>
        <v/>
      </c>
      <c r="R369" s="84" t="str">
        <f>IFERROR(VLOOKUP(K369,차량별사용료!$B$4:$J$16,2),"")</f>
        <v/>
      </c>
    </row>
    <row r="370" spans="1:18" ht="17.25" customHeight="1">
      <c r="A370" s="74" t="str">
        <f t="shared" si="6"/>
        <v/>
      </c>
      <c r="R370" s="84" t="str">
        <f>IFERROR(VLOOKUP(K370,차량별사용료!$B$4:$J$16,2),"")</f>
        <v/>
      </c>
    </row>
    <row r="371" spans="1:18" ht="17.25" customHeight="1">
      <c r="A371" s="74" t="str">
        <f t="shared" si="6"/>
        <v/>
      </c>
      <c r="R371" s="84" t="str">
        <f>IFERROR(VLOOKUP(K371,차량별사용료!$B$4:$J$16,2),"")</f>
        <v/>
      </c>
    </row>
    <row r="372" spans="1:18" ht="17.25" customHeight="1">
      <c r="A372" s="74" t="str">
        <f t="shared" si="6"/>
        <v/>
      </c>
      <c r="R372" s="84" t="str">
        <f>IFERROR(VLOOKUP(K372,차량별사용료!$B$4:$J$16,2),"")</f>
        <v/>
      </c>
    </row>
    <row r="373" spans="1:18" ht="17.25" customHeight="1">
      <c r="A373" s="74" t="str">
        <f t="shared" si="6"/>
        <v/>
      </c>
      <c r="R373" s="84" t="str">
        <f>IFERROR(VLOOKUP(K373,차량별사용료!$B$4:$J$16,2),"")</f>
        <v/>
      </c>
    </row>
    <row r="374" spans="1:18" ht="17.25" customHeight="1">
      <c r="A374" s="74" t="str">
        <f t="shared" si="6"/>
        <v/>
      </c>
      <c r="R374" s="84" t="str">
        <f>IFERROR(VLOOKUP(K374,차량별사용료!$B$4:$J$16,2),"")</f>
        <v/>
      </c>
    </row>
    <row r="375" spans="1:18" ht="17.25" customHeight="1">
      <c r="A375" s="74" t="str">
        <f t="shared" si="6"/>
        <v/>
      </c>
      <c r="R375" s="84" t="str">
        <f>IFERROR(VLOOKUP(K375,차량별사용료!$B$4:$J$16,2),"")</f>
        <v/>
      </c>
    </row>
    <row r="376" spans="1:18" ht="17.25" customHeight="1">
      <c r="A376" s="74" t="str">
        <f t="shared" si="6"/>
        <v/>
      </c>
      <c r="R376" s="84" t="str">
        <f>IFERROR(VLOOKUP(K376,차량별사용료!$B$4:$J$16,2),"")</f>
        <v/>
      </c>
    </row>
    <row r="377" spans="1:18" ht="17.25" customHeight="1">
      <c r="A377" s="74" t="str">
        <f t="shared" si="6"/>
        <v/>
      </c>
      <c r="R377" s="84" t="str">
        <f>IFERROR(VLOOKUP(K377,차량별사용료!$B$4:$J$16,2),"")</f>
        <v/>
      </c>
    </row>
    <row r="378" spans="1:18" ht="17.25" customHeight="1">
      <c r="A378" s="74" t="str">
        <f t="shared" si="6"/>
        <v/>
      </c>
      <c r="R378" s="84" t="str">
        <f>IFERROR(VLOOKUP(K378,차량별사용료!$B$4:$J$16,2),"")</f>
        <v/>
      </c>
    </row>
    <row r="379" spans="1:18" ht="17.25" customHeight="1">
      <c r="A379" s="74" t="str">
        <f t="shared" si="6"/>
        <v/>
      </c>
      <c r="R379" s="84" t="str">
        <f>IFERROR(VLOOKUP(K379,차량별사용료!$B$4:$J$16,2),"")</f>
        <v/>
      </c>
    </row>
    <row r="380" spans="1:18" ht="17.25" customHeight="1">
      <c r="A380" s="74" t="str">
        <f t="shared" si="6"/>
        <v/>
      </c>
      <c r="R380" s="84" t="str">
        <f>IFERROR(VLOOKUP(K380,차량별사용료!$B$4:$J$16,2),"")</f>
        <v/>
      </c>
    </row>
    <row r="381" spans="1:18" ht="17.25" customHeight="1">
      <c r="A381" s="74" t="str">
        <f t="shared" si="6"/>
        <v/>
      </c>
      <c r="R381" s="84" t="str">
        <f>IFERROR(VLOOKUP(K381,차량별사용료!$B$4:$J$16,2),"")</f>
        <v/>
      </c>
    </row>
    <row r="382" spans="1:18" ht="17.25" customHeight="1">
      <c r="A382" s="74" t="str">
        <f t="shared" si="6"/>
        <v/>
      </c>
      <c r="R382" s="84" t="str">
        <f>IFERROR(VLOOKUP(K382,차량별사용료!$B$4:$J$16,2),"")</f>
        <v/>
      </c>
    </row>
    <row r="383" spans="1:18" ht="17.25" customHeight="1">
      <c r="A383" s="74" t="str">
        <f t="shared" si="6"/>
        <v/>
      </c>
      <c r="R383" s="84" t="str">
        <f>IFERROR(VLOOKUP(K383,차량별사용료!$B$4:$J$16,2),"")</f>
        <v/>
      </c>
    </row>
    <row r="384" spans="1:18" ht="17.25" customHeight="1">
      <c r="A384" s="74" t="str">
        <f t="shared" si="6"/>
        <v/>
      </c>
      <c r="R384" s="84" t="str">
        <f>IFERROR(VLOOKUP(K384,차량별사용료!$B$4:$J$16,2),"")</f>
        <v/>
      </c>
    </row>
    <row r="385" spans="1:18" ht="17.25" customHeight="1">
      <c r="A385" s="74" t="str">
        <f t="shared" si="6"/>
        <v/>
      </c>
      <c r="R385" s="84" t="str">
        <f>IFERROR(VLOOKUP(K385,차량별사용료!$B$4:$J$16,2),"")</f>
        <v/>
      </c>
    </row>
    <row r="386" spans="1:18" ht="17.25" customHeight="1">
      <c r="A386" s="74" t="str">
        <f t="shared" si="6"/>
        <v/>
      </c>
      <c r="R386" s="84" t="str">
        <f>IFERROR(VLOOKUP(K386,차량별사용료!$B$4:$J$16,2),"")</f>
        <v/>
      </c>
    </row>
    <row r="387" spans="1:18" ht="17.25" customHeight="1">
      <c r="A387" s="74" t="str">
        <f t="shared" si="6"/>
        <v/>
      </c>
      <c r="R387" s="84" t="str">
        <f>IFERROR(VLOOKUP(K387,차량별사용료!$B$4:$J$16,2),"")</f>
        <v/>
      </c>
    </row>
    <row r="388" spans="1:18" ht="17.25" customHeight="1">
      <c r="A388" s="74" t="str">
        <f t="shared" ref="A388:A451" si="7">IF(B388&lt;&gt;"",ROW()-2,"")</f>
        <v/>
      </c>
      <c r="R388" s="84" t="str">
        <f>IFERROR(VLOOKUP(K388,차량별사용료!$B$4:$J$16,2),"")</f>
        <v/>
      </c>
    </row>
    <row r="389" spans="1:18" ht="17.25" customHeight="1">
      <c r="A389" s="74" t="str">
        <f t="shared" si="7"/>
        <v/>
      </c>
      <c r="R389" s="84" t="str">
        <f>IFERROR(VLOOKUP(K389,차량별사용료!$B$4:$J$16,2),"")</f>
        <v/>
      </c>
    </row>
    <row r="390" spans="1:18" ht="17.25" customHeight="1">
      <c r="A390" s="74" t="str">
        <f t="shared" si="7"/>
        <v/>
      </c>
      <c r="R390" s="84" t="str">
        <f>IFERROR(VLOOKUP(K390,차량별사용료!$B$4:$J$16,2),"")</f>
        <v/>
      </c>
    </row>
    <row r="391" spans="1:18" ht="17.25" customHeight="1">
      <c r="A391" s="74" t="str">
        <f t="shared" si="7"/>
        <v/>
      </c>
      <c r="R391" s="84" t="str">
        <f>IFERROR(VLOOKUP(K391,차량별사용료!$B$4:$J$16,2),"")</f>
        <v/>
      </c>
    </row>
    <row r="392" spans="1:18" ht="17.25" customHeight="1">
      <c r="A392" s="74" t="str">
        <f t="shared" si="7"/>
        <v/>
      </c>
      <c r="R392" s="84" t="str">
        <f>IFERROR(VLOOKUP(K392,차량별사용료!$B$4:$J$16,2),"")</f>
        <v/>
      </c>
    </row>
    <row r="393" spans="1:18" ht="17.25" customHeight="1">
      <c r="A393" s="74" t="str">
        <f t="shared" si="7"/>
        <v/>
      </c>
      <c r="R393" s="84" t="str">
        <f>IFERROR(VLOOKUP(K393,차량별사용료!$B$4:$J$16,2),"")</f>
        <v/>
      </c>
    </row>
    <row r="394" spans="1:18" ht="17.25" customHeight="1">
      <c r="A394" s="74" t="str">
        <f t="shared" si="7"/>
        <v/>
      </c>
      <c r="R394" s="84" t="str">
        <f>IFERROR(VLOOKUP(K394,차량별사용료!$B$4:$J$16,2),"")</f>
        <v/>
      </c>
    </row>
    <row r="395" spans="1:18" ht="17.25" customHeight="1">
      <c r="A395" s="74" t="str">
        <f t="shared" si="7"/>
        <v/>
      </c>
      <c r="R395" s="84" t="str">
        <f>IFERROR(VLOOKUP(K395,차량별사용료!$B$4:$J$16,2),"")</f>
        <v/>
      </c>
    </row>
    <row r="396" spans="1:18" ht="17.25" customHeight="1">
      <c r="A396" s="74" t="str">
        <f t="shared" si="7"/>
        <v/>
      </c>
      <c r="R396" s="84" t="str">
        <f>IFERROR(VLOOKUP(K396,차량별사용료!$B$4:$J$16,2),"")</f>
        <v/>
      </c>
    </row>
    <row r="397" spans="1:18" ht="17.25" customHeight="1">
      <c r="A397" s="74" t="str">
        <f t="shared" si="7"/>
        <v/>
      </c>
      <c r="R397" s="84" t="str">
        <f>IFERROR(VLOOKUP(K397,차량별사용료!$B$4:$J$16,2),"")</f>
        <v/>
      </c>
    </row>
    <row r="398" spans="1:18" ht="17.25" customHeight="1">
      <c r="A398" s="74" t="str">
        <f t="shared" si="7"/>
        <v/>
      </c>
      <c r="R398" s="84" t="str">
        <f>IFERROR(VLOOKUP(K398,차량별사용료!$B$4:$J$16,2),"")</f>
        <v/>
      </c>
    </row>
    <row r="399" spans="1:18" ht="17.25" customHeight="1">
      <c r="A399" s="74" t="str">
        <f t="shared" si="7"/>
        <v/>
      </c>
      <c r="R399" s="84" t="str">
        <f>IFERROR(VLOOKUP(K399,차량별사용료!$B$4:$J$16,2),"")</f>
        <v/>
      </c>
    </row>
    <row r="400" spans="1:18" ht="17.25" customHeight="1">
      <c r="A400" s="74" t="str">
        <f t="shared" si="7"/>
        <v/>
      </c>
      <c r="R400" s="84" t="str">
        <f>IFERROR(VLOOKUP(K400,차량별사용료!$B$4:$J$16,2),"")</f>
        <v/>
      </c>
    </row>
    <row r="401" spans="1:18" ht="17.25" customHeight="1">
      <c r="A401" s="74" t="str">
        <f t="shared" si="7"/>
        <v/>
      </c>
      <c r="R401" s="84" t="str">
        <f>IFERROR(VLOOKUP(K401,차량별사용료!$B$4:$J$16,2),"")</f>
        <v/>
      </c>
    </row>
    <row r="402" spans="1:18" ht="17.25" customHeight="1">
      <c r="A402" s="74" t="str">
        <f t="shared" si="7"/>
        <v/>
      </c>
      <c r="R402" s="84" t="str">
        <f>IFERROR(VLOOKUP(K402,차량별사용료!$B$4:$J$16,2),"")</f>
        <v/>
      </c>
    </row>
    <row r="403" spans="1:18" ht="17.25" customHeight="1">
      <c r="A403" s="74" t="str">
        <f t="shared" si="7"/>
        <v/>
      </c>
      <c r="R403" s="84" t="str">
        <f>IFERROR(VLOOKUP(K403,차량별사용료!$B$4:$J$16,2),"")</f>
        <v/>
      </c>
    </row>
    <row r="404" spans="1:18" ht="17.25" customHeight="1">
      <c r="A404" s="74" t="str">
        <f t="shared" si="7"/>
        <v/>
      </c>
      <c r="R404" s="84" t="str">
        <f>IFERROR(VLOOKUP(K404,차량별사용료!$B$4:$J$16,2),"")</f>
        <v/>
      </c>
    </row>
    <row r="405" spans="1:18" ht="17.25" customHeight="1">
      <c r="A405" s="74" t="str">
        <f t="shared" si="7"/>
        <v/>
      </c>
      <c r="R405" s="84" t="str">
        <f>IFERROR(VLOOKUP(K405,차량별사용료!$B$4:$J$16,2),"")</f>
        <v/>
      </c>
    </row>
    <row r="406" spans="1:18" ht="17.25" customHeight="1">
      <c r="A406" s="74" t="str">
        <f t="shared" si="7"/>
        <v/>
      </c>
      <c r="R406" s="84" t="str">
        <f>IFERROR(VLOOKUP(K406,차량별사용료!$B$4:$J$16,2),"")</f>
        <v/>
      </c>
    </row>
    <row r="407" spans="1:18" ht="17.25" customHeight="1">
      <c r="A407" s="74" t="str">
        <f t="shared" si="7"/>
        <v/>
      </c>
      <c r="R407" s="84" t="str">
        <f>IFERROR(VLOOKUP(K407,차량별사용료!$B$4:$J$16,2),"")</f>
        <v/>
      </c>
    </row>
    <row r="408" spans="1:18" ht="17.25" customHeight="1">
      <c r="A408" s="74" t="str">
        <f t="shared" si="7"/>
        <v/>
      </c>
      <c r="R408" s="84" t="str">
        <f>IFERROR(VLOOKUP(K408,차량별사용료!$B$4:$J$16,2),"")</f>
        <v/>
      </c>
    </row>
    <row r="409" spans="1:18" ht="17.25" customHeight="1">
      <c r="A409" s="74" t="str">
        <f t="shared" si="7"/>
        <v/>
      </c>
      <c r="R409" s="84" t="str">
        <f>IFERROR(VLOOKUP(K409,차량별사용료!$B$4:$J$16,2),"")</f>
        <v/>
      </c>
    </row>
    <row r="410" spans="1:18" ht="17.25" customHeight="1">
      <c r="A410" s="74" t="str">
        <f t="shared" si="7"/>
        <v/>
      </c>
      <c r="R410" s="84" t="str">
        <f>IFERROR(VLOOKUP(K410,차량별사용료!$B$4:$J$16,2),"")</f>
        <v/>
      </c>
    </row>
    <row r="411" spans="1:18" ht="17.25" customHeight="1">
      <c r="A411" s="74" t="str">
        <f t="shared" si="7"/>
        <v/>
      </c>
      <c r="R411" s="84" t="str">
        <f>IFERROR(VLOOKUP(K411,차량별사용료!$B$4:$J$16,2),"")</f>
        <v/>
      </c>
    </row>
    <row r="412" spans="1:18" ht="17.25" customHeight="1">
      <c r="A412" s="74" t="str">
        <f t="shared" si="7"/>
        <v/>
      </c>
      <c r="R412" s="84" t="str">
        <f>IFERROR(VLOOKUP(K412,차량별사용료!$B$4:$J$16,2),"")</f>
        <v/>
      </c>
    </row>
    <row r="413" spans="1:18" ht="17.25" customHeight="1">
      <c r="A413" s="74" t="str">
        <f t="shared" si="7"/>
        <v/>
      </c>
      <c r="R413" s="84" t="str">
        <f>IFERROR(VLOOKUP(K413,차량별사용료!$B$4:$J$16,2),"")</f>
        <v/>
      </c>
    </row>
    <row r="414" spans="1:18" ht="17.25" customHeight="1">
      <c r="A414" s="74" t="str">
        <f t="shared" si="7"/>
        <v/>
      </c>
      <c r="R414" s="84" t="str">
        <f>IFERROR(VLOOKUP(K414,차량별사용료!$B$4:$J$16,2),"")</f>
        <v/>
      </c>
    </row>
    <row r="415" spans="1:18" ht="17.25" customHeight="1">
      <c r="A415" s="74" t="str">
        <f t="shared" si="7"/>
        <v/>
      </c>
      <c r="R415" s="84" t="str">
        <f>IFERROR(VLOOKUP(K415,차량별사용료!$B$4:$J$16,2),"")</f>
        <v/>
      </c>
    </row>
    <row r="416" spans="1:18" ht="17.25" customHeight="1">
      <c r="A416" s="74" t="str">
        <f t="shared" si="7"/>
        <v/>
      </c>
      <c r="R416" s="84" t="str">
        <f>IFERROR(VLOOKUP(K416,차량별사용료!$B$4:$J$16,2),"")</f>
        <v/>
      </c>
    </row>
    <row r="417" spans="1:18" ht="17.25" customHeight="1">
      <c r="A417" s="74" t="str">
        <f t="shared" si="7"/>
        <v/>
      </c>
      <c r="R417" s="84" t="str">
        <f>IFERROR(VLOOKUP(K417,차량별사용료!$B$4:$J$16,2),"")</f>
        <v/>
      </c>
    </row>
    <row r="418" spans="1:18" ht="17.25" customHeight="1">
      <c r="A418" s="74" t="str">
        <f t="shared" si="7"/>
        <v/>
      </c>
      <c r="R418" s="84" t="str">
        <f>IFERROR(VLOOKUP(K418,차량별사용료!$B$4:$J$16,2),"")</f>
        <v/>
      </c>
    </row>
    <row r="419" spans="1:18" ht="17.25" customHeight="1">
      <c r="A419" s="74" t="str">
        <f t="shared" si="7"/>
        <v/>
      </c>
      <c r="R419" s="84" t="str">
        <f>IFERROR(VLOOKUP(K419,차량별사용료!$B$4:$J$16,2),"")</f>
        <v/>
      </c>
    </row>
    <row r="420" spans="1:18" ht="17.25" customHeight="1">
      <c r="A420" s="74" t="str">
        <f t="shared" si="7"/>
        <v/>
      </c>
      <c r="R420" s="84" t="str">
        <f>IFERROR(VLOOKUP(K420,차량별사용료!$B$4:$J$16,2),"")</f>
        <v/>
      </c>
    </row>
    <row r="421" spans="1:18" ht="17.25" customHeight="1">
      <c r="A421" s="74" t="str">
        <f t="shared" si="7"/>
        <v/>
      </c>
      <c r="R421" s="84" t="str">
        <f>IFERROR(VLOOKUP(K421,차량별사용료!$B$4:$J$16,2),"")</f>
        <v/>
      </c>
    </row>
    <row r="422" spans="1:18" ht="17.25" customHeight="1">
      <c r="A422" s="74" t="str">
        <f t="shared" si="7"/>
        <v/>
      </c>
      <c r="R422" s="84" t="str">
        <f>IFERROR(VLOOKUP(K422,차량별사용료!$B$4:$J$16,2),"")</f>
        <v/>
      </c>
    </row>
    <row r="423" spans="1:18" ht="17.25" customHeight="1">
      <c r="A423" s="74" t="str">
        <f t="shared" si="7"/>
        <v/>
      </c>
      <c r="R423" s="84" t="str">
        <f>IFERROR(VLOOKUP(K423,차량별사용료!$B$4:$J$16,2),"")</f>
        <v/>
      </c>
    </row>
    <row r="424" spans="1:18" ht="17.25" customHeight="1">
      <c r="A424" s="74" t="str">
        <f t="shared" si="7"/>
        <v/>
      </c>
      <c r="R424" s="84" t="str">
        <f>IFERROR(VLOOKUP(K424,차량별사용료!$B$4:$J$16,2),"")</f>
        <v/>
      </c>
    </row>
    <row r="425" spans="1:18" ht="17.25" customHeight="1">
      <c r="A425" s="74" t="str">
        <f t="shared" si="7"/>
        <v/>
      </c>
      <c r="R425" s="84" t="str">
        <f>IFERROR(VLOOKUP(K425,차량별사용료!$B$4:$J$16,2),"")</f>
        <v/>
      </c>
    </row>
    <row r="426" spans="1:18" ht="17.25" customHeight="1">
      <c r="A426" s="74" t="str">
        <f t="shared" si="7"/>
        <v/>
      </c>
      <c r="R426" s="84" t="str">
        <f>IFERROR(VLOOKUP(K426,차량별사용료!$B$4:$J$16,2),"")</f>
        <v/>
      </c>
    </row>
    <row r="427" spans="1:18" ht="17.25" customHeight="1">
      <c r="A427" s="74" t="str">
        <f t="shared" si="7"/>
        <v/>
      </c>
      <c r="R427" s="84" t="str">
        <f>IFERROR(VLOOKUP(K427,차량별사용료!$B$4:$J$16,2),"")</f>
        <v/>
      </c>
    </row>
    <row r="428" spans="1:18" ht="17.25" customHeight="1">
      <c r="A428" s="74" t="str">
        <f t="shared" si="7"/>
        <v/>
      </c>
      <c r="R428" s="84" t="str">
        <f>IFERROR(VLOOKUP(K428,차량별사용료!$B$4:$J$16,2),"")</f>
        <v/>
      </c>
    </row>
    <row r="429" spans="1:18" ht="17.25" customHeight="1">
      <c r="A429" s="74" t="str">
        <f t="shared" si="7"/>
        <v/>
      </c>
      <c r="R429" s="84" t="str">
        <f>IFERROR(VLOOKUP(K429,차량별사용료!$B$4:$J$16,2),"")</f>
        <v/>
      </c>
    </row>
    <row r="430" spans="1:18" ht="17.25" customHeight="1">
      <c r="A430" s="74" t="str">
        <f t="shared" si="7"/>
        <v/>
      </c>
      <c r="R430" s="84" t="str">
        <f>IFERROR(VLOOKUP(K430,차량별사용료!$B$4:$J$16,2),"")</f>
        <v/>
      </c>
    </row>
    <row r="431" spans="1:18" ht="17.25" customHeight="1">
      <c r="A431" s="74" t="str">
        <f t="shared" si="7"/>
        <v/>
      </c>
      <c r="R431" s="84" t="str">
        <f>IFERROR(VLOOKUP(K431,차량별사용료!$B$4:$J$16,2),"")</f>
        <v/>
      </c>
    </row>
    <row r="432" spans="1:18" ht="17.25" customHeight="1">
      <c r="A432" s="74" t="str">
        <f t="shared" si="7"/>
        <v/>
      </c>
      <c r="R432" s="84" t="str">
        <f>IFERROR(VLOOKUP(K432,차량별사용료!$B$4:$J$16,2),"")</f>
        <v/>
      </c>
    </row>
    <row r="433" spans="1:18" ht="17.25" customHeight="1">
      <c r="A433" s="74" t="str">
        <f t="shared" si="7"/>
        <v/>
      </c>
      <c r="R433" s="84" t="str">
        <f>IFERROR(VLOOKUP(K433,차량별사용료!$B$4:$J$16,2),"")</f>
        <v/>
      </c>
    </row>
    <row r="434" spans="1:18" ht="17.25" customHeight="1">
      <c r="A434" s="74" t="str">
        <f t="shared" si="7"/>
        <v/>
      </c>
      <c r="R434" s="84" t="str">
        <f>IFERROR(VLOOKUP(K434,차량별사용료!$B$4:$J$16,2),"")</f>
        <v/>
      </c>
    </row>
    <row r="435" spans="1:18" ht="17.25" customHeight="1">
      <c r="A435" s="74" t="str">
        <f t="shared" si="7"/>
        <v/>
      </c>
      <c r="R435" s="84" t="str">
        <f>IFERROR(VLOOKUP(K435,차량별사용료!$B$4:$J$16,2),"")</f>
        <v/>
      </c>
    </row>
    <row r="436" spans="1:18" ht="17.25" customHeight="1">
      <c r="A436" s="74" t="str">
        <f t="shared" si="7"/>
        <v/>
      </c>
      <c r="R436" s="84" t="str">
        <f>IFERROR(VLOOKUP(K436,차량별사용료!$B$4:$J$16,2),"")</f>
        <v/>
      </c>
    </row>
    <row r="437" spans="1:18" ht="17.25" customHeight="1">
      <c r="A437" s="74" t="str">
        <f t="shared" si="7"/>
        <v/>
      </c>
      <c r="R437" s="84" t="str">
        <f>IFERROR(VLOOKUP(K437,차량별사용료!$B$4:$J$16,2),"")</f>
        <v/>
      </c>
    </row>
    <row r="438" spans="1:18" ht="17.25" customHeight="1">
      <c r="A438" s="74" t="str">
        <f t="shared" si="7"/>
        <v/>
      </c>
      <c r="R438" s="84" t="str">
        <f>IFERROR(VLOOKUP(K438,차량별사용료!$B$4:$J$16,2),"")</f>
        <v/>
      </c>
    </row>
    <row r="439" spans="1:18" ht="17.25" customHeight="1">
      <c r="A439" s="74" t="str">
        <f t="shared" si="7"/>
        <v/>
      </c>
      <c r="R439" s="84" t="str">
        <f>IFERROR(VLOOKUP(K439,차량별사용료!$B$4:$J$16,2),"")</f>
        <v/>
      </c>
    </row>
    <row r="440" spans="1:18" ht="17.25" customHeight="1">
      <c r="A440" s="74" t="str">
        <f t="shared" si="7"/>
        <v/>
      </c>
      <c r="R440" s="84" t="str">
        <f>IFERROR(VLOOKUP(K440,차량별사용료!$B$4:$J$16,2),"")</f>
        <v/>
      </c>
    </row>
    <row r="441" spans="1:18" ht="17.25" customHeight="1">
      <c r="A441" s="74" t="str">
        <f t="shared" si="7"/>
        <v/>
      </c>
      <c r="R441" s="84" t="str">
        <f>IFERROR(VLOOKUP(K441,차량별사용료!$B$4:$J$16,2),"")</f>
        <v/>
      </c>
    </row>
    <row r="442" spans="1:18" ht="17.25" customHeight="1">
      <c r="A442" s="74" t="str">
        <f t="shared" si="7"/>
        <v/>
      </c>
      <c r="R442" s="84" t="str">
        <f>IFERROR(VLOOKUP(K442,차량별사용료!$B$4:$J$16,2),"")</f>
        <v/>
      </c>
    </row>
    <row r="443" spans="1:18" ht="17.25" customHeight="1">
      <c r="A443" s="74" t="str">
        <f t="shared" si="7"/>
        <v/>
      </c>
      <c r="R443" s="84" t="str">
        <f>IFERROR(VLOOKUP(K443,차량별사용료!$B$4:$J$16,2),"")</f>
        <v/>
      </c>
    </row>
    <row r="444" spans="1:18" ht="17.25" customHeight="1">
      <c r="A444" s="74" t="str">
        <f t="shared" si="7"/>
        <v/>
      </c>
      <c r="R444" s="84" t="str">
        <f>IFERROR(VLOOKUP(K444,차량별사용료!$B$4:$J$16,2),"")</f>
        <v/>
      </c>
    </row>
    <row r="445" spans="1:18" ht="17.25" customHeight="1">
      <c r="A445" s="74" t="str">
        <f t="shared" si="7"/>
        <v/>
      </c>
      <c r="R445" s="84" t="str">
        <f>IFERROR(VLOOKUP(K445,차량별사용료!$B$4:$J$16,2),"")</f>
        <v/>
      </c>
    </row>
    <row r="446" spans="1:18" ht="17.25" customHeight="1">
      <c r="A446" s="74" t="str">
        <f t="shared" si="7"/>
        <v/>
      </c>
      <c r="R446" s="84" t="str">
        <f>IFERROR(VLOOKUP(K446,차량별사용료!$B$4:$J$16,2),"")</f>
        <v/>
      </c>
    </row>
    <row r="447" spans="1:18" ht="17.25" customHeight="1">
      <c r="A447" s="74" t="str">
        <f t="shared" si="7"/>
        <v/>
      </c>
      <c r="R447" s="84" t="str">
        <f>IFERROR(VLOOKUP(K447,차량별사용료!$B$4:$J$16,2),"")</f>
        <v/>
      </c>
    </row>
    <row r="448" spans="1:18" ht="17.25" customHeight="1">
      <c r="A448" s="74" t="str">
        <f t="shared" si="7"/>
        <v/>
      </c>
      <c r="R448" s="84" t="str">
        <f>IFERROR(VLOOKUP(K448,차량별사용료!$B$4:$J$16,2),"")</f>
        <v/>
      </c>
    </row>
    <row r="449" spans="1:18" ht="17.25" customHeight="1">
      <c r="A449" s="74" t="str">
        <f t="shared" si="7"/>
        <v/>
      </c>
      <c r="R449" s="84" t="str">
        <f>IFERROR(VLOOKUP(K449,차량별사용료!$B$4:$J$16,2),"")</f>
        <v/>
      </c>
    </row>
    <row r="450" spans="1:18" ht="17.25" customHeight="1">
      <c r="A450" s="74" t="str">
        <f t="shared" si="7"/>
        <v/>
      </c>
      <c r="R450" s="84" t="str">
        <f>IFERROR(VLOOKUP(K450,차량별사용료!$B$4:$J$16,2),"")</f>
        <v/>
      </c>
    </row>
    <row r="451" spans="1:18" ht="17.25" customHeight="1">
      <c r="A451" s="74" t="str">
        <f t="shared" si="7"/>
        <v/>
      </c>
      <c r="R451" s="84" t="str">
        <f>IFERROR(VLOOKUP(K451,차량별사용료!$B$4:$J$16,2),"")</f>
        <v/>
      </c>
    </row>
    <row r="452" spans="1:18" ht="17.25" customHeight="1">
      <c r="A452" s="74" t="str">
        <f t="shared" ref="A452:A515" si="8">IF(B452&lt;&gt;"",ROW()-2,"")</f>
        <v/>
      </c>
      <c r="R452" s="84" t="str">
        <f>IFERROR(VLOOKUP(K452,차량별사용료!$B$4:$J$16,2),"")</f>
        <v/>
      </c>
    </row>
    <row r="453" spans="1:18" ht="17.25" customHeight="1">
      <c r="A453" s="74" t="str">
        <f t="shared" si="8"/>
        <v/>
      </c>
      <c r="R453" s="84" t="str">
        <f>IFERROR(VLOOKUP(K453,차량별사용료!$B$4:$J$16,2),"")</f>
        <v/>
      </c>
    </row>
    <row r="454" spans="1:18" ht="17.25" customHeight="1">
      <c r="A454" s="74" t="str">
        <f t="shared" si="8"/>
        <v/>
      </c>
      <c r="R454" s="84" t="str">
        <f>IFERROR(VLOOKUP(K454,차량별사용료!$B$4:$J$16,2),"")</f>
        <v/>
      </c>
    </row>
    <row r="455" spans="1:18" ht="17.25" customHeight="1">
      <c r="A455" s="74" t="str">
        <f t="shared" si="8"/>
        <v/>
      </c>
      <c r="R455" s="84" t="str">
        <f>IFERROR(VLOOKUP(K455,차량별사용료!$B$4:$J$16,2),"")</f>
        <v/>
      </c>
    </row>
    <row r="456" spans="1:18" ht="17.25" customHeight="1">
      <c r="A456" s="74" t="str">
        <f t="shared" si="8"/>
        <v/>
      </c>
      <c r="R456" s="84" t="str">
        <f>IFERROR(VLOOKUP(K456,차량별사용료!$B$4:$J$16,2),"")</f>
        <v/>
      </c>
    </row>
    <row r="457" spans="1:18" ht="17.25" customHeight="1">
      <c r="A457" s="74" t="str">
        <f t="shared" si="8"/>
        <v/>
      </c>
      <c r="R457" s="84" t="str">
        <f>IFERROR(VLOOKUP(K457,차량별사용료!$B$4:$J$16,2),"")</f>
        <v/>
      </c>
    </row>
    <row r="458" spans="1:18" ht="17.25" customHeight="1">
      <c r="A458" s="74" t="str">
        <f t="shared" si="8"/>
        <v/>
      </c>
      <c r="R458" s="84" t="str">
        <f>IFERROR(VLOOKUP(K458,차량별사용료!$B$4:$J$16,2),"")</f>
        <v/>
      </c>
    </row>
    <row r="459" spans="1:18" ht="17.25" customHeight="1">
      <c r="A459" s="74" t="str">
        <f t="shared" si="8"/>
        <v/>
      </c>
      <c r="R459" s="84" t="str">
        <f>IFERROR(VLOOKUP(K459,차량별사용료!$B$4:$J$16,2),"")</f>
        <v/>
      </c>
    </row>
    <row r="460" spans="1:18" ht="17.25" customHeight="1">
      <c r="A460" s="74" t="str">
        <f t="shared" si="8"/>
        <v/>
      </c>
      <c r="R460" s="84" t="str">
        <f>IFERROR(VLOOKUP(K460,차량별사용료!$B$4:$J$16,2),"")</f>
        <v/>
      </c>
    </row>
    <row r="461" spans="1:18" ht="17.25" customHeight="1">
      <c r="A461" s="74" t="str">
        <f t="shared" si="8"/>
        <v/>
      </c>
      <c r="R461" s="84" t="str">
        <f>IFERROR(VLOOKUP(K461,차량별사용료!$B$4:$J$16,2),"")</f>
        <v/>
      </c>
    </row>
    <row r="462" spans="1:18" ht="17.25" customHeight="1">
      <c r="A462" s="74" t="str">
        <f t="shared" si="8"/>
        <v/>
      </c>
      <c r="R462" s="84" t="str">
        <f>IFERROR(VLOOKUP(K462,차량별사용료!$B$4:$J$16,2),"")</f>
        <v/>
      </c>
    </row>
    <row r="463" spans="1:18" ht="17.25" customHeight="1">
      <c r="A463" s="74" t="str">
        <f t="shared" si="8"/>
        <v/>
      </c>
      <c r="R463" s="84" t="str">
        <f>IFERROR(VLOOKUP(K463,차량별사용료!$B$4:$J$16,2),"")</f>
        <v/>
      </c>
    </row>
    <row r="464" spans="1:18" ht="17.25" customHeight="1">
      <c r="A464" s="74" t="str">
        <f t="shared" si="8"/>
        <v/>
      </c>
      <c r="R464" s="84" t="str">
        <f>IFERROR(VLOOKUP(K464,차량별사용료!$B$4:$J$16,2),"")</f>
        <v/>
      </c>
    </row>
    <row r="465" spans="1:18" ht="17.25" customHeight="1">
      <c r="A465" s="74" t="str">
        <f t="shared" si="8"/>
        <v/>
      </c>
      <c r="R465" s="84" t="str">
        <f>IFERROR(VLOOKUP(K465,차량별사용료!$B$4:$J$16,2),"")</f>
        <v/>
      </c>
    </row>
    <row r="466" spans="1:18" ht="17.25" customHeight="1">
      <c r="A466" s="74" t="str">
        <f t="shared" si="8"/>
        <v/>
      </c>
      <c r="R466" s="84" t="str">
        <f>IFERROR(VLOOKUP(K466,차량별사용료!$B$4:$J$16,2),"")</f>
        <v/>
      </c>
    </row>
    <row r="467" spans="1:18" ht="17.25" customHeight="1">
      <c r="A467" s="74" t="str">
        <f t="shared" si="8"/>
        <v/>
      </c>
      <c r="R467" s="84" t="str">
        <f>IFERROR(VLOOKUP(K467,차량별사용료!$B$4:$J$16,2),"")</f>
        <v/>
      </c>
    </row>
    <row r="468" spans="1:18" ht="17.25" customHeight="1">
      <c r="A468" s="74" t="str">
        <f t="shared" si="8"/>
        <v/>
      </c>
      <c r="R468" s="84" t="str">
        <f>IFERROR(VLOOKUP(K468,차량별사용료!$B$4:$J$16,2),"")</f>
        <v/>
      </c>
    </row>
    <row r="469" spans="1:18" ht="17.25" customHeight="1">
      <c r="A469" s="74" t="str">
        <f t="shared" si="8"/>
        <v/>
      </c>
      <c r="R469" s="84" t="str">
        <f>IFERROR(VLOOKUP(K469,차량별사용료!$B$4:$J$16,2),"")</f>
        <v/>
      </c>
    </row>
    <row r="470" spans="1:18" ht="17.25" customHeight="1">
      <c r="A470" s="74" t="str">
        <f t="shared" si="8"/>
        <v/>
      </c>
      <c r="R470" s="84" t="str">
        <f>IFERROR(VLOOKUP(K470,차량별사용료!$B$4:$J$16,2),"")</f>
        <v/>
      </c>
    </row>
    <row r="471" spans="1:18" ht="17.25" customHeight="1">
      <c r="A471" s="74" t="str">
        <f t="shared" si="8"/>
        <v/>
      </c>
      <c r="R471" s="84" t="str">
        <f>IFERROR(VLOOKUP(K471,차량별사용료!$B$4:$J$16,2),"")</f>
        <v/>
      </c>
    </row>
    <row r="472" spans="1:18" ht="17.25" customHeight="1">
      <c r="A472" s="74" t="str">
        <f t="shared" si="8"/>
        <v/>
      </c>
      <c r="R472" s="84" t="str">
        <f>IFERROR(VLOOKUP(K472,차량별사용료!$B$4:$J$16,2),"")</f>
        <v/>
      </c>
    </row>
    <row r="473" spans="1:18" ht="17.25" customHeight="1">
      <c r="A473" s="74" t="str">
        <f t="shared" si="8"/>
        <v/>
      </c>
      <c r="R473" s="84" t="str">
        <f>IFERROR(VLOOKUP(K473,차량별사용료!$B$4:$J$16,2),"")</f>
        <v/>
      </c>
    </row>
    <row r="474" spans="1:18" ht="17.25" customHeight="1">
      <c r="A474" s="74" t="str">
        <f t="shared" si="8"/>
        <v/>
      </c>
      <c r="R474" s="84" t="str">
        <f>IFERROR(VLOOKUP(K474,차량별사용료!$B$4:$J$16,2),"")</f>
        <v/>
      </c>
    </row>
    <row r="475" spans="1:18" ht="17.25" customHeight="1">
      <c r="A475" s="74" t="str">
        <f t="shared" si="8"/>
        <v/>
      </c>
      <c r="R475" s="84" t="str">
        <f>IFERROR(VLOOKUP(K475,차량별사용료!$B$4:$J$16,2),"")</f>
        <v/>
      </c>
    </row>
    <row r="476" spans="1:18" ht="17.25" customHeight="1">
      <c r="A476" s="74" t="str">
        <f t="shared" si="8"/>
        <v/>
      </c>
      <c r="R476" s="84" t="str">
        <f>IFERROR(VLOOKUP(K476,차량별사용료!$B$4:$J$16,2),"")</f>
        <v/>
      </c>
    </row>
    <row r="477" spans="1:18" ht="17.25" customHeight="1">
      <c r="A477" s="74" t="str">
        <f t="shared" si="8"/>
        <v/>
      </c>
      <c r="R477" s="84" t="str">
        <f>IFERROR(VLOOKUP(K477,차량별사용료!$B$4:$J$16,2),"")</f>
        <v/>
      </c>
    </row>
    <row r="478" spans="1:18" ht="17.25" customHeight="1">
      <c r="A478" s="74" t="str">
        <f t="shared" si="8"/>
        <v/>
      </c>
      <c r="R478" s="84" t="str">
        <f>IFERROR(VLOOKUP(K478,차량별사용료!$B$4:$J$16,2),"")</f>
        <v/>
      </c>
    </row>
    <row r="479" spans="1:18" ht="17.25" customHeight="1">
      <c r="A479" s="74" t="str">
        <f t="shared" si="8"/>
        <v/>
      </c>
      <c r="R479" s="84" t="str">
        <f>IFERROR(VLOOKUP(K479,차량별사용료!$B$4:$J$16,2),"")</f>
        <v/>
      </c>
    </row>
    <row r="480" spans="1:18" ht="17.25" customHeight="1">
      <c r="A480" s="74" t="str">
        <f t="shared" si="8"/>
        <v/>
      </c>
      <c r="R480" s="84" t="str">
        <f>IFERROR(VLOOKUP(K480,차량별사용료!$B$4:$J$16,2),"")</f>
        <v/>
      </c>
    </row>
    <row r="481" spans="1:18" ht="17.25" customHeight="1">
      <c r="A481" s="74" t="str">
        <f t="shared" si="8"/>
        <v/>
      </c>
      <c r="R481" s="84" t="str">
        <f>IFERROR(VLOOKUP(K481,차량별사용료!$B$4:$J$16,2),"")</f>
        <v/>
      </c>
    </row>
    <row r="482" spans="1:18" ht="17.25" customHeight="1">
      <c r="A482" s="74" t="str">
        <f t="shared" si="8"/>
        <v/>
      </c>
      <c r="R482" s="84" t="str">
        <f>IFERROR(VLOOKUP(K482,차량별사용료!$B$4:$J$16,2),"")</f>
        <v/>
      </c>
    </row>
    <row r="483" spans="1:18" ht="17.25" customHeight="1">
      <c r="A483" s="74" t="str">
        <f t="shared" si="8"/>
        <v/>
      </c>
      <c r="R483" s="84" t="str">
        <f>IFERROR(VLOOKUP(K483,차량별사용료!$B$4:$J$16,2),"")</f>
        <v/>
      </c>
    </row>
    <row r="484" spans="1:18" ht="17.25" customHeight="1">
      <c r="A484" s="74" t="str">
        <f t="shared" si="8"/>
        <v/>
      </c>
      <c r="R484" s="84" t="str">
        <f>IFERROR(VLOOKUP(K484,차량별사용료!$B$4:$J$16,2),"")</f>
        <v/>
      </c>
    </row>
    <row r="485" spans="1:18" ht="17.25" customHeight="1">
      <c r="A485" s="74" t="str">
        <f t="shared" si="8"/>
        <v/>
      </c>
      <c r="R485" s="84" t="str">
        <f>IFERROR(VLOOKUP(K485,차량별사용료!$B$4:$J$16,2),"")</f>
        <v/>
      </c>
    </row>
    <row r="486" spans="1:18" ht="17.25" customHeight="1">
      <c r="A486" s="74" t="str">
        <f t="shared" si="8"/>
        <v/>
      </c>
      <c r="R486" s="84" t="str">
        <f>IFERROR(VLOOKUP(K486,차량별사용료!$B$4:$J$16,2),"")</f>
        <v/>
      </c>
    </row>
    <row r="487" spans="1:18" ht="17.25" customHeight="1">
      <c r="A487" s="74" t="str">
        <f t="shared" si="8"/>
        <v/>
      </c>
      <c r="R487" s="84" t="str">
        <f>IFERROR(VLOOKUP(K487,차량별사용료!$B$4:$J$16,2),"")</f>
        <v/>
      </c>
    </row>
    <row r="488" spans="1:18" ht="17.25" customHeight="1">
      <c r="A488" s="74" t="str">
        <f t="shared" si="8"/>
        <v/>
      </c>
      <c r="R488" s="84" t="str">
        <f>IFERROR(VLOOKUP(K488,차량별사용료!$B$4:$J$16,2),"")</f>
        <v/>
      </c>
    </row>
    <row r="489" spans="1:18" ht="17.25" customHeight="1">
      <c r="A489" s="74" t="str">
        <f t="shared" si="8"/>
        <v/>
      </c>
      <c r="R489" s="84" t="str">
        <f>IFERROR(VLOOKUP(K489,차량별사용료!$B$4:$J$16,2),"")</f>
        <v/>
      </c>
    </row>
    <row r="490" spans="1:18" ht="17.25" customHeight="1">
      <c r="A490" s="74" t="str">
        <f t="shared" si="8"/>
        <v/>
      </c>
      <c r="R490" s="84" t="str">
        <f>IFERROR(VLOOKUP(K490,차량별사용료!$B$4:$J$16,2),"")</f>
        <v/>
      </c>
    </row>
    <row r="491" spans="1:18" ht="17.25" customHeight="1">
      <c r="A491" s="74" t="str">
        <f t="shared" si="8"/>
        <v/>
      </c>
      <c r="R491" s="84" t="str">
        <f>IFERROR(VLOOKUP(K491,차량별사용료!$B$4:$J$16,2),"")</f>
        <v/>
      </c>
    </row>
    <row r="492" spans="1:18" ht="17.25" customHeight="1">
      <c r="A492" s="74" t="str">
        <f t="shared" si="8"/>
        <v/>
      </c>
      <c r="R492" s="84" t="str">
        <f>IFERROR(VLOOKUP(K492,차량별사용료!$B$4:$J$16,2),"")</f>
        <v/>
      </c>
    </row>
    <row r="493" spans="1:18" ht="17.25" customHeight="1">
      <c r="A493" s="74" t="str">
        <f t="shared" si="8"/>
        <v/>
      </c>
      <c r="R493" s="84" t="str">
        <f>IFERROR(VLOOKUP(K493,차량별사용료!$B$4:$J$16,2),"")</f>
        <v/>
      </c>
    </row>
    <row r="494" spans="1:18" ht="17.25" customHeight="1">
      <c r="A494" s="74" t="str">
        <f t="shared" si="8"/>
        <v/>
      </c>
      <c r="R494" s="84" t="str">
        <f>IFERROR(VLOOKUP(K494,차량별사용료!$B$4:$J$16,2),"")</f>
        <v/>
      </c>
    </row>
    <row r="495" spans="1:18" ht="17.25" customHeight="1">
      <c r="A495" s="74" t="str">
        <f t="shared" si="8"/>
        <v/>
      </c>
      <c r="R495" s="84" t="str">
        <f>IFERROR(VLOOKUP(K495,차량별사용료!$B$4:$J$16,2),"")</f>
        <v/>
      </c>
    </row>
    <row r="496" spans="1:18" ht="17.25" customHeight="1">
      <c r="A496" s="74" t="str">
        <f t="shared" si="8"/>
        <v/>
      </c>
      <c r="R496" s="84" t="str">
        <f>IFERROR(VLOOKUP(K496,차량별사용료!$B$4:$J$16,2),"")</f>
        <v/>
      </c>
    </row>
    <row r="497" spans="1:18" ht="17.25" customHeight="1">
      <c r="A497" s="74" t="str">
        <f t="shared" si="8"/>
        <v/>
      </c>
      <c r="R497" s="84" t="str">
        <f>IFERROR(VLOOKUP(K497,차량별사용료!$B$4:$J$16,2),"")</f>
        <v/>
      </c>
    </row>
    <row r="498" spans="1:18" ht="17.25" customHeight="1">
      <c r="A498" s="74" t="str">
        <f t="shared" si="8"/>
        <v/>
      </c>
      <c r="R498" s="84" t="str">
        <f>IFERROR(VLOOKUP(K498,차량별사용료!$B$4:$J$16,2),"")</f>
        <v/>
      </c>
    </row>
    <row r="499" spans="1:18" ht="17.25" customHeight="1">
      <c r="A499" s="74" t="str">
        <f t="shared" si="8"/>
        <v/>
      </c>
      <c r="R499" s="84" t="str">
        <f>IFERROR(VLOOKUP(K499,차량별사용료!$B$4:$J$16,2),"")</f>
        <v/>
      </c>
    </row>
    <row r="500" spans="1:18" ht="17.25" customHeight="1">
      <c r="A500" s="74" t="str">
        <f t="shared" si="8"/>
        <v/>
      </c>
      <c r="R500" s="84" t="str">
        <f>IFERROR(VLOOKUP(K500,차량별사용료!$B$4:$J$16,2),"")</f>
        <v/>
      </c>
    </row>
    <row r="501" spans="1:18" ht="17.25" customHeight="1">
      <c r="A501" s="74" t="str">
        <f t="shared" si="8"/>
        <v/>
      </c>
      <c r="R501" s="84" t="str">
        <f>IFERROR(VLOOKUP(K501,차량별사용료!$B$4:$J$16,2),"")</f>
        <v/>
      </c>
    </row>
    <row r="502" spans="1:18" ht="17.25" customHeight="1">
      <c r="A502" s="74" t="str">
        <f t="shared" si="8"/>
        <v/>
      </c>
      <c r="R502" s="84" t="str">
        <f>IFERROR(VLOOKUP(K502,차량별사용료!$B$4:$J$16,2),"")</f>
        <v/>
      </c>
    </row>
    <row r="503" spans="1:18" ht="17.25" customHeight="1">
      <c r="A503" s="74" t="str">
        <f t="shared" si="8"/>
        <v/>
      </c>
      <c r="R503" s="84" t="str">
        <f>IFERROR(VLOOKUP(K503,차량별사용료!$B$4:$J$16,2),"")</f>
        <v/>
      </c>
    </row>
    <row r="504" spans="1:18" ht="17.25" customHeight="1">
      <c r="A504" s="74" t="str">
        <f t="shared" si="8"/>
        <v/>
      </c>
      <c r="R504" s="84" t="str">
        <f>IFERROR(VLOOKUP(K504,차량별사용료!$B$4:$J$16,2),"")</f>
        <v/>
      </c>
    </row>
    <row r="505" spans="1:18" ht="17.25" customHeight="1">
      <c r="A505" s="74" t="str">
        <f t="shared" si="8"/>
        <v/>
      </c>
      <c r="R505" s="84" t="str">
        <f>IFERROR(VLOOKUP(K505,차량별사용료!$B$4:$J$16,2),"")</f>
        <v/>
      </c>
    </row>
    <row r="506" spans="1:18" ht="17.25" customHeight="1">
      <c r="A506" s="74" t="str">
        <f t="shared" si="8"/>
        <v/>
      </c>
      <c r="R506" s="84" t="str">
        <f>IFERROR(VLOOKUP(K506,차량별사용료!$B$4:$J$16,2),"")</f>
        <v/>
      </c>
    </row>
    <row r="507" spans="1:18" ht="17.25" customHeight="1">
      <c r="A507" s="74" t="str">
        <f t="shared" si="8"/>
        <v/>
      </c>
      <c r="R507" s="84" t="str">
        <f>IFERROR(VLOOKUP(K507,차량별사용료!$B$4:$J$16,2),"")</f>
        <v/>
      </c>
    </row>
    <row r="508" spans="1:18" ht="17.25" customHeight="1">
      <c r="A508" s="74" t="str">
        <f t="shared" si="8"/>
        <v/>
      </c>
      <c r="R508" s="84" t="str">
        <f>IFERROR(VLOOKUP(K508,차량별사용료!$B$4:$J$16,2),"")</f>
        <v/>
      </c>
    </row>
    <row r="509" spans="1:18" ht="17.25" customHeight="1">
      <c r="A509" s="74" t="str">
        <f t="shared" si="8"/>
        <v/>
      </c>
      <c r="R509" s="84" t="str">
        <f>IFERROR(VLOOKUP(K509,차량별사용료!$B$4:$J$16,2),"")</f>
        <v/>
      </c>
    </row>
    <row r="510" spans="1:18" ht="17.25" customHeight="1">
      <c r="A510" s="74" t="str">
        <f t="shared" si="8"/>
        <v/>
      </c>
      <c r="R510" s="84" t="str">
        <f>IFERROR(VLOOKUP(K510,차량별사용료!$B$4:$J$16,2),"")</f>
        <v/>
      </c>
    </row>
    <row r="511" spans="1:18" ht="17.25" customHeight="1">
      <c r="A511" s="74" t="str">
        <f t="shared" si="8"/>
        <v/>
      </c>
      <c r="R511" s="84" t="str">
        <f>IFERROR(VLOOKUP(K511,차량별사용료!$B$4:$J$16,2),"")</f>
        <v/>
      </c>
    </row>
    <row r="512" spans="1:18" ht="17.25" customHeight="1">
      <c r="A512" s="74" t="str">
        <f t="shared" si="8"/>
        <v/>
      </c>
      <c r="R512" s="84" t="str">
        <f>IFERROR(VLOOKUP(K512,차량별사용료!$B$4:$J$16,2),"")</f>
        <v/>
      </c>
    </row>
    <row r="513" spans="1:18" ht="17.25" customHeight="1">
      <c r="A513" s="74" t="str">
        <f t="shared" si="8"/>
        <v/>
      </c>
      <c r="R513" s="84" t="str">
        <f>IFERROR(VLOOKUP(K513,차량별사용료!$B$4:$J$16,2),"")</f>
        <v/>
      </c>
    </row>
    <row r="514" spans="1:18" ht="17.25" customHeight="1">
      <c r="A514" s="74" t="str">
        <f t="shared" si="8"/>
        <v/>
      </c>
      <c r="R514" s="84" t="str">
        <f>IFERROR(VLOOKUP(K514,차량별사용료!$B$4:$J$16,2),"")</f>
        <v/>
      </c>
    </row>
    <row r="515" spans="1:18" ht="17.25" customHeight="1">
      <c r="A515" s="74" t="str">
        <f t="shared" si="8"/>
        <v/>
      </c>
      <c r="R515" s="84" t="str">
        <f>IFERROR(VLOOKUP(K515,차량별사용료!$B$4:$J$16,2),"")</f>
        <v/>
      </c>
    </row>
    <row r="516" spans="1:18" ht="17.25" customHeight="1">
      <c r="A516" s="74" t="str">
        <f t="shared" ref="A516:A579" si="9">IF(B516&lt;&gt;"",ROW()-2,"")</f>
        <v/>
      </c>
      <c r="R516" s="84" t="str">
        <f>IFERROR(VLOOKUP(K516,차량별사용료!$B$4:$J$16,2),"")</f>
        <v/>
      </c>
    </row>
    <row r="517" spans="1:18" ht="17.25" customHeight="1">
      <c r="A517" s="74" t="str">
        <f t="shared" si="9"/>
        <v/>
      </c>
      <c r="R517" s="84" t="str">
        <f>IFERROR(VLOOKUP(K517,차량별사용료!$B$4:$J$16,2),"")</f>
        <v/>
      </c>
    </row>
    <row r="518" spans="1:18" ht="17.25" customHeight="1">
      <c r="A518" s="74" t="str">
        <f t="shared" si="9"/>
        <v/>
      </c>
      <c r="R518" s="84" t="str">
        <f>IFERROR(VLOOKUP(K518,차량별사용료!$B$4:$J$16,2),"")</f>
        <v/>
      </c>
    </row>
    <row r="519" spans="1:18" ht="17.25" customHeight="1">
      <c r="A519" s="74" t="str">
        <f t="shared" si="9"/>
        <v/>
      </c>
      <c r="R519" s="84" t="str">
        <f>IFERROR(VLOOKUP(K519,차량별사용료!$B$4:$J$16,2),"")</f>
        <v/>
      </c>
    </row>
    <row r="520" spans="1:18" ht="17.25" customHeight="1">
      <c r="A520" s="74" t="str">
        <f t="shared" si="9"/>
        <v/>
      </c>
      <c r="R520" s="84" t="str">
        <f>IFERROR(VLOOKUP(K520,차량별사용료!$B$4:$J$16,2),"")</f>
        <v/>
      </c>
    </row>
    <row r="521" spans="1:18" ht="17.25" customHeight="1">
      <c r="A521" s="74" t="str">
        <f t="shared" si="9"/>
        <v/>
      </c>
      <c r="R521" s="84" t="str">
        <f>IFERROR(VLOOKUP(K521,차량별사용료!$B$4:$J$16,2),"")</f>
        <v/>
      </c>
    </row>
    <row r="522" spans="1:18" ht="17.25" customHeight="1">
      <c r="A522" s="74" t="str">
        <f t="shared" si="9"/>
        <v/>
      </c>
      <c r="R522" s="84" t="str">
        <f>IFERROR(VLOOKUP(K522,차량별사용료!$B$4:$J$16,2),"")</f>
        <v/>
      </c>
    </row>
    <row r="523" spans="1:18" ht="17.25" customHeight="1">
      <c r="A523" s="74" t="str">
        <f t="shared" si="9"/>
        <v/>
      </c>
      <c r="R523" s="84" t="str">
        <f>IFERROR(VLOOKUP(K523,차량별사용료!$B$4:$J$16,2),"")</f>
        <v/>
      </c>
    </row>
    <row r="524" spans="1:18" ht="17.25" customHeight="1">
      <c r="A524" s="74" t="str">
        <f t="shared" si="9"/>
        <v/>
      </c>
      <c r="R524" s="84" t="str">
        <f>IFERROR(VLOOKUP(K524,차량별사용료!$B$4:$J$16,2),"")</f>
        <v/>
      </c>
    </row>
    <row r="525" spans="1:18" ht="17.25" customHeight="1">
      <c r="A525" s="74" t="str">
        <f t="shared" si="9"/>
        <v/>
      </c>
      <c r="R525" s="84" t="str">
        <f>IFERROR(VLOOKUP(K525,차량별사용료!$B$4:$J$16,2),"")</f>
        <v/>
      </c>
    </row>
    <row r="526" spans="1:18" ht="17.25" customHeight="1">
      <c r="A526" s="74" t="str">
        <f t="shared" si="9"/>
        <v/>
      </c>
      <c r="R526" s="84" t="str">
        <f>IFERROR(VLOOKUP(K526,차량별사용료!$B$4:$J$16,2),"")</f>
        <v/>
      </c>
    </row>
    <row r="527" spans="1:18" ht="17.25" customHeight="1">
      <c r="A527" s="74" t="str">
        <f t="shared" si="9"/>
        <v/>
      </c>
      <c r="R527" s="84" t="str">
        <f>IFERROR(VLOOKUP(K527,차량별사용료!$B$4:$J$16,2),"")</f>
        <v/>
      </c>
    </row>
    <row r="528" spans="1:18" ht="17.25" customHeight="1">
      <c r="A528" s="74" t="str">
        <f t="shared" si="9"/>
        <v/>
      </c>
      <c r="R528" s="84" t="str">
        <f>IFERROR(VLOOKUP(K528,차량별사용료!$B$4:$J$16,2),"")</f>
        <v/>
      </c>
    </row>
    <row r="529" spans="1:18" ht="17.25" customHeight="1">
      <c r="A529" s="74" t="str">
        <f t="shared" si="9"/>
        <v/>
      </c>
      <c r="R529" s="84" t="str">
        <f>IFERROR(VLOOKUP(K529,차량별사용료!$B$4:$J$16,2),"")</f>
        <v/>
      </c>
    </row>
    <row r="530" spans="1:18" ht="17.25" customHeight="1">
      <c r="A530" s="74" t="str">
        <f t="shared" si="9"/>
        <v/>
      </c>
      <c r="R530" s="84" t="str">
        <f>IFERROR(VLOOKUP(K530,차량별사용료!$B$4:$J$16,2),"")</f>
        <v/>
      </c>
    </row>
    <row r="531" spans="1:18" ht="17.25" customHeight="1">
      <c r="A531" s="74" t="str">
        <f t="shared" si="9"/>
        <v/>
      </c>
      <c r="R531" s="84" t="str">
        <f>IFERROR(VLOOKUP(K531,차량별사용료!$B$4:$J$16,2),"")</f>
        <v/>
      </c>
    </row>
    <row r="532" spans="1:18" ht="17.25" customHeight="1">
      <c r="A532" s="74" t="str">
        <f t="shared" si="9"/>
        <v/>
      </c>
      <c r="R532" s="84" t="str">
        <f>IFERROR(VLOOKUP(K532,차량별사용료!$B$4:$J$16,2),"")</f>
        <v/>
      </c>
    </row>
    <row r="533" spans="1:18" ht="17.25" customHeight="1">
      <c r="A533" s="74" t="str">
        <f t="shared" si="9"/>
        <v/>
      </c>
      <c r="R533" s="84" t="str">
        <f>IFERROR(VLOOKUP(K533,차량별사용료!$B$4:$J$16,2),"")</f>
        <v/>
      </c>
    </row>
    <row r="534" spans="1:18" ht="17.25" customHeight="1">
      <c r="A534" s="74" t="str">
        <f t="shared" si="9"/>
        <v/>
      </c>
      <c r="R534" s="84" t="str">
        <f>IFERROR(VLOOKUP(K534,차량별사용료!$B$4:$J$16,2),"")</f>
        <v/>
      </c>
    </row>
    <row r="535" spans="1:18" ht="17.25" customHeight="1">
      <c r="A535" s="74" t="str">
        <f t="shared" si="9"/>
        <v/>
      </c>
      <c r="R535" s="84" t="str">
        <f>IFERROR(VLOOKUP(K535,차량별사용료!$B$4:$J$16,2),"")</f>
        <v/>
      </c>
    </row>
    <row r="536" spans="1:18" ht="17.25" customHeight="1">
      <c r="A536" s="74" t="str">
        <f t="shared" si="9"/>
        <v/>
      </c>
      <c r="R536" s="84" t="str">
        <f>IFERROR(VLOOKUP(K536,차량별사용료!$B$4:$J$16,2),"")</f>
        <v/>
      </c>
    </row>
    <row r="537" spans="1:18" ht="17.25" customHeight="1">
      <c r="A537" s="74" t="str">
        <f t="shared" si="9"/>
        <v/>
      </c>
      <c r="R537" s="84" t="str">
        <f>IFERROR(VLOOKUP(K537,차량별사용료!$B$4:$J$16,2),"")</f>
        <v/>
      </c>
    </row>
    <row r="538" spans="1:18" ht="17.25" customHeight="1">
      <c r="A538" s="74" t="str">
        <f t="shared" si="9"/>
        <v/>
      </c>
      <c r="R538" s="84" t="str">
        <f>IFERROR(VLOOKUP(K538,차량별사용료!$B$4:$J$16,2),"")</f>
        <v/>
      </c>
    </row>
    <row r="539" spans="1:18" ht="17.25" customHeight="1">
      <c r="A539" s="74" t="str">
        <f t="shared" si="9"/>
        <v/>
      </c>
      <c r="R539" s="84" t="str">
        <f>IFERROR(VLOOKUP(K539,차량별사용료!$B$4:$J$16,2),"")</f>
        <v/>
      </c>
    </row>
    <row r="540" spans="1:18" ht="17.25" customHeight="1">
      <c r="A540" s="74" t="str">
        <f t="shared" si="9"/>
        <v/>
      </c>
      <c r="R540" s="84" t="str">
        <f>IFERROR(VLOOKUP(K540,차량별사용료!$B$4:$J$16,2),"")</f>
        <v/>
      </c>
    </row>
    <row r="541" spans="1:18" ht="17.25" customHeight="1">
      <c r="A541" s="74" t="str">
        <f t="shared" si="9"/>
        <v/>
      </c>
      <c r="R541" s="84" t="str">
        <f>IFERROR(VLOOKUP(K541,차량별사용료!$B$4:$J$16,2),"")</f>
        <v/>
      </c>
    </row>
    <row r="542" spans="1:18" ht="17.25" customHeight="1">
      <c r="A542" s="74" t="str">
        <f t="shared" si="9"/>
        <v/>
      </c>
      <c r="R542" s="84" t="str">
        <f>IFERROR(VLOOKUP(K542,차량별사용료!$B$4:$J$16,2),"")</f>
        <v/>
      </c>
    </row>
    <row r="543" spans="1:18" ht="17.25" customHeight="1">
      <c r="A543" s="74" t="str">
        <f t="shared" si="9"/>
        <v/>
      </c>
      <c r="R543" s="84" t="str">
        <f>IFERROR(VLOOKUP(K543,차량별사용료!$B$4:$J$16,2),"")</f>
        <v/>
      </c>
    </row>
    <row r="544" spans="1:18" ht="17.25" customHeight="1">
      <c r="A544" s="74" t="str">
        <f t="shared" si="9"/>
        <v/>
      </c>
      <c r="R544" s="84" t="str">
        <f>IFERROR(VLOOKUP(K544,차량별사용료!$B$4:$J$16,2),"")</f>
        <v/>
      </c>
    </row>
    <row r="545" spans="1:18" ht="17.25" customHeight="1">
      <c r="A545" s="74" t="str">
        <f t="shared" si="9"/>
        <v/>
      </c>
      <c r="R545" s="84" t="str">
        <f>IFERROR(VLOOKUP(K545,차량별사용료!$B$4:$J$16,2),"")</f>
        <v/>
      </c>
    </row>
    <row r="546" spans="1:18" ht="17.25" customHeight="1">
      <c r="A546" s="74" t="str">
        <f t="shared" si="9"/>
        <v/>
      </c>
      <c r="R546" s="84" t="str">
        <f>IFERROR(VLOOKUP(K546,차량별사용료!$B$4:$J$16,2),"")</f>
        <v/>
      </c>
    </row>
    <row r="547" spans="1:18" ht="17.25" customHeight="1">
      <c r="A547" s="74" t="str">
        <f t="shared" si="9"/>
        <v/>
      </c>
      <c r="R547" s="84" t="str">
        <f>IFERROR(VLOOKUP(K547,차량별사용료!$B$4:$J$16,2),"")</f>
        <v/>
      </c>
    </row>
    <row r="548" spans="1:18" ht="17.25" customHeight="1">
      <c r="A548" s="74" t="str">
        <f t="shared" si="9"/>
        <v/>
      </c>
      <c r="R548" s="84" t="str">
        <f>IFERROR(VLOOKUP(K548,차량별사용료!$B$4:$J$16,2),"")</f>
        <v/>
      </c>
    </row>
    <row r="549" spans="1:18" ht="17.25" customHeight="1">
      <c r="A549" s="74" t="str">
        <f t="shared" si="9"/>
        <v/>
      </c>
      <c r="R549" s="84" t="str">
        <f>IFERROR(VLOOKUP(K549,차량별사용료!$B$4:$J$16,2),"")</f>
        <v/>
      </c>
    </row>
    <row r="550" spans="1:18" ht="17.25" customHeight="1">
      <c r="A550" s="74" t="str">
        <f t="shared" si="9"/>
        <v/>
      </c>
      <c r="R550" s="84" t="str">
        <f>IFERROR(VLOOKUP(K550,차량별사용료!$B$4:$J$16,2),"")</f>
        <v/>
      </c>
    </row>
    <row r="551" spans="1:18" ht="17.25" customHeight="1">
      <c r="A551" s="74" t="str">
        <f t="shared" si="9"/>
        <v/>
      </c>
      <c r="R551" s="84" t="str">
        <f>IFERROR(VLOOKUP(K551,차량별사용료!$B$4:$J$16,2),"")</f>
        <v/>
      </c>
    </row>
    <row r="552" spans="1:18" ht="17.25" customHeight="1">
      <c r="A552" s="74" t="str">
        <f t="shared" si="9"/>
        <v/>
      </c>
      <c r="R552" s="84" t="str">
        <f>IFERROR(VLOOKUP(K552,차량별사용료!$B$4:$J$16,2),"")</f>
        <v/>
      </c>
    </row>
    <row r="553" spans="1:18" ht="17.25" customHeight="1">
      <c r="A553" s="74" t="str">
        <f t="shared" si="9"/>
        <v/>
      </c>
      <c r="R553" s="84" t="str">
        <f>IFERROR(VLOOKUP(K553,차량별사용료!$B$4:$J$16,2),"")</f>
        <v/>
      </c>
    </row>
    <row r="554" spans="1:18" ht="17.25" customHeight="1">
      <c r="A554" s="74" t="str">
        <f t="shared" si="9"/>
        <v/>
      </c>
      <c r="R554" s="84" t="str">
        <f>IFERROR(VLOOKUP(K554,차량별사용료!$B$4:$J$16,2),"")</f>
        <v/>
      </c>
    </row>
    <row r="555" spans="1:18" ht="17.25" customHeight="1">
      <c r="A555" s="74" t="str">
        <f t="shared" si="9"/>
        <v/>
      </c>
      <c r="R555" s="84" t="str">
        <f>IFERROR(VLOOKUP(K555,차량별사용료!$B$4:$J$16,2),"")</f>
        <v/>
      </c>
    </row>
    <row r="556" spans="1:18" ht="17.25" customHeight="1">
      <c r="A556" s="74" t="str">
        <f t="shared" si="9"/>
        <v/>
      </c>
      <c r="R556" s="84" t="str">
        <f>IFERROR(VLOOKUP(K556,차량별사용료!$B$4:$J$16,2),"")</f>
        <v/>
      </c>
    </row>
    <row r="557" spans="1:18" ht="17.25" customHeight="1">
      <c r="A557" s="74" t="str">
        <f t="shared" si="9"/>
        <v/>
      </c>
      <c r="R557" s="84" t="str">
        <f>IFERROR(VLOOKUP(K557,차량별사용료!$B$4:$J$16,2),"")</f>
        <v/>
      </c>
    </row>
    <row r="558" spans="1:18" ht="17.25" customHeight="1">
      <c r="A558" s="74" t="str">
        <f t="shared" si="9"/>
        <v/>
      </c>
      <c r="R558" s="84" t="str">
        <f>IFERROR(VLOOKUP(K558,차량별사용료!$B$4:$J$16,2),"")</f>
        <v/>
      </c>
    </row>
    <row r="559" spans="1:18" ht="17.25" customHeight="1">
      <c r="A559" s="74" t="str">
        <f t="shared" si="9"/>
        <v/>
      </c>
      <c r="R559" s="84" t="str">
        <f>IFERROR(VLOOKUP(K559,차량별사용료!$B$4:$J$16,2),"")</f>
        <v/>
      </c>
    </row>
    <row r="560" spans="1:18" ht="17.25" customHeight="1">
      <c r="A560" s="74" t="str">
        <f t="shared" si="9"/>
        <v/>
      </c>
      <c r="R560" s="84" t="str">
        <f>IFERROR(VLOOKUP(K560,차량별사용료!$B$4:$J$16,2),"")</f>
        <v/>
      </c>
    </row>
    <row r="561" spans="1:18" ht="17.25" customHeight="1">
      <c r="A561" s="74" t="str">
        <f t="shared" si="9"/>
        <v/>
      </c>
      <c r="R561" s="84" t="str">
        <f>IFERROR(VLOOKUP(K561,차량별사용료!$B$4:$J$16,2),"")</f>
        <v/>
      </c>
    </row>
    <row r="562" spans="1:18" ht="17.25" customHeight="1">
      <c r="A562" s="74" t="str">
        <f t="shared" si="9"/>
        <v/>
      </c>
      <c r="R562" s="84" t="str">
        <f>IFERROR(VLOOKUP(K562,차량별사용료!$B$4:$J$16,2),"")</f>
        <v/>
      </c>
    </row>
    <row r="563" spans="1:18" ht="17.25" customHeight="1">
      <c r="A563" s="74" t="str">
        <f t="shared" si="9"/>
        <v/>
      </c>
      <c r="R563" s="84" t="str">
        <f>IFERROR(VLOOKUP(K563,차량별사용료!$B$4:$J$16,2),"")</f>
        <v/>
      </c>
    </row>
    <row r="564" spans="1:18" ht="17.25" customHeight="1">
      <c r="A564" s="74" t="str">
        <f t="shared" si="9"/>
        <v/>
      </c>
      <c r="R564" s="84" t="str">
        <f>IFERROR(VLOOKUP(K564,차량별사용료!$B$4:$J$16,2),"")</f>
        <v/>
      </c>
    </row>
    <row r="565" spans="1:18" ht="17.25" customHeight="1">
      <c r="A565" s="74" t="str">
        <f t="shared" si="9"/>
        <v/>
      </c>
      <c r="R565" s="84" t="str">
        <f>IFERROR(VLOOKUP(K565,차량별사용료!$B$4:$J$16,2),"")</f>
        <v/>
      </c>
    </row>
    <row r="566" spans="1:18" ht="17.25" customHeight="1">
      <c r="A566" s="74" t="str">
        <f t="shared" si="9"/>
        <v/>
      </c>
      <c r="R566" s="84" t="str">
        <f>IFERROR(VLOOKUP(K566,차량별사용료!$B$4:$J$16,2),"")</f>
        <v/>
      </c>
    </row>
    <row r="567" spans="1:18" ht="17.25" customHeight="1">
      <c r="A567" s="74" t="str">
        <f t="shared" si="9"/>
        <v/>
      </c>
      <c r="R567" s="84" t="str">
        <f>IFERROR(VLOOKUP(K567,차량별사용료!$B$4:$J$16,2),"")</f>
        <v/>
      </c>
    </row>
    <row r="568" spans="1:18" ht="17.25" customHeight="1">
      <c r="A568" s="74" t="str">
        <f t="shared" si="9"/>
        <v/>
      </c>
      <c r="R568" s="84" t="str">
        <f>IFERROR(VLOOKUP(K568,차량별사용료!$B$4:$J$16,2),"")</f>
        <v/>
      </c>
    </row>
    <row r="569" spans="1:18" ht="17.25" customHeight="1">
      <c r="A569" s="74" t="str">
        <f t="shared" si="9"/>
        <v/>
      </c>
      <c r="R569" s="84" t="str">
        <f>IFERROR(VLOOKUP(K569,차량별사용료!$B$4:$J$16,2),"")</f>
        <v/>
      </c>
    </row>
    <row r="570" spans="1:18" ht="17.25" customHeight="1">
      <c r="A570" s="74" t="str">
        <f t="shared" si="9"/>
        <v/>
      </c>
      <c r="R570" s="84" t="str">
        <f>IFERROR(VLOOKUP(K570,차량별사용료!$B$4:$J$16,2),"")</f>
        <v/>
      </c>
    </row>
    <row r="571" spans="1:18" ht="17.25" customHeight="1">
      <c r="A571" s="74" t="str">
        <f t="shared" si="9"/>
        <v/>
      </c>
      <c r="R571" s="84" t="str">
        <f>IFERROR(VLOOKUP(K571,차량별사용료!$B$4:$J$16,2),"")</f>
        <v/>
      </c>
    </row>
    <row r="572" spans="1:18" ht="17.25" customHeight="1">
      <c r="A572" s="74" t="str">
        <f t="shared" si="9"/>
        <v/>
      </c>
      <c r="R572" s="84" t="str">
        <f>IFERROR(VLOOKUP(K572,차량별사용료!$B$4:$J$16,2),"")</f>
        <v/>
      </c>
    </row>
    <row r="573" spans="1:18" ht="17.25" customHeight="1">
      <c r="A573" s="74" t="str">
        <f t="shared" si="9"/>
        <v/>
      </c>
      <c r="R573" s="84" t="str">
        <f>IFERROR(VLOOKUP(K573,차량별사용료!$B$4:$J$16,2),"")</f>
        <v/>
      </c>
    </row>
    <row r="574" spans="1:18" ht="17.25" customHeight="1">
      <c r="A574" s="74" t="str">
        <f t="shared" si="9"/>
        <v/>
      </c>
      <c r="R574" s="84" t="str">
        <f>IFERROR(VLOOKUP(K574,차량별사용료!$B$4:$J$16,2),"")</f>
        <v/>
      </c>
    </row>
    <row r="575" spans="1:18" ht="17.25" customHeight="1">
      <c r="A575" s="74" t="str">
        <f t="shared" si="9"/>
        <v/>
      </c>
      <c r="R575" s="84" t="str">
        <f>IFERROR(VLOOKUP(K575,차량별사용료!$B$4:$J$16,2),"")</f>
        <v/>
      </c>
    </row>
    <row r="576" spans="1:18" ht="17.25" customHeight="1">
      <c r="A576" s="74" t="str">
        <f t="shared" si="9"/>
        <v/>
      </c>
      <c r="R576" s="84" t="str">
        <f>IFERROR(VLOOKUP(K576,차량별사용료!$B$4:$J$16,2),"")</f>
        <v/>
      </c>
    </row>
    <row r="577" spans="1:18" ht="17.25" customHeight="1">
      <c r="A577" s="74" t="str">
        <f t="shared" si="9"/>
        <v/>
      </c>
      <c r="R577" s="84" t="str">
        <f>IFERROR(VLOOKUP(K577,차량별사용료!$B$4:$J$16,2),"")</f>
        <v/>
      </c>
    </row>
    <row r="578" spans="1:18" ht="17.25" customHeight="1">
      <c r="A578" s="74" t="str">
        <f t="shared" si="9"/>
        <v/>
      </c>
      <c r="R578" s="84" t="str">
        <f>IFERROR(VLOOKUP(K578,차량별사용료!$B$4:$J$16,2),"")</f>
        <v/>
      </c>
    </row>
    <row r="579" spans="1:18" ht="17.25" customHeight="1">
      <c r="A579" s="74" t="str">
        <f t="shared" si="9"/>
        <v/>
      </c>
      <c r="R579" s="84" t="str">
        <f>IFERROR(VLOOKUP(K579,차량별사용료!$B$4:$J$16,2),"")</f>
        <v/>
      </c>
    </row>
    <row r="580" spans="1:18" ht="17.25" customHeight="1">
      <c r="A580" s="74" t="str">
        <f t="shared" ref="A580:A643" si="10">IF(B580&lt;&gt;"",ROW()-2,"")</f>
        <v/>
      </c>
      <c r="R580" s="84" t="str">
        <f>IFERROR(VLOOKUP(K580,차량별사용료!$B$4:$J$16,2),"")</f>
        <v/>
      </c>
    </row>
    <row r="581" spans="1:18" ht="17.25" customHeight="1">
      <c r="A581" s="74" t="str">
        <f t="shared" si="10"/>
        <v/>
      </c>
      <c r="R581" s="84" t="str">
        <f>IFERROR(VLOOKUP(K581,차량별사용료!$B$4:$J$16,2),"")</f>
        <v/>
      </c>
    </row>
    <row r="582" spans="1:18" ht="17.25" customHeight="1">
      <c r="A582" s="74" t="str">
        <f t="shared" si="10"/>
        <v/>
      </c>
      <c r="R582" s="84" t="str">
        <f>IFERROR(VLOOKUP(K582,차량별사용료!$B$4:$J$16,2),"")</f>
        <v/>
      </c>
    </row>
    <row r="583" spans="1:18" ht="17.25" customHeight="1">
      <c r="A583" s="74" t="str">
        <f t="shared" si="10"/>
        <v/>
      </c>
      <c r="R583" s="84" t="str">
        <f>IFERROR(VLOOKUP(K583,차량별사용료!$B$4:$J$16,2),"")</f>
        <v/>
      </c>
    </row>
    <row r="584" spans="1:18" ht="17.25" customHeight="1">
      <c r="A584" s="74" t="str">
        <f t="shared" si="10"/>
        <v/>
      </c>
      <c r="R584" s="84" t="str">
        <f>IFERROR(VLOOKUP(K584,차량별사용료!$B$4:$J$16,2),"")</f>
        <v/>
      </c>
    </row>
    <row r="585" spans="1:18" ht="17.25" customHeight="1">
      <c r="A585" s="74" t="str">
        <f t="shared" si="10"/>
        <v/>
      </c>
      <c r="R585" s="84" t="str">
        <f>IFERROR(VLOOKUP(K585,차량별사용료!$B$4:$J$16,2),"")</f>
        <v/>
      </c>
    </row>
    <row r="586" spans="1:18" ht="17.25" customHeight="1">
      <c r="A586" s="74" t="str">
        <f t="shared" si="10"/>
        <v/>
      </c>
      <c r="R586" s="84" t="str">
        <f>IFERROR(VLOOKUP(K586,차량별사용료!$B$4:$J$16,2),"")</f>
        <v/>
      </c>
    </row>
    <row r="587" spans="1:18" ht="17.25" customHeight="1">
      <c r="A587" s="74" t="str">
        <f t="shared" si="10"/>
        <v/>
      </c>
      <c r="R587" s="84" t="str">
        <f>IFERROR(VLOOKUP(K587,차량별사용료!$B$4:$J$16,2),"")</f>
        <v/>
      </c>
    </row>
    <row r="588" spans="1:18" ht="17.25" customHeight="1">
      <c r="A588" s="74" t="str">
        <f t="shared" si="10"/>
        <v/>
      </c>
      <c r="R588" s="84" t="str">
        <f>IFERROR(VLOOKUP(K588,차량별사용료!$B$4:$J$16,2),"")</f>
        <v/>
      </c>
    </row>
    <row r="589" spans="1:18" ht="17.25" customHeight="1">
      <c r="A589" s="74" t="str">
        <f t="shared" si="10"/>
        <v/>
      </c>
      <c r="R589" s="84" t="str">
        <f>IFERROR(VLOOKUP(K589,차량별사용료!$B$4:$J$16,2),"")</f>
        <v/>
      </c>
    </row>
    <row r="590" spans="1:18" ht="17.25" customHeight="1">
      <c r="A590" s="74" t="str">
        <f t="shared" si="10"/>
        <v/>
      </c>
      <c r="R590" s="84" t="str">
        <f>IFERROR(VLOOKUP(K590,차량별사용료!$B$4:$J$16,2),"")</f>
        <v/>
      </c>
    </row>
    <row r="591" spans="1:18" ht="17.25" customHeight="1">
      <c r="A591" s="74" t="str">
        <f t="shared" si="10"/>
        <v/>
      </c>
      <c r="R591" s="84" t="str">
        <f>IFERROR(VLOOKUP(K591,차량별사용료!$B$4:$J$16,2),"")</f>
        <v/>
      </c>
    </row>
    <row r="592" spans="1:18" ht="17.25" customHeight="1">
      <c r="A592" s="74" t="str">
        <f t="shared" si="10"/>
        <v/>
      </c>
      <c r="R592" s="84" t="str">
        <f>IFERROR(VLOOKUP(K592,차량별사용료!$B$4:$J$16,2),"")</f>
        <v/>
      </c>
    </row>
    <row r="593" spans="1:18" ht="17.25" customHeight="1">
      <c r="A593" s="74" t="str">
        <f t="shared" si="10"/>
        <v/>
      </c>
      <c r="R593" s="84" t="str">
        <f>IFERROR(VLOOKUP(K593,차량별사용료!$B$4:$J$16,2),"")</f>
        <v/>
      </c>
    </row>
    <row r="594" spans="1:18" ht="17.25" customHeight="1">
      <c r="A594" s="74" t="str">
        <f t="shared" si="10"/>
        <v/>
      </c>
    </row>
    <row r="595" spans="1:18" ht="17.25" customHeight="1">
      <c r="A595" s="74" t="str">
        <f t="shared" si="10"/>
        <v/>
      </c>
    </row>
    <row r="596" spans="1:18" ht="17.25" customHeight="1">
      <c r="A596" s="74" t="str">
        <f t="shared" si="10"/>
        <v/>
      </c>
    </row>
    <row r="597" spans="1:18" ht="17.25" customHeight="1">
      <c r="A597" s="74" t="str">
        <f t="shared" si="10"/>
        <v/>
      </c>
    </row>
    <row r="598" spans="1:18" ht="17.25" customHeight="1">
      <c r="A598" s="74" t="str">
        <f t="shared" si="10"/>
        <v/>
      </c>
    </row>
    <row r="599" spans="1:18" ht="17.25" customHeight="1">
      <c r="A599" s="74" t="str">
        <f t="shared" si="10"/>
        <v/>
      </c>
    </row>
    <row r="600" spans="1:18" ht="17.25" customHeight="1">
      <c r="A600" s="74" t="str">
        <f t="shared" si="10"/>
        <v/>
      </c>
    </row>
    <row r="601" spans="1:18" ht="17.25" customHeight="1">
      <c r="A601" s="74" t="str">
        <f t="shared" si="10"/>
        <v/>
      </c>
    </row>
    <row r="602" spans="1:18" ht="17.25" customHeight="1">
      <c r="A602" s="74" t="str">
        <f t="shared" si="10"/>
        <v/>
      </c>
    </row>
    <row r="603" spans="1:18" ht="17.25" customHeight="1">
      <c r="A603" s="74" t="str">
        <f t="shared" si="10"/>
        <v/>
      </c>
    </row>
    <row r="604" spans="1:18" ht="17.25" customHeight="1">
      <c r="A604" s="74" t="str">
        <f t="shared" si="10"/>
        <v/>
      </c>
    </row>
    <row r="605" spans="1:18" ht="17.25" customHeight="1">
      <c r="A605" s="74" t="str">
        <f t="shared" si="10"/>
        <v/>
      </c>
    </row>
    <row r="606" spans="1:18" ht="17.25" customHeight="1">
      <c r="A606" s="74" t="str">
        <f t="shared" si="10"/>
        <v/>
      </c>
    </row>
    <row r="607" spans="1:18" ht="17.25" customHeight="1">
      <c r="A607" s="74" t="str">
        <f t="shared" si="10"/>
        <v/>
      </c>
    </row>
    <row r="608" spans="1:18" ht="17.25" customHeight="1">
      <c r="A608" s="74" t="str">
        <f t="shared" si="10"/>
        <v/>
      </c>
    </row>
    <row r="609" spans="1:1" ht="17.25" customHeight="1">
      <c r="A609" s="74" t="str">
        <f t="shared" si="10"/>
        <v/>
      </c>
    </row>
    <row r="610" spans="1:1" ht="17.25" customHeight="1">
      <c r="A610" s="74" t="str">
        <f t="shared" si="10"/>
        <v/>
      </c>
    </row>
    <row r="611" spans="1:1" ht="17.25" customHeight="1">
      <c r="A611" s="74" t="str">
        <f t="shared" si="10"/>
        <v/>
      </c>
    </row>
    <row r="612" spans="1:1" ht="17.25" customHeight="1">
      <c r="A612" s="74" t="str">
        <f t="shared" si="10"/>
        <v/>
      </c>
    </row>
    <row r="613" spans="1:1" ht="17.25" customHeight="1">
      <c r="A613" s="74" t="str">
        <f t="shared" si="10"/>
        <v/>
      </c>
    </row>
    <row r="614" spans="1:1" ht="17.25" customHeight="1">
      <c r="A614" s="74" t="str">
        <f t="shared" si="10"/>
        <v/>
      </c>
    </row>
    <row r="615" spans="1:1" ht="17.25" customHeight="1">
      <c r="A615" s="74" t="str">
        <f t="shared" si="10"/>
        <v/>
      </c>
    </row>
    <row r="616" spans="1:1" ht="17.25" customHeight="1">
      <c r="A616" s="74" t="str">
        <f t="shared" si="10"/>
        <v/>
      </c>
    </row>
    <row r="617" spans="1:1" ht="17.25" customHeight="1">
      <c r="A617" s="74" t="str">
        <f t="shared" si="10"/>
        <v/>
      </c>
    </row>
    <row r="618" spans="1:1" ht="17.25" customHeight="1">
      <c r="A618" s="74" t="str">
        <f t="shared" si="10"/>
        <v/>
      </c>
    </row>
    <row r="619" spans="1:1" ht="17.25" customHeight="1">
      <c r="A619" s="74" t="str">
        <f t="shared" si="10"/>
        <v/>
      </c>
    </row>
    <row r="620" spans="1:1" ht="17.25" customHeight="1">
      <c r="A620" s="74" t="str">
        <f t="shared" si="10"/>
        <v/>
      </c>
    </row>
    <row r="621" spans="1:1" ht="17.25" customHeight="1">
      <c r="A621" s="74" t="str">
        <f t="shared" si="10"/>
        <v/>
      </c>
    </row>
    <row r="622" spans="1:1" ht="17.25" customHeight="1">
      <c r="A622" s="74" t="str">
        <f t="shared" si="10"/>
        <v/>
      </c>
    </row>
    <row r="623" spans="1:1" ht="17.25" customHeight="1">
      <c r="A623" s="74" t="str">
        <f t="shared" si="10"/>
        <v/>
      </c>
    </row>
    <row r="624" spans="1:1" ht="17.25" customHeight="1">
      <c r="A624" s="74" t="str">
        <f t="shared" si="10"/>
        <v/>
      </c>
    </row>
    <row r="625" spans="1:1" ht="17.25" customHeight="1">
      <c r="A625" s="74" t="str">
        <f t="shared" si="10"/>
        <v/>
      </c>
    </row>
    <row r="626" spans="1:1" ht="17.25" customHeight="1">
      <c r="A626" s="74" t="str">
        <f t="shared" si="10"/>
        <v/>
      </c>
    </row>
    <row r="627" spans="1:1" ht="17.25" customHeight="1">
      <c r="A627" s="74" t="str">
        <f t="shared" si="10"/>
        <v/>
      </c>
    </row>
    <row r="628" spans="1:1" ht="17.25" customHeight="1">
      <c r="A628" s="74" t="str">
        <f t="shared" si="10"/>
        <v/>
      </c>
    </row>
    <row r="629" spans="1:1" ht="17.25" customHeight="1">
      <c r="A629" s="74" t="str">
        <f t="shared" si="10"/>
        <v/>
      </c>
    </row>
    <row r="630" spans="1:1" ht="17.25" customHeight="1">
      <c r="A630" s="74" t="str">
        <f t="shared" si="10"/>
        <v/>
      </c>
    </row>
    <row r="631" spans="1:1" ht="17.25" customHeight="1">
      <c r="A631" s="74" t="str">
        <f t="shared" si="10"/>
        <v/>
      </c>
    </row>
    <row r="632" spans="1:1" ht="17.25" customHeight="1">
      <c r="A632" s="74" t="str">
        <f t="shared" si="10"/>
        <v/>
      </c>
    </row>
    <row r="633" spans="1:1" ht="17.25" customHeight="1">
      <c r="A633" s="74" t="str">
        <f t="shared" si="10"/>
        <v/>
      </c>
    </row>
    <row r="634" spans="1:1" ht="17.25" customHeight="1">
      <c r="A634" s="74" t="str">
        <f t="shared" si="10"/>
        <v/>
      </c>
    </row>
    <row r="635" spans="1:1" ht="17.25" customHeight="1">
      <c r="A635" s="74" t="str">
        <f t="shared" si="10"/>
        <v/>
      </c>
    </row>
    <row r="636" spans="1:1" ht="17.25" customHeight="1">
      <c r="A636" s="74" t="str">
        <f t="shared" si="10"/>
        <v/>
      </c>
    </row>
    <row r="637" spans="1:1" ht="17.25" customHeight="1">
      <c r="A637" s="74" t="str">
        <f t="shared" si="10"/>
        <v/>
      </c>
    </row>
    <row r="638" spans="1:1" ht="17.25" customHeight="1">
      <c r="A638" s="74" t="str">
        <f t="shared" si="10"/>
        <v/>
      </c>
    </row>
    <row r="639" spans="1:1" ht="17.25" customHeight="1">
      <c r="A639" s="74" t="str">
        <f t="shared" si="10"/>
        <v/>
      </c>
    </row>
    <row r="640" spans="1:1" ht="17.25" customHeight="1">
      <c r="A640" s="74" t="str">
        <f t="shared" si="10"/>
        <v/>
      </c>
    </row>
    <row r="641" spans="1:1" ht="17.25" customHeight="1">
      <c r="A641" s="74" t="str">
        <f t="shared" si="10"/>
        <v/>
      </c>
    </row>
    <row r="642" spans="1:1" ht="17.25" customHeight="1">
      <c r="A642" s="74" t="str">
        <f t="shared" si="10"/>
        <v/>
      </c>
    </row>
    <row r="643" spans="1:1" ht="17.25" customHeight="1">
      <c r="A643" s="74" t="str">
        <f t="shared" si="10"/>
        <v/>
      </c>
    </row>
    <row r="644" spans="1:1" ht="17.25" customHeight="1">
      <c r="A644" s="74" t="str">
        <f t="shared" ref="A644:A707" si="11">IF(B644&lt;&gt;"",ROW()-2,"")</f>
        <v/>
      </c>
    </row>
    <row r="645" spans="1:1" ht="17.25" customHeight="1">
      <c r="A645" s="74" t="str">
        <f t="shared" si="11"/>
        <v/>
      </c>
    </row>
    <row r="646" spans="1:1" ht="17.25" customHeight="1">
      <c r="A646" s="74" t="str">
        <f t="shared" si="11"/>
        <v/>
      </c>
    </row>
    <row r="647" spans="1:1" ht="17.25" customHeight="1">
      <c r="A647" s="74" t="str">
        <f t="shared" si="11"/>
        <v/>
      </c>
    </row>
    <row r="648" spans="1:1" ht="17.25" customHeight="1">
      <c r="A648" s="74" t="str">
        <f t="shared" si="11"/>
        <v/>
      </c>
    </row>
    <row r="649" spans="1:1" ht="17.25" customHeight="1">
      <c r="A649" s="74" t="str">
        <f t="shared" si="11"/>
        <v/>
      </c>
    </row>
    <row r="650" spans="1:1" ht="17.25" customHeight="1">
      <c r="A650" s="74" t="str">
        <f t="shared" si="11"/>
        <v/>
      </c>
    </row>
    <row r="651" spans="1:1" ht="17.25" customHeight="1">
      <c r="A651" s="74" t="str">
        <f t="shared" si="11"/>
        <v/>
      </c>
    </row>
    <row r="652" spans="1:1" ht="17.25" customHeight="1">
      <c r="A652" s="74" t="str">
        <f t="shared" si="11"/>
        <v/>
      </c>
    </row>
    <row r="653" spans="1:1" ht="17.25" customHeight="1">
      <c r="A653" s="74" t="str">
        <f t="shared" si="11"/>
        <v/>
      </c>
    </row>
    <row r="654" spans="1:1" ht="17.25" customHeight="1">
      <c r="A654" s="74" t="str">
        <f t="shared" si="11"/>
        <v/>
      </c>
    </row>
    <row r="655" spans="1:1" ht="17.25" customHeight="1">
      <c r="A655" s="74" t="str">
        <f t="shared" si="11"/>
        <v/>
      </c>
    </row>
    <row r="656" spans="1:1" ht="17.25" customHeight="1">
      <c r="A656" s="74" t="str">
        <f t="shared" si="11"/>
        <v/>
      </c>
    </row>
    <row r="657" spans="1:1" ht="17.25" customHeight="1">
      <c r="A657" s="74" t="str">
        <f t="shared" si="11"/>
        <v/>
      </c>
    </row>
    <row r="658" spans="1:1" ht="17.25" customHeight="1">
      <c r="A658" s="74" t="str">
        <f t="shared" si="11"/>
        <v/>
      </c>
    </row>
    <row r="659" spans="1:1" ht="17.25" customHeight="1">
      <c r="A659" s="74" t="str">
        <f t="shared" si="11"/>
        <v/>
      </c>
    </row>
    <row r="660" spans="1:1" ht="17.25" customHeight="1">
      <c r="A660" s="74" t="str">
        <f t="shared" si="11"/>
        <v/>
      </c>
    </row>
    <row r="661" spans="1:1" ht="17.25" customHeight="1">
      <c r="A661" s="74" t="str">
        <f t="shared" si="11"/>
        <v/>
      </c>
    </row>
    <row r="662" spans="1:1" ht="17.25" customHeight="1">
      <c r="A662" s="74" t="str">
        <f t="shared" si="11"/>
        <v/>
      </c>
    </row>
    <row r="663" spans="1:1" ht="17.25" customHeight="1">
      <c r="A663" s="74" t="str">
        <f t="shared" si="11"/>
        <v/>
      </c>
    </row>
    <row r="664" spans="1:1" ht="17.25" customHeight="1">
      <c r="A664" s="74" t="str">
        <f t="shared" si="11"/>
        <v/>
      </c>
    </row>
    <row r="665" spans="1:1" ht="17.25" customHeight="1">
      <c r="A665" s="74" t="str">
        <f t="shared" si="11"/>
        <v/>
      </c>
    </row>
    <row r="666" spans="1:1" ht="17.25" customHeight="1">
      <c r="A666" s="74" t="str">
        <f t="shared" si="11"/>
        <v/>
      </c>
    </row>
    <row r="667" spans="1:1" ht="17.25" customHeight="1">
      <c r="A667" s="74" t="str">
        <f t="shared" si="11"/>
        <v/>
      </c>
    </row>
    <row r="668" spans="1:1" ht="17.25" customHeight="1">
      <c r="A668" s="74" t="str">
        <f t="shared" si="11"/>
        <v/>
      </c>
    </row>
    <row r="669" spans="1:1" ht="17.25" customHeight="1">
      <c r="A669" s="74" t="str">
        <f t="shared" si="11"/>
        <v/>
      </c>
    </row>
    <row r="670" spans="1:1" ht="17.25" customHeight="1">
      <c r="A670" s="74" t="str">
        <f t="shared" si="11"/>
        <v/>
      </c>
    </row>
    <row r="671" spans="1:1" ht="17.25" customHeight="1">
      <c r="A671" s="74" t="str">
        <f t="shared" si="11"/>
        <v/>
      </c>
    </row>
    <row r="672" spans="1:1" ht="17.25" customHeight="1">
      <c r="A672" s="74" t="str">
        <f t="shared" si="11"/>
        <v/>
      </c>
    </row>
    <row r="673" spans="1:1" ht="17.25" customHeight="1">
      <c r="A673" s="74" t="str">
        <f t="shared" si="11"/>
        <v/>
      </c>
    </row>
    <row r="674" spans="1:1" ht="17.25" customHeight="1">
      <c r="A674" s="74" t="str">
        <f t="shared" si="11"/>
        <v/>
      </c>
    </row>
    <row r="675" spans="1:1" ht="17.25" customHeight="1">
      <c r="A675" s="74" t="str">
        <f t="shared" si="11"/>
        <v/>
      </c>
    </row>
    <row r="676" spans="1:1" ht="17.25" customHeight="1">
      <c r="A676" s="74" t="str">
        <f t="shared" si="11"/>
        <v/>
      </c>
    </row>
    <row r="677" spans="1:1" ht="17.25" customHeight="1">
      <c r="A677" s="74" t="str">
        <f t="shared" si="11"/>
        <v/>
      </c>
    </row>
    <row r="678" spans="1:1" ht="17.25" customHeight="1">
      <c r="A678" s="74" t="str">
        <f t="shared" si="11"/>
        <v/>
      </c>
    </row>
    <row r="679" spans="1:1" ht="17.25" customHeight="1">
      <c r="A679" s="74" t="str">
        <f t="shared" si="11"/>
        <v/>
      </c>
    </row>
    <row r="680" spans="1:1" ht="17.25" customHeight="1">
      <c r="A680" s="74" t="str">
        <f t="shared" si="11"/>
        <v/>
      </c>
    </row>
    <row r="681" spans="1:1" ht="17.25" customHeight="1">
      <c r="A681" s="74" t="str">
        <f t="shared" si="11"/>
        <v/>
      </c>
    </row>
    <row r="682" spans="1:1" ht="17.25" customHeight="1">
      <c r="A682" s="74" t="str">
        <f t="shared" si="11"/>
        <v/>
      </c>
    </row>
    <row r="683" spans="1:1" ht="17.25" customHeight="1">
      <c r="A683" s="74" t="str">
        <f t="shared" si="11"/>
        <v/>
      </c>
    </row>
    <row r="684" spans="1:1" ht="17.25" customHeight="1">
      <c r="A684" s="74" t="str">
        <f t="shared" si="11"/>
        <v/>
      </c>
    </row>
    <row r="685" spans="1:1" ht="17.25" customHeight="1">
      <c r="A685" s="74" t="str">
        <f t="shared" si="11"/>
        <v/>
      </c>
    </row>
    <row r="686" spans="1:1" ht="17.25" customHeight="1">
      <c r="A686" s="74" t="str">
        <f t="shared" si="11"/>
        <v/>
      </c>
    </row>
    <row r="687" spans="1:1" ht="17.25" customHeight="1">
      <c r="A687" s="74" t="str">
        <f t="shared" si="11"/>
        <v/>
      </c>
    </row>
    <row r="688" spans="1:1" ht="17.25" customHeight="1">
      <c r="A688" s="74" t="str">
        <f t="shared" si="11"/>
        <v/>
      </c>
    </row>
    <row r="689" spans="1:1" ht="17.25" customHeight="1">
      <c r="A689" s="74" t="str">
        <f t="shared" si="11"/>
        <v/>
      </c>
    </row>
    <row r="690" spans="1:1" ht="17.25" customHeight="1">
      <c r="A690" s="74" t="str">
        <f t="shared" si="11"/>
        <v/>
      </c>
    </row>
    <row r="691" spans="1:1" ht="17.25" customHeight="1">
      <c r="A691" s="74" t="str">
        <f t="shared" si="11"/>
        <v/>
      </c>
    </row>
    <row r="692" spans="1:1" ht="17.25" customHeight="1">
      <c r="A692" s="74" t="str">
        <f t="shared" si="11"/>
        <v/>
      </c>
    </row>
    <row r="693" spans="1:1" ht="17.25" customHeight="1">
      <c r="A693" s="74" t="str">
        <f t="shared" si="11"/>
        <v/>
      </c>
    </row>
    <row r="694" spans="1:1" ht="17.25" customHeight="1">
      <c r="A694" s="74" t="str">
        <f t="shared" si="11"/>
        <v/>
      </c>
    </row>
    <row r="695" spans="1:1" ht="17.25" customHeight="1">
      <c r="A695" s="74" t="str">
        <f t="shared" si="11"/>
        <v/>
      </c>
    </row>
    <row r="696" spans="1:1" ht="17.25" customHeight="1">
      <c r="A696" s="74" t="str">
        <f t="shared" si="11"/>
        <v/>
      </c>
    </row>
    <row r="697" spans="1:1" ht="17.25" customHeight="1">
      <c r="A697" s="74" t="str">
        <f t="shared" si="11"/>
        <v/>
      </c>
    </row>
    <row r="698" spans="1:1" ht="17.25" customHeight="1">
      <c r="A698" s="74" t="str">
        <f t="shared" si="11"/>
        <v/>
      </c>
    </row>
    <row r="699" spans="1:1" ht="17.25" customHeight="1">
      <c r="A699" s="74" t="str">
        <f t="shared" si="11"/>
        <v/>
      </c>
    </row>
    <row r="700" spans="1:1" ht="17.25" customHeight="1">
      <c r="A700" s="74" t="str">
        <f t="shared" si="11"/>
        <v/>
      </c>
    </row>
    <row r="701" spans="1:1" ht="17.25" customHeight="1">
      <c r="A701" s="74" t="str">
        <f t="shared" si="11"/>
        <v/>
      </c>
    </row>
    <row r="702" spans="1:1" ht="17.25" customHeight="1">
      <c r="A702" s="74" t="str">
        <f t="shared" si="11"/>
        <v/>
      </c>
    </row>
    <row r="703" spans="1:1" ht="17.25" customHeight="1">
      <c r="A703" s="74" t="str">
        <f t="shared" si="11"/>
        <v/>
      </c>
    </row>
    <row r="704" spans="1:1" ht="17.25" customHeight="1">
      <c r="A704" s="74" t="str">
        <f t="shared" si="11"/>
        <v/>
      </c>
    </row>
    <row r="705" spans="1:1" ht="17.25" customHeight="1">
      <c r="A705" s="74" t="str">
        <f t="shared" si="11"/>
        <v/>
      </c>
    </row>
    <row r="706" spans="1:1" ht="17.25" customHeight="1">
      <c r="A706" s="74" t="str">
        <f t="shared" si="11"/>
        <v/>
      </c>
    </row>
    <row r="707" spans="1:1" ht="17.25" customHeight="1">
      <c r="A707" s="74" t="str">
        <f t="shared" si="11"/>
        <v/>
      </c>
    </row>
    <row r="708" spans="1:1" ht="17.25" customHeight="1">
      <c r="A708" s="74" t="str">
        <f t="shared" ref="A708:A771" si="12">IF(B708&lt;&gt;"",ROW()-2,"")</f>
        <v/>
      </c>
    </row>
    <row r="709" spans="1:1" ht="17.25" customHeight="1">
      <c r="A709" s="74" t="str">
        <f t="shared" si="12"/>
        <v/>
      </c>
    </row>
    <row r="710" spans="1:1" ht="17.25" customHeight="1">
      <c r="A710" s="74" t="str">
        <f t="shared" si="12"/>
        <v/>
      </c>
    </row>
    <row r="711" spans="1:1" ht="17.25" customHeight="1">
      <c r="A711" s="74" t="str">
        <f t="shared" si="12"/>
        <v/>
      </c>
    </row>
    <row r="712" spans="1:1" ht="17.25" customHeight="1">
      <c r="A712" s="74" t="str">
        <f t="shared" si="12"/>
        <v/>
      </c>
    </row>
    <row r="713" spans="1:1" ht="17.25" customHeight="1">
      <c r="A713" s="74" t="str">
        <f t="shared" si="12"/>
        <v/>
      </c>
    </row>
    <row r="714" spans="1:1" ht="17.25" customHeight="1">
      <c r="A714" s="74" t="str">
        <f t="shared" si="12"/>
        <v/>
      </c>
    </row>
    <row r="715" spans="1:1" ht="17.25" customHeight="1">
      <c r="A715" s="74" t="str">
        <f t="shared" si="12"/>
        <v/>
      </c>
    </row>
    <row r="716" spans="1:1" ht="17.25" customHeight="1">
      <c r="A716" s="74" t="str">
        <f t="shared" si="12"/>
        <v/>
      </c>
    </row>
    <row r="717" spans="1:1" ht="17.25" customHeight="1">
      <c r="A717" s="74" t="str">
        <f t="shared" si="12"/>
        <v/>
      </c>
    </row>
    <row r="718" spans="1:1" ht="17.25" customHeight="1">
      <c r="A718" s="74" t="str">
        <f t="shared" si="12"/>
        <v/>
      </c>
    </row>
    <row r="719" spans="1:1" ht="17.25" customHeight="1">
      <c r="A719" s="74" t="str">
        <f t="shared" si="12"/>
        <v/>
      </c>
    </row>
    <row r="720" spans="1:1" ht="17.25" customHeight="1">
      <c r="A720" s="74" t="str">
        <f t="shared" si="12"/>
        <v/>
      </c>
    </row>
    <row r="721" spans="1:1" ht="17.25" customHeight="1">
      <c r="A721" s="74" t="str">
        <f t="shared" si="12"/>
        <v/>
      </c>
    </row>
    <row r="722" spans="1:1" ht="17.25" customHeight="1">
      <c r="A722" s="74" t="str">
        <f t="shared" si="12"/>
        <v/>
      </c>
    </row>
    <row r="723" spans="1:1" ht="17.25" customHeight="1">
      <c r="A723" s="74" t="str">
        <f t="shared" si="12"/>
        <v/>
      </c>
    </row>
    <row r="724" spans="1:1" ht="17.25" customHeight="1">
      <c r="A724" s="74" t="str">
        <f t="shared" si="12"/>
        <v/>
      </c>
    </row>
    <row r="725" spans="1:1" ht="17.25" customHeight="1">
      <c r="A725" s="74" t="str">
        <f t="shared" si="12"/>
        <v/>
      </c>
    </row>
    <row r="726" spans="1:1" ht="17.25" customHeight="1">
      <c r="A726" s="74" t="str">
        <f t="shared" si="12"/>
        <v/>
      </c>
    </row>
    <row r="727" spans="1:1" ht="17.25" customHeight="1">
      <c r="A727" s="74" t="str">
        <f t="shared" si="12"/>
        <v/>
      </c>
    </row>
    <row r="728" spans="1:1" ht="17.25" customHeight="1">
      <c r="A728" s="74" t="str">
        <f t="shared" si="12"/>
        <v/>
      </c>
    </row>
    <row r="729" spans="1:1" ht="17.25" customHeight="1">
      <c r="A729" s="74" t="str">
        <f t="shared" si="12"/>
        <v/>
      </c>
    </row>
    <row r="730" spans="1:1" ht="17.25" customHeight="1">
      <c r="A730" s="74" t="str">
        <f t="shared" si="12"/>
        <v/>
      </c>
    </row>
    <row r="731" spans="1:1" ht="17.25" customHeight="1">
      <c r="A731" s="74" t="str">
        <f t="shared" si="12"/>
        <v/>
      </c>
    </row>
    <row r="732" spans="1:1" ht="17.25" customHeight="1">
      <c r="A732" s="74" t="str">
        <f t="shared" si="12"/>
        <v/>
      </c>
    </row>
    <row r="733" spans="1:1" ht="17.25" customHeight="1">
      <c r="A733" s="74" t="str">
        <f t="shared" si="12"/>
        <v/>
      </c>
    </row>
    <row r="734" spans="1:1" ht="17.25" customHeight="1">
      <c r="A734" s="74" t="str">
        <f t="shared" si="12"/>
        <v/>
      </c>
    </row>
    <row r="735" spans="1:1" ht="17.25" customHeight="1">
      <c r="A735" s="74" t="str">
        <f t="shared" si="12"/>
        <v/>
      </c>
    </row>
    <row r="736" spans="1:1" ht="17.25" customHeight="1">
      <c r="A736" s="74" t="str">
        <f t="shared" si="12"/>
        <v/>
      </c>
    </row>
    <row r="737" spans="1:1" ht="17.25" customHeight="1">
      <c r="A737" s="74" t="str">
        <f t="shared" si="12"/>
        <v/>
      </c>
    </row>
    <row r="738" spans="1:1" ht="17.25" customHeight="1">
      <c r="A738" s="74" t="str">
        <f t="shared" si="12"/>
        <v/>
      </c>
    </row>
    <row r="739" spans="1:1" ht="17.25" customHeight="1">
      <c r="A739" s="74" t="str">
        <f t="shared" si="12"/>
        <v/>
      </c>
    </row>
    <row r="740" spans="1:1" ht="17.25" customHeight="1">
      <c r="A740" s="74" t="str">
        <f t="shared" si="12"/>
        <v/>
      </c>
    </row>
    <row r="741" spans="1:1" ht="17.25" customHeight="1">
      <c r="A741" s="74" t="str">
        <f t="shared" si="12"/>
        <v/>
      </c>
    </row>
    <row r="742" spans="1:1" ht="17.25" customHeight="1">
      <c r="A742" s="74" t="str">
        <f t="shared" si="12"/>
        <v/>
      </c>
    </row>
    <row r="743" spans="1:1" ht="17.25" customHeight="1">
      <c r="A743" s="74" t="str">
        <f t="shared" si="12"/>
        <v/>
      </c>
    </row>
    <row r="744" spans="1:1" ht="17.25" customHeight="1">
      <c r="A744" s="74" t="str">
        <f t="shared" si="12"/>
        <v/>
      </c>
    </row>
    <row r="745" spans="1:1" ht="17.25" customHeight="1">
      <c r="A745" s="74" t="str">
        <f t="shared" si="12"/>
        <v/>
      </c>
    </row>
    <row r="746" spans="1:1" ht="17.25" customHeight="1">
      <c r="A746" s="74" t="str">
        <f t="shared" si="12"/>
        <v/>
      </c>
    </row>
    <row r="747" spans="1:1" ht="17.25" customHeight="1">
      <c r="A747" s="74" t="str">
        <f t="shared" si="12"/>
        <v/>
      </c>
    </row>
    <row r="748" spans="1:1" ht="17.25" customHeight="1">
      <c r="A748" s="74" t="str">
        <f t="shared" si="12"/>
        <v/>
      </c>
    </row>
    <row r="749" spans="1:1" ht="17.25" customHeight="1">
      <c r="A749" s="74" t="str">
        <f t="shared" si="12"/>
        <v/>
      </c>
    </row>
    <row r="750" spans="1:1" ht="17.25" customHeight="1">
      <c r="A750" s="74" t="str">
        <f t="shared" si="12"/>
        <v/>
      </c>
    </row>
    <row r="751" spans="1:1" ht="17.25" customHeight="1">
      <c r="A751" s="74" t="str">
        <f t="shared" si="12"/>
        <v/>
      </c>
    </row>
    <row r="752" spans="1:1" ht="17.25" customHeight="1">
      <c r="A752" s="74" t="str">
        <f t="shared" si="12"/>
        <v/>
      </c>
    </row>
    <row r="753" spans="1:1" ht="17.25" customHeight="1">
      <c r="A753" s="74" t="str">
        <f t="shared" si="12"/>
        <v/>
      </c>
    </row>
    <row r="754" spans="1:1" ht="17.25" customHeight="1">
      <c r="A754" s="74" t="str">
        <f t="shared" si="12"/>
        <v/>
      </c>
    </row>
    <row r="755" spans="1:1" ht="17.25" customHeight="1">
      <c r="A755" s="74" t="str">
        <f t="shared" si="12"/>
        <v/>
      </c>
    </row>
    <row r="756" spans="1:1" ht="17.25" customHeight="1">
      <c r="A756" s="74" t="str">
        <f t="shared" si="12"/>
        <v/>
      </c>
    </row>
    <row r="757" spans="1:1" ht="17.25" customHeight="1">
      <c r="A757" s="74" t="str">
        <f t="shared" si="12"/>
        <v/>
      </c>
    </row>
    <row r="758" spans="1:1" ht="17.25" customHeight="1">
      <c r="A758" s="74" t="str">
        <f t="shared" si="12"/>
        <v/>
      </c>
    </row>
    <row r="759" spans="1:1" ht="17.25" customHeight="1">
      <c r="A759" s="74" t="str">
        <f t="shared" si="12"/>
        <v/>
      </c>
    </row>
    <row r="760" spans="1:1" ht="17.25" customHeight="1">
      <c r="A760" s="74" t="str">
        <f t="shared" si="12"/>
        <v/>
      </c>
    </row>
    <row r="761" spans="1:1" ht="17.25" customHeight="1">
      <c r="A761" s="74" t="str">
        <f t="shared" si="12"/>
        <v/>
      </c>
    </row>
    <row r="762" spans="1:1" ht="17.25" customHeight="1">
      <c r="A762" s="74" t="str">
        <f t="shared" si="12"/>
        <v/>
      </c>
    </row>
    <row r="763" spans="1:1" ht="17.25" customHeight="1">
      <c r="A763" s="74" t="str">
        <f t="shared" si="12"/>
        <v/>
      </c>
    </row>
    <row r="764" spans="1:1" ht="17.25" customHeight="1">
      <c r="A764" s="74" t="str">
        <f t="shared" si="12"/>
        <v/>
      </c>
    </row>
    <row r="765" spans="1:1" ht="17.25" customHeight="1">
      <c r="A765" s="74" t="str">
        <f t="shared" si="12"/>
        <v/>
      </c>
    </row>
    <row r="766" spans="1:1" ht="17.25" customHeight="1">
      <c r="A766" s="74" t="str">
        <f t="shared" si="12"/>
        <v/>
      </c>
    </row>
    <row r="767" spans="1:1" ht="17.25" customHeight="1">
      <c r="A767" s="74" t="str">
        <f t="shared" si="12"/>
        <v/>
      </c>
    </row>
    <row r="768" spans="1:1" ht="17.25" customHeight="1">
      <c r="A768" s="74" t="str">
        <f t="shared" si="12"/>
        <v/>
      </c>
    </row>
    <row r="769" spans="1:1" ht="17.25" customHeight="1">
      <c r="A769" s="74" t="str">
        <f t="shared" si="12"/>
        <v/>
      </c>
    </row>
    <row r="770" spans="1:1" ht="17.25" customHeight="1">
      <c r="A770" s="74" t="str">
        <f t="shared" si="12"/>
        <v/>
      </c>
    </row>
    <row r="771" spans="1:1" ht="17.25" customHeight="1">
      <c r="A771" s="74" t="str">
        <f t="shared" si="12"/>
        <v/>
      </c>
    </row>
    <row r="772" spans="1:1" ht="17.25" customHeight="1">
      <c r="A772" s="74" t="str">
        <f t="shared" ref="A772:A835" si="13">IF(B772&lt;&gt;"",ROW()-2,"")</f>
        <v/>
      </c>
    </row>
    <row r="773" spans="1:1" ht="17.25" customHeight="1">
      <c r="A773" s="74" t="str">
        <f t="shared" si="13"/>
        <v/>
      </c>
    </row>
    <row r="774" spans="1:1" ht="17.25" customHeight="1">
      <c r="A774" s="74" t="str">
        <f t="shared" si="13"/>
        <v/>
      </c>
    </row>
    <row r="775" spans="1:1" ht="17.25" customHeight="1">
      <c r="A775" s="74" t="str">
        <f t="shared" si="13"/>
        <v/>
      </c>
    </row>
    <row r="776" spans="1:1" ht="17.25" customHeight="1">
      <c r="A776" s="74" t="str">
        <f t="shared" si="13"/>
        <v/>
      </c>
    </row>
    <row r="777" spans="1:1" ht="17.25" customHeight="1">
      <c r="A777" s="74" t="str">
        <f t="shared" si="13"/>
        <v/>
      </c>
    </row>
    <row r="778" spans="1:1" ht="17.25" customHeight="1">
      <c r="A778" s="74" t="str">
        <f t="shared" si="13"/>
        <v/>
      </c>
    </row>
    <row r="779" spans="1:1" ht="17.25" customHeight="1">
      <c r="A779" s="74" t="str">
        <f t="shared" si="13"/>
        <v/>
      </c>
    </row>
    <row r="780" spans="1:1" ht="17.25" customHeight="1">
      <c r="A780" s="74" t="str">
        <f t="shared" si="13"/>
        <v/>
      </c>
    </row>
    <row r="781" spans="1:1" ht="17.25" customHeight="1">
      <c r="A781" s="74" t="str">
        <f t="shared" si="13"/>
        <v/>
      </c>
    </row>
    <row r="782" spans="1:1" ht="17.25" customHeight="1">
      <c r="A782" s="74" t="str">
        <f t="shared" si="13"/>
        <v/>
      </c>
    </row>
    <row r="783" spans="1:1" ht="17.25" customHeight="1">
      <c r="A783" s="74" t="str">
        <f t="shared" si="13"/>
        <v/>
      </c>
    </row>
    <row r="784" spans="1:1" ht="17.25" customHeight="1">
      <c r="A784" s="74" t="str">
        <f t="shared" si="13"/>
        <v/>
      </c>
    </row>
    <row r="785" spans="1:1" ht="17.25" customHeight="1">
      <c r="A785" s="74" t="str">
        <f t="shared" si="13"/>
        <v/>
      </c>
    </row>
    <row r="786" spans="1:1" ht="17.25" customHeight="1">
      <c r="A786" s="74" t="str">
        <f t="shared" si="13"/>
        <v/>
      </c>
    </row>
    <row r="787" spans="1:1" ht="17.25" customHeight="1">
      <c r="A787" s="74" t="str">
        <f t="shared" si="13"/>
        <v/>
      </c>
    </row>
    <row r="788" spans="1:1" ht="17.25" customHeight="1">
      <c r="A788" s="74" t="str">
        <f t="shared" si="13"/>
        <v/>
      </c>
    </row>
    <row r="789" spans="1:1" ht="17.25" customHeight="1">
      <c r="A789" s="74" t="str">
        <f t="shared" si="13"/>
        <v/>
      </c>
    </row>
    <row r="790" spans="1:1" ht="17.25" customHeight="1">
      <c r="A790" s="74" t="str">
        <f t="shared" si="13"/>
        <v/>
      </c>
    </row>
    <row r="791" spans="1:1" ht="17.25" customHeight="1">
      <c r="A791" s="74" t="str">
        <f t="shared" si="13"/>
        <v/>
      </c>
    </row>
    <row r="792" spans="1:1" ht="17.25" customHeight="1">
      <c r="A792" s="74" t="str">
        <f t="shared" si="13"/>
        <v/>
      </c>
    </row>
    <row r="793" spans="1:1" ht="17.25" customHeight="1">
      <c r="A793" s="74" t="str">
        <f t="shared" si="13"/>
        <v/>
      </c>
    </row>
    <row r="794" spans="1:1" ht="17.25" customHeight="1">
      <c r="A794" s="74" t="str">
        <f t="shared" si="13"/>
        <v/>
      </c>
    </row>
    <row r="795" spans="1:1" ht="17.25" customHeight="1">
      <c r="A795" s="74" t="str">
        <f t="shared" si="13"/>
        <v/>
      </c>
    </row>
    <row r="796" spans="1:1" ht="17.25" customHeight="1">
      <c r="A796" s="74" t="str">
        <f t="shared" si="13"/>
        <v/>
      </c>
    </row>
    <row r="797" spans="1:1" ht="17.25" customHeight="1">
      <c r="A797" s="74" t="str">
        <f t="shared" si="13"/>
        <v/>
      </c>
    </row>
    <row r="798" spans="1:1" ht="17.25" customHeight="1">
      <c r="A798" s="74" t="str">
        <f t="shared" si="13"/>
        <v/>
      </c>
    </row>
    <row r="799" spans="1:1" ht="17.25" customHeight="1">
      <c r="A799" s="74" t="str">
        <f t="shared" si="13"/>
        <v/>
      </c>
    </row>
    <row r="800" spans="1:1" ht="17.25" customHeight="1">
      <c r="A800" s="74" t="str">
        <f t="shared" si="13"/>
        <v/>
      </c>
    </row>
    <row r="801" spans="1:1" ht="17.25" customHeight="1">
      <c r="A801" s="74" t="str">
        <f t="shared" si="13"/>
        <v/>
      </c>
    </row>
    <row r="802" spans="1:1" ht="17.25" customHeight="1">
      <c r="A802" s="74" t="str">
        <f t="shared" si="13"/>
        <v/>
      </c>
    </row>
    <row r="803" spans="1:1" ht="17.25" customHeight="1">
      <c r="A803" s="74" t="str">
        <f t="shared" si="13"/>
        <v/>
      </c>
    </row>
    <row r="804" spans="1:1" ht="17.25" customHeight="1">
      <c r="A804" s="74" t="str">
        <f t="shared" si="13"/>
        <v/>
      </c>
    </row>
    <row r="805" spans="1:1" ht="17.25" customHeight="1">
      <c r="A805" s="74" t="str">
        <f t="shared" si="13"/>
        <v/>
      </c>
    </row>
    <row r="806" spans="1:1" ht="17.25" customHeight="1">
      <c r="A806" s="74" t="str">
        <f t="shared" si="13"/>
        <v/>
      </c>
    </row>
    <row r="807" spans="1:1" ht="17.25" customHeight="1">
      <c r="A807" s="74" t="str">
        <f t="shared" si="13"/>
        <v/>
      </c>
    </row>
    <row r="808" spans="1:1" ht="17.25" customHeight="1">
      <c r="A808" s="74" t="str">
        <f t="shared" si="13"/>
        <v/>
      </c>
    </row>
    <row r="809" spans="1:1" ht="17.25" customHeight="1">
      <c r="A809" s="74" t="str">
        <f t="shared" si="13"/>
        <v/>
      </c>
    </row>
    <row r="810" spans="1:1" ht="17.25" customHeight="1">
      <c r="A810" s="74" t="str">
        <f t="shared" si="13"/>
        <v/>
      </c>
    </row>
    <row r="811" spans="1:1" ht="17.25" customHeight="1">
      <c r="A811" s="74" t="str">
        <f t="shared" si="13"/>
        <v/>
      </c>
    </row>
    <row r="812" spans="1:1" ht="17.25" customHeight="1">
      <c r="A812" s="74" t="str">
        <f t="shared" si="13"/>
        <v/>
      </c>
    </row>
    <row r="813" spans="1:1" ht="17.25" customHeight="1">
      <c r="A813" s="74" t="str">
        <f t="shared" si="13"/>
        <v/>
      </c>
    </row>
    <row r="814" spans="1:1" ht="17.25" customHeight="1">
      <c r="A814" s="74" t="str">
        <f t="shared" si="13"/>
        <v/>
      </c>
    </row>
    <row r="815" spans="1:1" ht="17.25" customHeight="1">
      <c r="A815" s="74" t="str">
        <f t="shared" si="13"/>
        <v/>
      </c>
    </row>
    <row r="816" spans="1:1" ht="17.25" customHeight="1">
      <c r="A816" s="74" t="str">
        <f t="shared" si="13"/>
        <v/>
      </c>
    </row>
    <row r="817" spans="1:1" ht="17.25" customHeight="1">
      <c r="A817" s="74" t="str">
        <f t="shared" si="13"/>
        <v/>
      </c>
    </row>
    <row r="818" spans="1:1" ht="17.25" customHeight="1">
      <c r="A818" s="74" t="str">
        <f t="shared" si="13"/>
        <v/>
      </c>
    </row>
    <row r="819" spans="1:1" ht="17.25" customHeight="1">
      <c r="A819" s="74" t="str">
        <f t="shared" si="13"/>
        <v/>
      </c>
    </row>
    <row r="820" spans="1:1" ht="17.25" customHeight="1">
      <c r="A820" s="74" t="str">
        <f t="shared" si="13"/>
        <v/>
      </c>
    </row>
    <row r="821" spans="1:1" ht="17.25" customHeight="1">
      <c r="A821" s="74" t="str">
        <f t="shared" si="13"/>
        <v/>
      </c>
    </row>
    <row r="822" spans="1:1" ht="17.25" customHeight="1">
      <c r="A822" s="74" t="str">
        <f t="shared" si="13"/>
        <v/>
      </c>
    </row>
    <row r="823" spans="1:1" ht="17.25" customHeight="1">
      <c r="A823" s="74" t="str">
        <f t="shared" si="13"/>
        <v/>
      </c>
    </row>
    <row r="824" spans="1:1" ht="17.25" customHeight="1">
      <c r="A824" s="74" t="str">
        <f t="shared" si="13"/>
        <v/>
      </c>
    </row>
    <row r="825" spans="1:1" ht="17.25" customHeight="1">
      <c r="A825" s="74" t="str">
        <f t="shared" si="13"/>
        <v/>
      </c>
    </row>
    <row r="826" spans="1:1" ht="17.25" customHeight="1">
      <c r="A826" s="74" t="str">
        <f t="shared" si="13"/>
        <v/>
      </c>
    </row>
    <row r="827" spans="1:1" ht="17.25" customHeight="1">
      <c r="A827" s="74" t="str">
        <f t="shared" si="13"/>
        <v/>
      </c>
    </row>
    <row r="828" spans="1:1" ht="17.25" customHeight="1">
      <c r="A828" s="74" t="str">
        <f t="shared" si="13"/>
        <v/>
      </c>
    </row>
    <row r="829" spans="1:1" ht="17.25" customHeight="1">
      <c r="A829" s="74" t="str">
        <f t="shared" si="13"/>
        <v/>
      </c>
    </row>
    <row r="830" spans="1:1" ht="17.25" customHeight="1">
      <c r="A830" s="74" t="str">
        <f t="shared" si="13"/>
        <v/>
      </c>
    </row>
    <row r="831" spans="1:1" ht="17.25" customHeight="1">
      <c r="A831" s="74" t="str">
        <f t="shared" si="13"/>
        <v/>
      </c>
    </row>
    <row r="832" spans="1:1" ht="17.25" customHeight="1">
      <c r="A832" s="74" t="str">
        <f t="shared" si="13"/>
        <v/>
      </c>
    </row>
    <row r="833" spans="1:1" ht="17.25" customHeight="1">
      <c r="A833" s="74" t="str">
        <f t="shared" si="13"/>
        <v/>
      </c>
    </row>
    <row r="834" spans="1:1" ht="17.25" customHeight="1">
      <c r="A834" s="74" t="str">
        <f t="shared" si="13"/>
        <v/>
      </c>
    </row>
    <row r="835" spans="1:1" ht="17.25" customHeight="1">
      <c r="A835" s="74" t="str">
        <f t="shared" si="13"/>
        <v/>
      </c>
    </row>
    <row r="836" spans="1:1" ht="17.25" customHeight="1">
      <c r="A836" s="74" t="str">
        <f t="shared" ref="A836:A899" si="14">IF(B836&lt;&gt;"",ROW()-2,"")</f>
        <v/>
      </c>
    </row>
    <row r="837" spans="1:1" ht="17.25" customHeight="1">
      <c r="A837" s="74" t="str">
        <f t="shared" si="14"/>
        <v/>
      </c>
    </row>
    <row r="838" spans="1:1" ht="17.25" customHeight="1">
      <c r="A838" s="74" t="str">
        <f t="shared" si="14"/>
        <v/>
      </c>
    </row>
    <row r="839" spans="1:1" ht="17.25" customHeight="1">
      <c r="A839" s="74" t="str">
        <f t="shared" si="14"/>
        <v/>
      </c>
    </row>
    <row r="840" spans="1:1" ht="17.25" customHeight="1">
      <c r="A840" s="74" t="str">
        <f t="shared" si="14"/>
        <v/>
      </c>
    </row>
    <row r="841" spans="1:1" ht="17.25" customHeight="1">
      <c r="A841" s="74" t="str">
        <f t="shared" si="14"/>
        <v/>
      </c>
    </row>
    <row r="842" spans="1:1" ht="17.25" customHeight="1">
      <c r="A842" s="74" t="str">
        <f t="shared" si="14"/>
        <v/>
      </c>
    </row>
    <row r="843" spans="1:1" ht="17.25" customHeight="1">
      <c r="A843" s="74" t="str">
        <f t="shared" si="14"/>
        <v/>
      </c>
    </row>
    <row r="844" spans="1:1" ht="17.25" customHeight="1">
      <c r="A844" s="74" t="str">
        <f t="shared" si="14"/>
        <v/>
      </c>
    </row>
    <row r="845" spans="1:1" ht="17.25" customHeight="1">
      <c r="A845" s="74" t="str">
        <f t="shared" si="14"/>
        <v/>
      </c>
    </row>
    <row r="846" spans="1:1" ht="17.25" customHeight="1">
      <c r="A846" s="74" t="str">
        <f t="shared" si="14"/>
        <v/>
      </c>
    </row>
    <row r="847" spans="1:1" ht="17.25" customHeight="1">
      <c r="A847" s="74" t="str">
        <f t="shared" si="14"/>
        <v/>
      </c>
    </row>
    <row r="848" spans="1:1" ht="17.25" customHeight="1">
      <c r="A848" s="74" t="str">
        <f t="shared" si="14"/>
        <v/>
      </c>
    </row>
    <row r="849" spans="1:1" ht="17.25" customHeight="1">
      <c r="A849" s="74" t="str">
        <f t="shared" si="14"/>
        <v/>
      </c>
    </row>
    <row r="850" spans="1:1" ht="17.25" customHeight="1">
      <c r="A850" s="74" t="str">
        <f t="shared" si="14"/>
        <v/>
      </c>
    </row>
    <row r="851" spans="1:1" ht="17.25" customHeight="1">
      <c r="A851" s="74" t="str">
        <f t="shared" si="14"/>
        <v/>
      </c>
    </row>
    <row r="852" spans="1:1" ht="17.25" customHeight="1">
      <c r="A852" s="74" t="str">
        <f t="shared" si="14"/>
        <v/>
      </c>
    </row>
    <row r="853" spans="1:1" ht="17.25" customHeight="1">
      <c r="A853" s="74" t="str">
        <f t="shared" si="14"/>
        <v/>
      </c>
    </row>
    <row r="854" spans="1:1" ht="17.25" customHeight="1">
      <c r="A854" s="74" t="str">
        <f t="shared" si="14"/>
        <v/>
      </c>
    </row>
    <row r="855" spans="1:1" ht="17.25" customHeight="1">
      <c r="A855" s="74" t="str">
        <f t="shared" si="14"/>
        <v/>
      </c>
    </row>
    <row r="856" spans="1:1" ht="17.25" customHeight="1">
      <c r="A856" s="74" t="str">
        <f t="shared" si="14"/>
        <v/>
      </c>
    </row>
    <row r="857" spans="1:1" ht="17.25" customHeight="1">
      <c r="A857" s="74" t="str">
        <f t="shared" si="14"/>
        <v/>
      </c>
    </row>
    <row r="858" spans="1:1" ht="17.25" customHeight="1">
      <c r="A858" s="74" t="str">
        <f t="shared" si="14"/>
        <v/>
      </c>
    </row>
    <row r="859" spans="1:1" ht="17.25" customHeight="1">
      <c r="A859" s="74" t="str">
        <f t="shared" si="14"/>
        <v/>
      </c>
    </row>
    <row r="860" spans="1:1" ht="17.25" customHeight="1">
      <c r="A860" s="74" t="str">
        <f t="shared" si="14"/>
        <v/>
      </c>
    </row>
    <row r="861" spans="1:1" ht="17.25" customHeight="1">
      <c r="A861" s="74" t="str">
        <f t="shared" si="14"/>
        <v/>
      </c>
    </row>
    <row r="862" spans="1:1" ht="17.25" customHeight="1">
      <c r="A862" s="74" t="str">
        <f t="shared" si="14"/>
        <v/>
      </c>
    </row>
    <row r="863" spans="1:1" ht="17.25" customHeight="1">
      <c r="A863" s="74" t="str">
        <f t="shared" si="14"/>
        <v/>
      </c>
    </row>
    <row r="864" spans="1:1" ht="17.25" customHeight="1">
      <c r="A864" s="74" t="str">
        <f t="shared" si="14"/>
        <v/>
      </c>
    </row>
    <row r="865" spans="1:1" ht="17.25" customHeight="1">
      <c r="A865" s="74" t="str">
        <f t="shared" si="14"/>
        <v/>
      </c>
    </row>
    <row r="866" spans="1:1" ht="17.25" customHeight="1">
      <c r="A866" s="74" t="str">
        <f t="shared" si="14"/>
        <v/>
      </c>
    </row>
    <row r="867" spans="1:1" ht="17.25" customHeight="1">
      <c r="A867" s="74" t="str">
        <f t="shared" si="14"/>
        <v/>
      </c>
    </row>
    <row r="868" spans="1:1" ht="17.25" customHeight="1">
      <c r="A868" s="74" t="str">
        <f t="shared" si="14"/>
        <v/>
      </c>
    </row>
    <row r="869" spans="1:1" ht="17.25" customHeight="1">
      <c r="A869" s="74" t="str">
        <f t="shared" si="14"/>
        <v/>
      </c>
    </row>
    <row r="870" spans="1:1" ht="17.25" customHeight="1">
      <c r="A870" s="74" t="str">
        <f t="shared" si="14"/>
        <v/>
      </c>
    </row>
    <row r="871" spans="1:1" ht="17.25" customHeight="1">
      <c r="A871" s="74" t="str">
        <f t="shared" si="14"/>
        <v/>
      </c>
    </row>
    <row r="872" spans="1:1" ht="17.25" customHeight="1">
      <c r="A872" s="74" t="str">
        <f t="shared" si="14"/>
        <v/>
      </c>
    </row>
    <row r="873" spans="1:1" ht="17.25" customHeight="1">
      <c r="A873" s="74" t="str">
        <f t="shared" si="14"/>
        <v/>
      </c>
    </row>
    <row r="874" spans="1:1" ht="17.25" customHeight="1">
      <c r="A874" s="74" t="str">
        <f t="shared" si="14"/>
        <v/>
      </c>
    </row>
    <row r="875" spans="1:1" ht="17.25" customHeight="1">
      <c r="A875" s="74" t="str">
        <f t="shared" si="14"/>
        <v/>
      </c>
    </row>
    <row r="876" spans="1:1" ht="17.25" customHeight="1">
      <c r="A876" s="74" t="str">
        <f t="shared" si="14"/>
        <v/>
      </c>
    </row>
    <row r="877" spans="1:1" ht="17.25" customHeight="1">
      <c r="A877" s="74" t="str">
        <f t="shared" si="14"/>
        <v/>
      </c>
    </row>
    <row r="878" spans="1:1" ht="17.25" customHeight="1">
      <c r="A878" s="74" t="str">
        <f t="shared" si="14"/>
        <v/>
      </c>
    </row>
    <row r="879" spans="1:1" ht="17.25" customHeight="1">
      <c r="A879" s="74" t="str">
        <f t="shared" si="14"/>
        <v/>
      </c>
    </row>
    <row r="880" spans="1:1" ht="17.25" customHeight="1">
      <c r="A880" s="74" t="str">
        <f t="shared" si="14"/>
        <v/>
      </c>
    </row>
    <row r="881" spans="1:1" ht="17.25" customHeight="1">
      <c r="A881" s="74" t="str">
        <f t="shared" si="14"/>
        <v/>
      </c>
    </row>
    <row r="882" spans="1:1" ht="17.25" customHeight="1">
      <c r="A882" s="74" t="str">
        <f t="shared" si="14"/>
        <v/>
      </c>
    </row>
    <row r="883" spans="1:1" ht="17.25" customHeight="1">
      <c r="A883" s="74" t="str">
        <f t="shared" si="14"/>
        <v/>
      </c>
    </row>
    <row r="884" spans="1:1" ht="17.25" customHeight="1">
      <c r="A884" s="74" t="str">
        <f t="shared" si="14"/>
        <v/>
      </c>
    </row>
    <row r="885" spans="1:1" ht="17.25" customHeight="1">
      <c r="A885" s="74" t="str">
        <f t="shared" si="14"/>
        <v/>
      </c>
    </row>
    <row r="886" spans="1:1" ht="17.25" customHeight="1">
      <c r="A886" s="74" t="str">
        <f t="shared" si="14"/>
        <v/>
      </c>
    </row>
    <row r="887" spans="1:1" ht="17.25" customHeight="1">
      <c r="A887" s="74" t="str">
        <f t="shared" si="14"/>
        <v/>
      </c>
    </row>
    <row r="888" spans="1:1" ht="17.25" customHeight="1">
      <c r="A888" s="74" t="str">
        <f t="shared" si="14"/>
        <v/>
      </c>
    </row>
    <row r="889" spans="1:1" ht="17.25" customHeight="1">
      <c r="A889" s="74" t="str">
        <f t="shared" si="14"/>
        <v/>
      </c>
    </row>
    <row r="890" spans="1:1" ht="17.25" customHeight="1">
      <c r="A890" s="74" t="str">
        <f t="shared" si="14"/>
        <v/>
      </c>
    </row>
    <row r="891" spans="1:1" ht="17.25" customHeight="1">
      <c r="A891" s="74" t="str">
        <f t="shared" si="14"/>
        <v/>
      </c>
    </row>
    <row r="892" spans="1:1" ht="17.25" customHeight="1">
      <c r="A892" s="74" t="str">
        <f t="shared" si="14"/>
        <v/>
      </c>
    </row>
    <row r="893" spans="1:1" ht="17.25" customHeight="1">
      <c r="A893" s="74" t="str">
        <f t="shared" si="14"/>
        <v/>
      </c>
    </row>
    <row r="894" spans="1:1" ht="17.25" customHeight="1">
      <c r="A894" s="74" t="str">
        <f t="shared" si="14"/>
        <v/>
      </c>
    </row>
    <row r="895" spans="1:1" ht="17.25" customHeight="1">
      <c r="A895" s="74" t="str">
        <f t="shared" si="14"/>
        <v/>
      </c>
    </row>
    <row r="896" spans="1:1" ht="17.25" customHeight="1">
      <c r="A896" s="74" t="str">
        <f t="shared" si="14"/>
        <v/>
      </c>
    </row>
    <row r="897" spans="1:1" ht="17.25" customHeight="1">
      <c r="A897" s="74" t="str">
        <f t="shared" si="14"/>
        <v/>
      </c>
    </row>
    <row r="898" spans="1:1" ht="17.25" customHeight="1">
      <c r="A898" s="74" t="str">
        <f t="shared" si="14"/>
        <v/>
      </c>
    </row>
    <row r="899" spans="1:1" ht="17.25" customHeight="1">
      <c r="A899" s="74" t="str">
        <f t="shared" si="14"/>
        <v/>
      </c>
    </row>
    <row r="900" spans="1:1" ht="17.25" customHeight="1">
      <c r="A900" s="74" t="str">
        <f t="shared" ref="A900:A963" si="15">IF(B900&lt;&gt;"",ROW()-2,"")</f>
        <v/>
      </c>
    </row>
    <row r="901" spans="1:1" ht="17.25" customHeight="1">
      <c r="A901" s="74" t="str">
        <f t="shared" si="15"/>
        <v/>
      </c>
    </row>
    <row r="902" spans="1:1" ht="17.25" customHeight="1">
      <c r="A902" s="74" t="str">
        <f t="shared" si="15"/>
        <v/>
      </c>
    </row>
    <row r="903" spans="1:1" ht="17.25" customHeight="1">
      <c r="A903" s="74" t="str">
        <f t="shared" si="15"/>
        <v/>
      </c>
    </row>
    <row r="904" spans="1:1" ht="17.25" customHeight="1">
      <c r="A904" s="74" t="str">
        <f t="shared" si="15"/>
        <v/>
      </c>
    </row>
    <row r="905" spans="1:1" ht="17.25" customHeight="1">
      <c r="A905" s="74" t="str">
        <f t="shared" si="15"/>
        <v/>
      </c>
    </row>
    <row r="906" spans="1:1" ht="17.25" customHeight="1">
      <c r="A906" s="74" t="str">
        <f t="shared" si="15"/>
        <v/>
      </c>
    </row>
    <row r="907" spans="1:1" ht="17.25" customHeight="1">
      <c r="A907" s="74" t="str">
        <f t="shared" si="15"/>
        <v/>
      </c>
    </row>
    <row r="908" spans="1:1" ht="17.25" customHeight="1">
      <c r="A908" s="74" t="str">
        <f t="shared" si="15"/>
        <v/>
      </c>
    </row>
    <row r="909" spans="1:1" ht="17.25" customHeight="1">
      <c r="A909" s="74" t="str">
        <f t="shared" si="15"/>
        <v/>
      </c>
    </row>
    <row r="910" spans="1:1" ht="17.25" customHeight="1">
      <c r="A910" s="74" t="str">
        <f t="shared" si="15"/>
        <v/>
      </c>
    </row>
    <row r="911" spans="1:1" ht="17.25" customHeight="1">
      <c r="A911" s="74" t="str">
        <f t="shared" si="15"/>
        <v/>
      </c>
    </row>
    <row r="912" spans="1:1" ht="17.25" customHeight="1">
      <c r="A912" s="74" t="str">
        <f t="shared" si="15"/>
        <v/>
      </c>
    </row>
    <row r="913" spans="1:1" ht="17.25" customHeight="1">
      <c r="A913" s="74" t="str">
        <f t="shared" si="15"/>
        <v/>
      </c>
    </row>
    <row r="914" spans="1:1" ht="17.25" customHeight="1">
      <c r="A914" s="74" t="str">
        <f t="shared" si="15"/>
        <v/>
      </c>
    </row>
    <row r="915" spans="1:1" ht="17.25" customHeight="1">
      <c r="A915" s="74" t="str">
        <f t="shared" si="15"/>
        <v/>
      </c>
    </row>
    <row r="916" spans="1:1" ht="17.25" customHeight="1">
      <c r="A916" s="74" t="str">
        <f t="shared" si="15"/>
        <v/>
      </c>
    </row>
    <row r="917" spans="1:1" ht="17.25" customHeight="1">
      <c r="A917" s="74" t="str">
        <f t="shared" si="15"/>
        <v/>
      </c>
    </row>
    <row r="918" spans="1:1" ht="17.25" customHeight="1">
      <c r="A918" s="74" t="str">
        <f t="shared" si="15"/>
        <v/>
      </c>
    </row>
    <row r="919" spans="1:1" ht="17.25" customHeight="1">
      <c r="A919" s="74" t="str">
        <f t="shared" si="15"/>
        <v/>
      </c>
    </row>
    <row r="920" spans="1:1" ht="17.25" customHeight="1">
      <c r="A920" s="74" t="str">
        <f t="shared" si="15"/>
        <v/>
      </c>
    </row>
    <row r="921" spans="1:1" ht="17.25" customHeight="1">
      <c r="A921" s="74" t="str">
        <f t="shared" si="15"/>
        <v/>
      </c>
    </row>
    <row r="922" spans="1:1" ht="17.25" customHeight="1">
      <c r="A922" s="74" t="str">
        <f t="shared" si="15"/>
        <v/>
      </c>
    </row>
    <row r="923" spans="1:1" ht="17.25" customHeight="1">
      <c r="A923" s="74" t="str">
        <f t="shared" si="15"/>
        <v/>
      </c>
    </row>
    <row r="924" spans="1:1" ht="17.25" customHeight="1">
      <c r="A924" s="74" t="str">
        <f t="shared" si="15"/>
        <v/>
      </c>
    </row>
    <row r="925" spans="1:1" ht="17.25" customHeight="1">
      <c r="A925" s="74" t="str">
        <f t="shared" si="15"/>
        <v/>
      </c>
    </row>
    <row r="926" spans="1:1" ht="17.25" customHeight="1">
      <c r="A926" s="74" t="str">
        <f t="shared" si="15"/>
        <v/>
      </c>
    </row>
    <row r="927" spans="1:1" ht="17.25" customHeight="1">
      <c r="A927" s="74" t="str">
        <f t="shared" si="15"/>
        <v/>
      </c>
    </row>
    <row r="928" spans="1:1" ht="17.25" customHeight="1">
      <c r="A928" s="74" t="str">
        <f t="shared" si="15"/>
        <v/>
      </c>
    </row>
    <row r="929" spans="1:1" ht="17.25" customHeight="1">
      <c r="A929" s="74" t="str">
        <f t="shared" si="15"/>
        <v/>
      </c>
    </row>
    <row r="930" spans="1:1" ht="17.25" customHeight="1">
      <c r="A930" s="74" t="str">
        <f t="shared" si="15"/>
        <v/>
      </c>
    </row>
    <row r="931" spans="1:1" ht="17.25" customHeight="1">
      <c r="A931" s="74" t="str">
        <f t="shared" si="15"/>
        <v/>
      </c>
    </row>
    <row r="932" spans="1:1" ht="17.25" customHeight="1">
      <c r="A932" s="74" t="str">
        <f t="shared" si="15"/>
        <v/>
      </c>
    </row>
    <row r="933" spans="1:1" ht="17.25" customHeight="1">
      <c r="A933" s="74" t="str">
        <f t="shared" si="15"/>
        <v/>
      </c>
    </row>
    <row r="934" spans="1:1" ht="17.25" customHeight="1">
      <c r="A934" s="74" t="str">
        <f t="shared" si="15"/>
        <v/>
      </c>
    </row>
    <row r="935" spans="1:1" ht="17.25" customHeight="1">
      <c r="A935" s="74" t="str">
        <f t="shared" si="15"/>
        <v/>
      </c>
    </row>
    <row r="936" spans="1:1" ht="17.25" customHeight="1">
      <c r="A936" s="74" t="str">
        <f t="shared" si="15"/>
        <v/>
      </c>
    </row>
    <row r="937" spans="1:1" ht="17.25" customHeight="1">
      <c r="A937" s="74" t="str">
        <f t="shared" si="15"/>
        <v/>
      </c>
    </row>
    <row r="938" spans="1:1" ht="17.25" customHeight="1">
      <c r="A938" s="74" t="str">
        <f t="shared" si="15"/>
        <v/>
      </c>
    </row>
    <row r="939" spans="1:1" ht="17.25" customHeight="1">
      <c r="A939" s="74" t="str">
        <f t="shared" si="15"/>
        <v/>
      </c>
    </row>
    <row r="940" spans="1:1" ht="17.25" customHeight="1">
      <c r="A940" s="74" t="str">
        <f t="shared" si="15"/>
        <v/>
      </c>
    </row>
    <row r="941" spans="1:1" ht="17.25" customHeight="1">
      <c r="A941" s="74" t="str">
        <f t="shared" si="15"/>
        <v/>
      </c>
    </row>
    <row r="942" spans="1:1" ht="17.25" customHeight="1">
      <c r="A942" s="74" t="str">
        <f t="shared" si="15"/>
        <v/>
      </c>
    </row>
    <row r="943" spans="1:1" ht="17.25" customHeight="1">
      <c r="A943" s="74" t="str">
        <f t="shared" si="15"/>
        <v/>
      </c>
    </row>
    <row r="944" spans="1:1" ht="17.25" customHeight="1">
      <c r="A944" s="74" t="str">
        <f t="shared" si="15"/>
        <v/>
      </c>
    </row>
    <row r="945" spans="1:1" ht="17.25" customHeight="1">
      <c r="A945" s="74" t="str">
        <f t="shared" si="15"/>
        <v/>
      </c>
    </row>
    <row r="946" spans="1:1" ht="17.25" customHeight="1">
      <c r="A946" s="74" t="str">
        <f t="shared" si="15"/>
        <v/>
      </c>
    </row>
    <row r="947" spans="1:1" ht="17.25" customHeight="1">
      <c r="A947" s="74" t="str">
        <f t="shared" si="15"/>
        <v/>
      </c>
    </row>
    <row r="948" spans="1:1" ht="17.25" customHeight="1">
      <c r="A948" s="74" t="str">
        <f t="shared" si="15"/>
        <v/>
      </c>
    </row>
    <row r="949" spans="1:1" ht="17.25" customHeight="1">
      <c r="A949" s="74" t="str">
        <f t="shared" si="15"/>
        <v/>
      </c>
    </row>
    <row r="950" spans="1:1" ht="17.25" customHeight="1">
      <c r="A950" s="74" t="str">
        <f t="shared" si="15"/>
        <v/>
      </c>
    </row>
    <row r="951" spans="1:1" ht="17.25" customHeight="1">
      <c r="A951" s="74" t="str">
        <f t="shared" si="15"/>
        <v/>
      </c>
    </row>
    <row r="952" spans="1:1" ht="17.25" customHeight="1">
      <c r="A952" s="74" t="str">
        <f t="shared" si="15"/>
        <v/>
      </c>
    </row>
    <row r="953" spans="1:1" ht="17.25" customHeight="1">
      <c r="A953" s="74" t="str">
        <f t="shared" si="15"/>
        <v/>
      </c>
    </row>
    <row r="954" spans="1:1" ht="17.25" customHeight="1">
      <c r="A954" s="74" t="str">
        <f t="shared" si="15"/>
        <v/>
      </c>
    </row>
    <row r="955" spans="1:1" ht="17.25" customHeight="1">
      <c r="A955" s="74" t="str">
        <f t="shared" si="15"/>
        <v/>
      </c>
    </row>
    <row r="956" spans="1:1" ht="17.25" customHeight="1">
      <c r="A956" s="74" t="str">
        <f t="shared" si="15"/>
        <v/>
      </c>
    </row>
    <row r="957" spans="1:1" ht="17.25" customHeight="1">
      <c r="A957" s="74" t="str">
        <f t="shared" si="15"/>
        <v/>
      </c>
    </row>
    <row r="958" spans="1:1" ht="17.25" customHeight="1">
      <c r="A958" s="74" t="str">
        <f t="shared" si="15"/>
        <v/>
      </c>
    </row>
    <row r="959" spans="1:1" ht="17.25" customHeight="1">
      <c r="A959" s="74" t="str">
        <f t="shared" si="15"/>
        <v/>
      </c>
    </row>
    <row r="960" spans="1:1" ht="17.25" customHeight="1">
      <c r="A960" s="74" t="str">
        <f t="shared" si="15"/>
        <v/>
      </c>
    </row>
    <row r="961" spans="1:1" ht="17.25" customHeight="1">
      <c r="A961" s="74" t="str">
        <f t="shared" si="15"/>
        <v/>
      </c>
    </row>
    <row r="962" spans="1:1" ht="17.25" customHeight="1">
      <c r="A962" s="74" t="str">
        <f t="shared" si="15"/>
        <v/>
      </c>
    </row>
    <row r="963" spans="1:1" ht="17.25" customHeight="1">
      <c r="A963" s="74" t="str">
        <f t="shared" si="15"/>
        <v/>
      </c>
    </row>
    <row r="964" spans="1:1" ht="17.25" customHeight="1">
      <c r="A964" s="74" t="str">
        <f t="shared" ref="A964:A1027" si="16">IF(B964&lt;&gt;"",ROW()-2,"")</f>
        <v/>
      </c>
    </row>
    <row r="965" spans="1:1" ht="17.25" customHeight="1">
      <c r="A965" s="74" t="str">
        <f t="shared" si="16"/>
        <v/>
      </c>
    </row>
    <row r="966" spans="1:1" ht="17.25" customHeight="1">
      <c r="A966" s="74" t="str">
        <f t="shared" si="16"/>
        <v/>
      </c>
    </row>
    <row r="967" spans="1:1" ht="17.25" customHeight="1">
      <c r="A967" s="74" t="str">
        <f t="shared" si="16"/>
        <v/>
      </c>
    </row>
    <row r="968" spans="1:1" ht="17.25" customHeight="1">
      <c r="A968" s="74" t="str">
        <f t="shared" si="16"/>
        <v/>
      </c>
    </row>
    <row r="969" spans="1:1" ht="17.25" customHeight="1">
      <c r="A969" s="74" t="str">
        <f t="shared" si="16"/>
        <v/>
      </c>
    </row>
    <row r="970" spans="1:1" ht="17.25" customHeight="1">
      <c r="A970" s="74" t="str">
        <f t="shared" si="16"/>
        <v/>
      </c>
    </row>
    <row r="971" spans="1:1" ht="17.25" customHeight="1">
      <c r="A971" s="74" t="str">
        <f t="shared" si="16"/>
        <v/>
      </c>
    </row>
    <row r="972" spans="1:1" ht="17.25" customHeight="1">
      <c r="A972" s="74" t="str">
        <f t="shared" si="16"/>
        <v/>
      </c>
    </row>
    <row r="973" spans="1:1" ht="17.25" customHeight="1">
      <c r="A973" s="74" t="str">
        <f t="shared" si="16"/>
        <v/>
      </c>
    </row>
    <row r="974" spans="1:1" ht="17.25" customHeight="1">
      <c r="A974" s="74" t="str">
        <f t="shared" si="16"/>
        <v/>
      </c>
    </row>
    <row r="975" spans="1:1" ht="17.25" customHeight="1">
      <c r="A975" s="74" t="str">
        <f t="shared" si="16"/>
        <v/>
      </c>
    </row>
    <row r="976" spans="1:1" ht="17.25" customHeight="1">
      <c r="A976" s="74" t="str">
        <f t="shared" si="16"/>
        <v/>
      </c>
    </row>
    <row r="977" spans="1:1" ht="17.25" customHeight="1">
      <c r="A977" s="74" t="str">
        <f t="shared" si="16"/>
        <v/>
      </c>
    </row>
    <row r="978" spans="1:1" ht="17.25" customHeight="1">
      <c r="A978" s="74" t="str">
        <f t="shared" si="16"/>
        <v/>
      </c>
    </row>
    <row r="979" spans="1:1" ht="17.25" customHeight="1">
      <c r="A979" s="74" t="str">
        <f t="shared" si="16"/>
        <v/>
      </c>
    </row>
    <row r="980" spans="1:1" ht="17.25" customHeight="1">
      <c r="A980" s="74" t="str">
        <f t="shared" si="16"/>
        <v/>
      </c>
    </row>
    <row r="981" spans="1:1" ht="17.25" customHeight="1">
      <c r="A981" s="74" t="str">
        <f t="shared" si="16"/>
        <v/>
      </c>
    </row>
    <row r="982" spans="1:1" ht="17.25" customHeight="1">
      <c r="A982" s="74" t="str">
        <f t="shared" si="16"/>
        <v/>
      </c>
    </row>
    <row r="983" spans="1:1" ht="17.25" customHeight="1">
      <c r="A983" s="74" t="str">
        <f t="shared" si="16"/>
        <v/>
      </c>
    </row>
    <row r="984" spans="1:1" ht="17.25" customHeight="1">
      <c r="A984" s="74" t="str">
        <f t="shared" si="16"/>
        <v/>
      </c>
    </row>
    <row r="985" spans="1:1" ht="17.25" customHeight="1">
      <c r="A985" s="74" t="str">
        <f t="shared" si="16"/>
        <v/>
      </c>
    </row>
    <row r="986" spans="1:1" ht="17.25" customHeight="1">
      <c r="A986" s="74" t="str">
        <f t="shared" si="16"/>
        <v/>
      </c>
    </row>
    <row r="987" spans="1:1" ht="17.25" customHeight="1">
      <c r="A987" s="74" t="str">
        <f t="shared" si="16"/>
        <v/>
      </c>
    </row>
    <row r="988" spans="1:1" ht="17.25" customHeight="1">
      <c r="A988" s="74" t="str">
        <f t="shared" si="16"/>
        <v/>
      </c>
    </row>
    <row r="989" spans="1:1" ht="17.25" customHeight="1">
      <c r="A989" s="74" t="str">
        <f t="shared" si="16"/>
        <v/>
      </c>
    </row>
    <row r="990" spans="1:1" ht="17.25" customHeight="1">
      <c r="A990" s="74" t="str">
        <f t="shared" si="16"/>
        <v/>
      </c>
    </row>
    <row r="991" spans="1:1" ht="17.25" customHeight="1">
      <c r="A991" s="74" t="str">
        <f t="shared" si="16"/>
        <v/>
      </c>
    </row>
    <row r="992" spans="1:1" ht="17.25" customHeight="1">
      <c r="A992" s="74" t="str">
        <f t="shared" si="16"/>
        <v/>
      </c>
    </row>
    <row r="993" spans="1:1" ht="17.25" customHeight="1">
      <c r="A993" s="74" t="str">
        <f t="shared" si="16"/>
        <v/>
      </c>
    </row>
    <row r="994" spans="1:1" ht="17.25" customHeight="1">
      <c r="A994" s="74" t="str">
        <f t="shared" si="16"/>
        <v/>
      </c>
    </row>
    <row r="995" spans="1:1" ht="17.25" customHeight="1">
      <c r="A995" s="74" t="str">
        <f t="shared" si="16"/>
        <v/>
      </c>
    </row>
    <row r="996" spans="1:1" ht="17.25" customHeight="1">
      <c r="A996" s="74" t="str">
        <f t="shared" si="16"/>
        <v/>
      </c>
    </row>
    <row r="997" spans="1:1" ht="17.25" customHeight="1">
      <c r="A997" s="74" t="str">
        <f t="shared" si="16"/>
        <v/>
      </c>
    </row>
    <row r="998" spans="1:1" ht="17.25" customHeight="1">
      <c r="A998" s="74" t="str">
        <f t="shared" si="16"/>
        <v/>
      </c>
    </row>
    <row r="999" spans="1:1" ht="17.25" customHeight="1">
      <c r="A999" s="74" t="str">
        <f t="shared" si="16"/>
        <v/>
      </c>
    </row>
    <row r="1000" spans="1:1" ht="17.25" customHeight="1">
      <c r="A1000" s="74" t="str">
        <f t="shared" si="16"/>
        <v/>
      </c>
    </row>
    <row r="1001" spans="1:1" ht="17.25" customHeight="1">
      <c r="A1001" s="74" t="str">
        <f t="shared" si="16"/>
        <v/>
      </c>
    </row>
    <row r="1002" spans="1:1" ht="17.25" customHeight="1">
      <c r="A1002" s="74" t="str">
        <f t="shared" si="16"/>
        <v/>
      </c>
    </row>
    <row r="1003" spans="1:1" ht="17.25" customHeight="1">
      <c r="A1003" s="74" t="str">
        <f t="shared" si="16"/>
        <v/>
      </c>
    </row>
    <row r="1004" spans="1:1" ht="17.25" customHeight="1">
      <c r="A1004" s="74" t="str">
        <f t="shared" si="16"/>
        <v/>
      </c>
    </row>
    <row r="1005" spans="1:1" ht="17.25" customHeight="1">
      <c r="A1005" s="74" t="str">
        <f t="shared" si="16"/>
        <v/>
      </c>
    </row>
    <row r="1006" spans="1:1" ht="17.25" customHeight="1">
      <c r="A1006" s="74" t="str">
        <f t="shared" si="16"/>
        <v/>
      </c>
    </row>
    <row r="1007" spans="1:1" ht="17.25" customHeight="1">
      <c r="A1007" s="74" t="str">
        <f t="shared" si="16"/>
        <v/>
      </c>
    </row>
    <row r="1008" spans="1:1" ht="17.25" customHeight="1">
      <c r="A1008" s="74" t="str">
        <f t="shared" si="16"/>
        <v/>
      </c>
    </row>
    <row r="1009" spans="1:1" ht="17.25" customHeight="1">
      <c r="A1009" s="74" t="str">
        <f t="shared" si="16"/>
        <v/>
      </c>
    </row>
    <row r="1010" spans="1:1" ht="17.25" customHeight="1">
      <c r="A1010" s="74" t="str">
        <f t="shared" si="16"/>
        <v/>
      </c>
    </row>
    <row r="1011" spans="1:1" ht="17.25" customHeight="1">
      <c r="A1011" s="74" t="str">
        <f t="shared" si="16"/>
        <v/>
      </c>
    </row>
    <row r="1012" spans="1:1" ht="17.25" customHeight="1">
      <c r="A1012" s="74" t="str">
        <f t="shared" si="16"/>
        <v/>
      </c>
    </row>
    <row r="1013" spans="1:1" ht="17.25" customHeight="1">
      <c r="A1013" s="74" t="str">
        <f t="shared" si="16"/>
        <v/>
      </c>
    </row>
    <row r="1014" spans="1:1" ht="17.25" customHeight="1">
      <c r="A1014" s="74" t="str">
        <f t="shared" si="16"/>
        <v/>
      </c>
    </row>
    <row r="1015" spans="1:1" ht="17.25" customHeight="1">
      <c r="A1015" s="74" t="str">
        <f t="shared" si="16"/>
        <v/>
      </c>
    </row>
    <row r="1016" spans="1:1" ht="17.25" customHeight="1">
      <c r="A1016" s="74" t="str">
        <f t="shared" si="16"/>
        <v/>
      </c>
    </row>
    <row r="1017" spans="1:1" ht="17.25" customHeight="1">
      <c r="A1017" s="74" t="str">
        <f t="shared" si="16"/>
        <v/>
      </c>
    </row>
    <row r="1018" spans="1:1" ht="17.25" customHeight="1">
      <c r="A1018" s="74" t="str">
        <f t="shared" si="16"/>
        <v/>
      </c>
    </row>
    <row r="1019" spans="1:1" ht="17.25" customHeight="1">
      <c r="A1019" s="74" t="str">
        <f t="shared" si="16"/>
        <v/>
      </c>
    </row>
    <row r="1020" spans="1:1" ht="17.25" customHeight="1">
      <c r="A1020" s="74" t="str">
        <f t="shared" si="16"/>
        <v/>
      </c>
    </row>
    <row r="1021" spans="1:1" ht="17.25" customHeight="1">
      <c r="A1021" s="74" t="str">
        <f t="shared" si="16"/>
        <v/>
      </c>
    </row>
    <row r="1022" spans="1:1" ht="17.25" customHeight="1">
      <c r="A1022" s="74" t="str">
        <f t="shared" si="16"/>
        <v/>
      </c>
    </row>
    <row r="1023" spans="1:1" ht="17.25" customHeight="1">
      <c r="A1023" s="74" t="str">
        <f t="shared" si="16"/>
        <v/>
      </c>
    </row>
    <row r="1024" spans="1:1" ht="17.25" customHeight="1">
      <c r="A1024" s="74" t="str">
        <f t="shared" si="16"/>
        <v/>
      </c>
    </row>
    <row r="1025" spans="1:1" ht="17.25" customHeight="1">
      <c r="A1025" s="74" t="str">
        <f t="shared" si="16"/>
        <v/>
      </c>
    </row>
    <row r="1026" spans="1:1" ht="17.25" customHeight="1">
      <c r="A1026" s="74" t="str">
        <f t="shared" si="16"/>
        <v/>
      </c>
    </row>
    <row r="1027" spans="1:1" ht="17.25" customHeight="1">
      <c r="A1027" s="74" t="str">
        <f t="shared" si="16"/>
        <v/>
      </c>
    </row>
    <row r="1028" spans="1:1" ht="17.25" customHeight="1">
      <c r="A1028" s="74" t="str">
        <f t="shared" ref="A1028:A1091" si="17">IF(B1028&lt;&gt;"",ROW()-2,"")</f>
        <v/>
      </c>
    </row>
    <row r="1029" spans="1:1" ht="17.25" customHeight="1">
      <c r="A1029" s="74" t="str">
        <f t="shared" si="17"/>
        <v/>
      </c>
    </row>
    <row r="1030" spans="1:1" ht="17.25" customHeight="1">
      <c r="A1030" s="74" t="str">
        <f t="shared" si="17"/>
        <v/>
      </c>
    </row>
    <row r="1031" spans="1:1" ht="17.25" customHeight="1">
      <c r="A1031" s="74" t="str">
        <f t="shared" si="17"/>
        <v/>
      </c>
    </row>
    <row r="1032" spans="1:1" ht="17.25" customHeight="1">
      <c r="A1032" s="74" t="str">
        <f t="shared" si="17"/>
        <v/>
      </c>
    </row>
    <row r="1033" spans="1:1" ht="17.25" customHeight="1">
      <c r="A1033" s="74" t="str">
        <f t="shared" si="17"/>
        <v/>
      </c>
    </row>
    <row r="1034" spans="1:1" ht="17.25" customHeight="1">
      <c r="A1034" s="74" t="str">
        <f t="shared" si="17"/>
        <v/>
      </c>
    </row>
    <row r="1035" spans="1:1" ht="17.25" customHeight="1">
      <c r="A1035" s="74" t="str">
        <f t="shared" si="17"/>
        <v/>
      </c>
    </row>
    <row r="1036" spans="1:1" ht="17.25" customHeight="1">
      <c r="A1036" s="74" t="str">
        <f t="shared" si="17"/>
        <v/>
      </c>
    </row>
    <row r="1037" spans="1:1" ht="17.25" customHeight="1">
      <c r="A1037" s="74" t="str">
        <f t="shared" si="17"/>
        <v/>
      </c>
    </row>
    <row r="1038" spans="1:1" ht="17.25" customHeight="1">
      <c r="A1038" s="74" t="str">
        <f t="shared" si="17"/>
        <v/>
      </c>
    </row>
    <row r="1039" spans="1:1" ht="17.25" customHeight="1">
      <c r="A1039" s="74" t="str">
        <f t="shared" si="17"/>
        <v/>
      </c>
    </row>
    <row r="1040" spans="1:1" ht="17.25" customHeight="1">
      <c r="A1040" s="74" t="str">
        <f t="shared" si="17"/>
        <v/>
      </c>
    </row>
    <row r="1041" spans="1:1" ht="17.25" customHeight="1">
      <c r="A1041" s="74" t="str">
        <f t="shared" si="17"/>
        <v/>
      </c>
    </row>
    <row r="1042" spans="1:1" ht="17.25" customHeight="1">
      <c r="A1042" s="74" t="str">
        <f t="shared" si="17"/>
        <v/>
      </c>
    </row>
    <row r="1043" spans="1:1" ht="17.25" customHeight="1">
      <c r="A1043" s="74" t="str">
        <f t="shared" si="17"/>
        <v/>
      </c>
    </row>
    <row r="1044" spans="1:1" ht="17.25" customHeight="1">
      <c r="A1044" s="74" t="str">
        <f t="shared" si="17"/>
        <v/>
      </c>
    </row>
    <row r="1045" spans="1:1" ht="17.25" customHeight="1">
      <c r="A1045" s="74" t="str">
        <f t="shared" si="17"/>
        <v/>
      </c>
    </row>
    <row r="1046" spans="1:1" ht="17.25" customHeight="1">
      <c r="A1046" s="74" t="str">
        <f t="shared" si="17"/>
        <v/>
      </c>
    </row>
    <row r="1047" spans="1:1" ht="17.25" customHeight="1">
      <c r="A1047" s="74" t="str">
        <f t="shared" si="17"/>
        <v/>
      </c>
    </row>
    <row r="1048" spans="1:1" ht="17.25" customHeight="1">
      <c r="A1048" s="74" t="str">
        <f t="shared" si="17"/>
        <v/>
      </c>
    </row>
    <row r="1049" spans="1:1" ht="17.25" customHeight="1">
      <c r="A1049" s="74" t="str">
        <f t="shared" si="17"/>
        <v/>
      </c>
    </row>
    <row r="1050" spans="1:1" ht="17.25" customHeight="1">
      <c r="A1050" s="74" t="str">
        <f t="shared" si="17"/>
        <v/>
      </c>
    </row>
    <row r="1051" spans="1:1" ht="17.25" customHeight="1">
      <c r="A1051" s="74" t="str">
        <f t="shared" si="17"/>
        <v/>
      </c>
    </row>
    <row r="1052" spans="1:1" ht="17.25" customHeight="1">
      <c r="A1052" s="74" t="str">
        <f t="shared" si="17"/>
        <v/>
      </c>
    </row>
    <row r="1053" spans="1:1" ht="17.25" customHeight="1">
      <c r="A1053" s="74" t="str">
        <f t="shared" si="17"/>
        <v/>
      </c>
    </row>
    <row r="1054" spans="1:1" ht="17.25" customHeight="1">
      <c r="A1054" s="74" t="str">
        <f t="shared" si="17"/>
        <v/>
      </c>
    </row>
    <row r="1055" spans="1:1" ht="17.25" customHeight="1">
      <c r="A1055" s="74" t="str">
        <f t="shared" si="17"/>
        <v/>
      </c>
    </row>
    <row r="1056" spans="1:1" ht="17.25" customHeight="1">
      <c r="A1056" s="74" t="str">
        <f t="shared" si="17"/>
        <v/>
      </c>
    </row>
    <row r="1057" spans="1:1" ht="17.25" customHeight="1">
      <c r="A1057" s="74" t="str">
        <f t="shared" si="17"/>
        <v/>
      </c>
    </row>
    <row r="1058" spans="1:1" ht="17.25" customHeight="1">
      <c r="A1058" s="74" t="str">
        <f t="shared" si="17"/>
        <v/>
      </c>
    </row>
    <row r="1059" spans="1:1" ht="17.25" customHeight="1">
      <c r="A1059" s="74" t="str">
        <f t="shared" si="17"/>
        <v/>
      </c>
    </row>
    <row r="1060" spans="1:1" ht="17.25" customHeight="1">
      <c r="A1060" s="74" t="str">
        <f t="shared" si="17"/>
        <v/>
      </c>
    </row>
    <row r="1061" spans="1:1" ht="17.25" customHeight="1">
      <c r="A1061" s="74" t="str">
        <f t="shared" si="17"/>
        <v/>
      </c>
    </row>
    <row r="1062" spans="1:1" ht="17.25" customHeight="1">
      <c r="A1062" s="74" t="str">
        <f t="shared" si="17"/>
        <v/>
      </c>
    </row>
    <row r="1063" spans="1:1" ht="17.25" customHeight="1">
      <c r="A1063" s="74" t="str">
        <f t="shared" si="17"/>
        <v/>
      </c>
    </row>
    <row r="1064" spans="1:1" ht="17.25" customHeight="1">
      <c r="A1064" s="74" t="str">
        <f t="shared" si="17"/>
        <v/>
      </c>
    </row>
    <row r="1065" spans="1:1" ht="17.25" customHeight="1">
      <c r="A1065" s="74" t="str">
        <f t="shared" si="17"/>
        <v/>
      </c>
    </row>
    <row r="1066" spans="1:1" ht="17.25" customHeight="1">
      <c r="A1066" s="74" t="str">
        <f t="shared" si="17"/>
        <v/>
      </c>
    </row>
    <row r="1067" spans="1:1" ht="17.25" customHeight="1">
      <c r="A1067" s="74" t="str">
        <f t="shared" si="17"/>
        <v/>
      </c>
    </row>
    <row r="1068" spans="1:1" ht="17.25" customHeight="1">
      <c r="A1068" s="74" t="str">
        <f t="shared" si="17"/>
        <v/>
      </c>
    </row>
    <row r="1069" spans="1:1" ht="17.25" customHeight="1">
      <c r="A1069" s="74" t="str">
        <f t="shared" si="17"/>
        <v/>
      </c>
    </row>
    <row r="1070" spans="1:1" ht="17.25" customHeight="1">
      <c r="A1070" s="74" t="str">
        <f t="shared" si="17"/>
        <v/>
      </c>
    </row>
    <row r="1071" spans="1:1" ht="17.25" customHeight="1">
      <c r="A1071" s="74" t="str">
        <f t="shared" si="17"/>
        <v/>
      </c>
    </row>
    <row r="1072" spans="1:1" ht="17.25" customHeight="1">
      <c r="A1072" s="74" t="str">
        <f t="shared" si="17"/>
        <v/>
      </c>
    </row>
    <row r="1073" spans="1:1" ht="17.25" customHeight="1">
      <c r="A1073" s="74" t="str">
        <f t="shared" si="17"/>
        <v/>
      </c>
    </row>
    <row r="1074" spans="1:1" ht="17.25" customHeight="1">
      <c r="A1074" s="74" t="str">
        <f t="shared" si="17"/>
        <v/>
      </c>
    </row>
    <row r="1075" spans="1:1" ht="17.25" customHeight="1">
      <c r="A1075" s="74" t="str">
        <f t="shared" si="17"/>
        <v/>
      </c>
    </row>
    <row r="1076" spans="1:1" ht="17.25" customHeight="1">
      <c r="A1076" s="74" t="str">
        <f t="shared" si="17"/>
        <v/>
      </c>
    </row>
    <row r="1077" spans="1:1" ht="17.25" customHeight="1">
      <c r="A1077" s="74" t="str">
        <f t="shared" si="17"/>
        <v/>
      </c>
    </row>
    <row r="1078" spans="1:1" ht="17.25" customHeight="1">
      <c r="A1078" s="74" t="str">
        <f t="shared" si="17"/>
        <v/>
      </c>
    </row>
    <row r="1079" spans="1:1" ht="17.25" customHeight="1">
      <c r="A1079" s="74" t="str">
        <f t="shared" si="17"/>
        <v/>
      </c>
    </row>
    <row r="1080" spans="1:1" ht="17.25" customHeight="1">
      <c r="A1080" s="74" t="str">
        <f t="shared" si="17"/>
        <v/>
      </c>
    </row>
    <row r="1081" spans="1:1" ht="17.25" customHeight="1">
      <c r="A1081" s="74" t="str">
        <f t="shared" si="17"/>
        <v/>
      </c>
    </row>
    <row r="1082" spans="1:1" ht="17.25" customHeight="1">
      <c r="A1082" s="74" t="str">
        <f t="shared" si="17"/>
        <v/>
      </c>
    </row>
    <row r="1083" spans="1:1" ht="17.25" customHeight="1">
      <c r="A1083" s="74" t="str">
        <f t="shared" si="17"/>
        <v/>
      </c>
    </row>
    <row r="1084" spans="1:1" ht="17.25" customHeight="1">
      <c r="A1084" s="74" t="str">
        <f t="shared" si="17"/>
        <v/>
      </c>
    </row>
    <row r="1085" spans="1:1" ht="17.25" customHeight="1">
      <c r="A1085" s="74" t="str">
        <f t="shared" si="17"/>
        <v/>
      </c>
    </row>
    <row r="1086" spans="1:1" ht="17.25" customHeight="1">
      <c r="A1086" s="74" t="str">
        <f t="shared" si="17"/>
        <v/>
      </c>
    </row>
    <row r="1087" spans="1:1" ht="17.25" customHeight="1">
      <c r="A1087" s="74" t="str">
        <f t="shared" si="17"/>
        <v/>
      </c>
    </row>
    <row r="1088" spans="1:1" ht="17.25" customHeight="1">
      <c r="A1088" s="74" t="str">
        <f t="shared" si="17"/>
        <v/>
      </c>
    </row>
    <row r="1089" spans="1:1" ht="17.25" customHeight="1">
      <c r="A1089" s="74" t="str">
        <f t="shared" si="17"/>
        <v/>
      </c>
    </row>
    <row r="1090" spans="1:1" ht="17.25" customHeight="1">
      <c r="A1090" s="74" t="str">
        <f t="shared" si="17"/>
        <v/>
      </c>
    </row>
    <row r="1091" spans="1:1" ht="17.25" customHeight="1">
      <c r="A1091" s="74" t="str">
        <f t="shared" si="17"/>
        <v/>
      </c>
    </row>
    <row r="1092" spans="1:1" ht="17.25" customHeight="1">
      <c r="A1092" s="74" t="str">
        <f t="shared" ref="A1092:A1155" si="18">IF(B1092&lt;&gt;"",ROW()-2,"")</f>
        <v/>
      </c>
    </row>
    <row r="1093" spans="1:1" ht="17.25" customHeight="1">
      <c r="A1093" s="74" t="str">
        <f t="shared" si="18"/>
        <v/>
      </c>
    </row>
    <row r="1094" spans="1:1" ht="17.25" customHeight="1">
      <c r="A1094" s="74" t="str">
        <f t="shared" si="18"/>
        <v/>
      </c>
    </row>
    <row r="1095" spans="1:1" ht="17.25" customHeight="1">
      <c r="A1095" s="74" t="str">
        <f t="shared" si="18"/>
        <v/>
      </c>
    </row>
    <row r="1096" spans="1:1" ht="17.25" customHeight="1">
      <c r="A1096" s="74" t="str">
        <f t="shared" si="18"/>
        <v/>
      </c>
    </row>
    <row r="1097" spans="1:1" ht="17.25" customHeight="1">
      <c r="A1097" s="74" t="str">
        <f t="shared" si="18"/>
        <v/>
      </c>
    </row>
    <row r="1098" spans="1:1" ht="17.25" customHeight="1">
      <c r="A1098" s="74" t="str">
        <f t="shared" si="18"/>
        <v/>
      </c>
    </row>
    <row r="1099" spans="1:1" ht="17.25" customHeight="1">
      <c r="A1099" s="74" t="str">
        <f t="shared" si="18"/>
        <v/>
      </c>
    </row>
    <row r="1100" spans="1:1" ht="17.25" customHeight="1">
      <c r="A1100" s="74" t="str">
        <f t="shared" si="18"/>
        <v/>
      </c>
    </row>
    <row r="1101" spans="1:1" ht="17.25" customHeight="1">
      <c r="A1101" s="74" t="str">
        <f t="shared" si="18"/>
        <v/>
      </c>
    </row>
    <row r="1102" spans="1:1" ht="17.25" customHeight="1">
      <c r="A1102" s="74" t="str">
        <f t="shared" si="18"/>
        <v/>
      </c>
    </row>
    <row r="1103" spans="1:1" ht="17.25" customHeight="1">
      <c r="A1103" s="74" t="str">
        <f t="shared" si="18"/>
        <v/>
      </c>
    </row>
    <row r="1104" spans="1:1" ht="17.25" customHeight="1">
      <c r="A1104" s="74" t="str">
        <f t="shared" si="18"/>
        <v/>
      </c>
    </row>
    <row r="1105" spans="1:1" ht="17.25" customHeight="1">
      <c r="A1105" s="74" t="str">
        <f t="shared" si="18"/>
        <v/>
      </c>
    </row>
    <row r="1106" spans="1:1" ht="17.25" customHeight="1">
      <c r="A1106" s="74" t="str">
        <f t="shared" si="18"/>
        <v/>
      </c>
    </row>
    <row r="1107" spans="1:1" ht="17.25" customHeight="1">
      <c r="A1107" s="74" t="str">
        <f t="shared" si="18"/>
        <v/>
      </c>
    </row>
    <row r="1108" spans="1:1" ht="17.25" customHeight="1">
      <c r="A1108" s="74" t="str">
        <f t="shared" si="18"/>
        <v/>
      </c>
    </row>
    <row r="1109" spans="1:1" ht="17.25" customHeight="1">
      <c r="A1109" s="74" t="str">
        <f t="shared" si="18"/>
        <v/>
      </c>
    </row>
    <row r="1110" spans="1:1" ht="17.25" customHeight="1">
      <c r="A1110" s="74" t="str">
        <f t="shared" si="18"/>
        <v/>
      </c>
    </row>
    <row r="1111" spans="1:1" ht="17.25" customHeight="1">
      <c r="A1111" s="74" t="str">
        <f t="shared" si="18"/>
        <v/>
      </c>
    </row>
    <row r="1112" spans="1:1" ht="17.25" customHeight="1">
      <c r="A1112" s="74" t="str">
        <f t="shared" si="18"/>
        <v/>
      </c>
    </row>
    <row r="1113" spans="1:1" ht="17.25" customHeight="1">
      <c r="A1113" s="74" t="str">
        <f t="shared" si="18"/>
        <v/>
      </c>
    </row>
    <row r="1114" spans="1:1" ht="17.25" customHeight="1">
      <c r="A1114" s="74" t="str">
        <f t="shared" si="18"/>
        <v/>
      </c>
    </row>
    <row r="1115" spans="1:1" ht="17.25" customHeight="1">
      <c r="A1115" s="74" t="str">
        <f t="shared" si="18"/>
        <v/>
      </c>
    </row>
    <row r="1116" spans="1:1" ht="17.25" customHeight="1">
      <c r="A1116" s="74" t="str">
        <f t="shared" si="18"/>
        <v/>
      </c>
    </row>
    <row r="1117" spans="1:1" ht="17.25" customHeight="1">
      <c r="A1117" s="74" t="str">
        <f t="shared" si="18"/>
        <v/>
      </c>
    </row>
    <row r="1118" spans="1:1" ht="17.25" customHeight="1">
      <c r="A1118" s="74" t="str">
        <f t="shared" si="18"/>
        <v/>
      </c>
    </row>
    <row r="1119" spans="1:1" ht="17.25" customHeight="1">
      <c r="A1119" s="74" t="str">
        <f t="shared" si="18"/>
        <v/>
      </c>
    </row>
    <row r="1120" spans="1:1" ht="17.25" customHeight="1">
      <c r="A1120" s="74" t="str">
        <f t="shared" si="18"/>
        <v/>
      </c>
    </row>
    <row r="1121" spans="1:1" ht="17.25" customHeight="1">
      <c r="A1121" s="74" t="str">
        <f t="shared" si="18"/>
        <v/>
      </c>
    </row>
    <row r="1122" spans="1:1" ht="17.25" customHeight="1">
      <c r="A1122" s="74" t="str">
        <f t="shared" si="18"/>
        <v/>
      </c>
    </row>
    <row r="1123" spans="1:1" ht="17.25" customHeight="1">
      <c r="A1123" s="74" t="str">
        <f t="shared" si="18"/>
        <v/>
      </c>
    </row>
    <row r="1124" spans="1:1" ht="17.25" customHeight="1">
      <c r="A1124" s="74" t="str">
        <f t="shared" si="18"/>
        <v/>
      </c>
    </row>
    <row r="1125" spans="1:1" ht="17.25" customHeight="1">
      <c r="A1125" s="74" t="str">
        <f t="shared" si="18"/>
        <v/>
      </c>
    </row>
    <row r="1126" spans="1:1" ht="17.25" customHeight="1">
      <c r="A1126" s="74" t="str">
        <f t="shared" si="18"/>
        <v/>
      </c>
    </row>
    <row r="1127" spans="1:1" ht="17.25" customHeight="1">
      <c r="A1127" s="74" t="str">
        <f t="shared" si="18"/>
        <v/>
      </c>
    </row>
    <row r="1128" spans="1:1" ht="17.25" customHeight="1">
      <c r="A1128" s="74" t="str">
        <f t="shared" si="18"/>
        <v/>
      </c>
    </row>
    <row r="1129" spans="1:1" ht="17.25" customHeight="1">
      <c r="A1129" s="74" t="str">
        <f t="shared" si="18"/>
        <v/>
      </c>
    </row>
    <row r="1130" spans="1:1" ht="17.25" customHeight="1">
      <c r="A1130" s="74" t="str">
        <f t="shared" si="18"/>
        <v/>
      </c>
    </row>
    <row r="1131" spans="1:1" ht="17.25" customHeight="1">
      <c r="A1131" s="74" t="str">
        <f t="shared" si="18"/>
        <v/>
      </c>
    </row>
    <row r="1132" spans="1:1" ht="17.25" customHeight="1">
      <c r="A1132" s="74" t="str">
        <f t="shared" si="18"/>
        <v/>
      </c>
    </row>
    <row r="1133" spans="1:1" ht="17.25" customHeight="1">
      <c r="A1133" s="74" t="str">
        <f t="shared" si="18"/>
        <v/>
      </c>
    </row>
    <row r="1134" spans="1:1" ht="17.25" customHeight="1">
      <c r="A1134" s="74" t="str">
        <f t="shared" si="18"/>
        <v/>
      </c>
    </row>
    <row r="1135" spans="1:1" ht="17.25" customHeight="1">
      <c r="A1135" s="74" t="str">
        <f t="shared" si="18"/>
        <v/>
      </c>
    </row>
    <row r="1136" spans="1:1" ht="17.25" customHeight="1">
      <c r="A1136" s="74" t="str">
        <f t="shared" si="18"/>
        <v/>
      </c>
    </row>
    <row r="1137" spans="1:1" ht="17.25" customHeight="1">
      <c r="A1137" s="74" t="str">
        <f t="shared" si="18"/>
        <v/>
      </c>
    </row>
    <row r="1138" spans="1:1" ht="17.25" customHeight="1">
      <c r="A1138" s="74" t="str">
        <f t="shared" si="18"/>
        <v/>
      </c>
    </row>
    <row r="1139" spans="1:1" ht="17.25" customHeight="1">
      <c r="A1139" s="74" t="str">
        <f t="shared" si="18"/>
        <v/>
      </c>
    </row>
    <row r="1140" spans="1:1" ht="17.25" customHeight="1">
      <c r="A1140" s="74" t="str">
        <f t="shared" si="18"/>
        <v/>
      </c>
    </row>
    <row r="1141" spans="1:1" ht="17.25" customHeight="1">
      <c r="A1141" s="74" t="str">
        <f t="shared" si="18"/>
        <v/>
      </c>
    </row>
    <row r="1142" spans="1:1" ht="17.25" customHeight="1">
      <c r="A1142" s="74" t="str">
        <f t="shared" si="18"/>
        <v/>
      </c>
    </row>
    <row r="1143" spans="1:1" ht="17.25" customHeight="1">
      <c r="A1143" s="74" t="str">
        <f t="shared" si="18"/>
        <v/>
      </c>
    </row>
    <row r="1144" spans="1:1" ht="17.25" customHeight="1">
      <c r="A1144" s="74" t="str">
        <f t="shared" si="18"/>
        <v/>
      </c>
    </row>
    <row r="1145" spans="1:1" ht="17.25" customHeight="1">
      <c r="A1145" s="74" t="str">
        <f t="shared" si="18"/>
        <v/>
      </c>
    </row>
    <row r="1146" spans="1:1" ht="17.25" customHeight="1">
      <c r="A1146" s="74" t="str">
        <f t="shared" si="18"/>
        <v/>
      </c>
    </row>
    <row r="1147" spans="1:1" ht="17.25" customHeight="1">
      <c r="A1147" s="74" t="str">
        <f t="shared" si="18"/>
        <v/>
      </c>
    </row>
    <row r="1148" spans="1:1" ht="17.25" customHeight="1">
      <c r="A1148" s="74" t="str">
        <f t="shared" si="18"/>
        <v/>
      </c>
    </row>
    <row r="1149" spans="1:1" ht="17.25" customHeight="1">
      <c r="A1149" s="74" t="str">
        <f t="shared" si="18"/>
        <v/>
      </c>
    </row>
    <row r="1150" spans="1:1" ht="17.25" customHeight="1">
      <c r="A1150" s="74" t="str">
        <f t="shared" si="18"/>
        <v/>
      </c>
    </row>
    <row r="1151" spans="1:1" ht="17.25" customHeight="1">
      <c r="A1151" s="74" t="str">
        <f t="shared" si="18"/>
        <v/>
      </c>
    </row>
    <row r="1152" spans="1:1" ht="17.25" customHeight="1">
      <c r="A1152" s="74" t="str">
        <f t="shared" si="18"/>
        <v/>
      </c>
    </row>
    <row r="1153" spans="1:1" ht="17.25" customHeight="1">
      <c r="A1153" s="74" t="str">
        <f t="shared" si="18"/>
        <v/>
      </c>
    </row>
    <row r="1154" spans="1:1" ht="17.25" customHeight="1">
      <c r="A1154" s="74" t="str">
        <f t="shared" si="18"/>
        <v/>
      </c>
    </row>
    <row r="1155" spans="1:1" ht="17.25" customHeight="1">
      <c r="A1155" s="74" t="str">
        <f t="shared" si="18"/>
        <v/>
      </c>
    </row>
    <row r="1156" spans="1:1" ht="17.25" customHeight="1">
      <c r="A1156" s="74" t="str">
        <f t="shared" ref="A1156:A1219" si="19">IF(B1156&lt;&gt;"",ROW()-2,"")</f>
        <v/>
      </c>
    </row>
    <row r="1157" spans="1:1" ht="17.25" customHeight="1">
      <c r="A1157" s="74" t="str">
        <f t="shared" si="19"/>
        <v/>
      </c>
    </row>
    <row r="1158" spans="1:1" ht="17.25" customHeight="1">
      <c r="A1158" s="74" t="str">
        <f t="shared" si="19"/>
        <v/>
      </c>
    </row>
    <row r="1159" spans="1:1" ht="17.25" customHeight="1">
      <c r="A1159" s="74" t="str">
        <f t="shared" si="19"/>
        <v/>
      </c>
    </row>
    <row r="1160" spans="1:1" ht="17.25" customHeight="1">
      <c r="A1160" s="74" t="str">
        <f t="shared" si="19"/>
        <v/>
      </c>
    </row>
    <row r="1161" spans="1:1" ht="17.25" customHeight="1">
      <c r="A1161" s="74" t="str">
        <f t="shared" si="19"/>
        <v/>
      </c>
    </row>
    <row r="1162" spans="1:1" ht="17.25" customHeight="1">
      <c r="A1162" s="74" t="str">
        <f t="shared" si="19"/>
        <v/>
      </c>
    </row>
    <row r="1163" spans="1:1" ht="17.25" customHeight="1">
      <c r="A1163" s="74" t="str">
        <f t="shared" si="19"/>
        <v/>
      </c>
    </row>
    <row r="1164" spans="1:1" ht="17.25" customHeight="1">
      <c r="A1164" s="74" t="str">
        <f t="shared" si="19"/>
        <v/>
      </c>
    </row>
    <row r="1165" spans="1:1" ht="17.25" customHeight="1">
      <c r="A1165" s="74" t="str">
        <f t="shared" si="19"/>
        <v/>
      </c>
    </row>
    <row r="1166" spans="1:1" ht="17.25" customHeight="1">
      <c r="A1166" s="74" t="str">
        <f t="shared" si="19"/>
        <v/>
      </c>
    </row>
    <row r="1167" spans="1:1" ht="17.25" customHeight="1">
      <c r="A1167" s="74" t="str">
        <f t="shared" si="19"/>
        <v/>
      </c>
    </row>
    <row r="1168" spans="1:1" ht="17.25" customHeight="1">
      <c r="A1168" s="74" t="str">
        <f t="shared" si="19"/>
        <v/>
      </c>
    </row>
    <row r="1169" spans="1:1" ht="17.25" customHeight="1">
      <c r="A1169" s="74" t="str">
        <f t="shared" si="19"/>
        <v/>
      </c>
    </row>
    <row r="1170" spans="1:1" ht="17.25" customHeight="1">
      <c r="A1170" s="74" t="str">
        <f t="shared" si="19"/>
        <v/>
      </c>
    </row>
    <row r="1171" spans="1:1" ht="17.25" customHeight="1">
      <c r="A1171" s="74" t="str">
        <f t="shared" si="19"/>
        <v/>
      </c>
    </row>
    <row r="1172" spans="1:1" ht="17.25" customHeight="1">
      <c r="A1172" s="74" t="str">
        <f t="shared" si="19"/>
        <v/>
      </c>
    </row>
    <row r="1173" spans="1:1" ht="17.25" customHeight="1">
      <c r="A1173" s="74" t="str">
        <f t="shared" si="19"/>
        <v/>
      </c>
    </row>
    <row r="1174" spans="1:1" ht="17.25" customHeight="1">
      <c r="A1174" s="74" t="str">
        <f t="shared" si="19"/>
        <v/>
      </c>
    </row>
    <row r="1175" spans="1:1" ht="17.25" customHeight="1">
      <c r="A1175" s="74" t="str">
        <f t="shared" si="19"/>
        <v/>
      </c>
    </row>
    <row r="1176" spans="1:1" ht="17.25" customHeight="1">
      <c r="A1176" s="74" t="str">
        <f t="shared" si="19"/>
        <v/>
      </c>
    </row>
    <row r="1177" spans="1:1" ht="17.25" customHeight="1">
      <c r="A1177" s="74" t="str">
        <f t="shared" si="19"/>
        <v/>
      </c>
    </row>
    <row r="1178" spans="1:1" ht="17.25" customHeight="1">
      <c r="A1178" s="74" t="str">
        <f t="shared" si="19"/>
        <v/>
      </c>
    </row>
    <row r="1179" spans="1:1" ht="17.25" customHeight="1">
      <c r="A1179" s="74" t="str">
        <f t="shared" si="19"/>
        <v/>
      </c>
    </row>
    <row r="1180" spans="1:1" ht="17.25" customHeight="1">
      <c r="A1180" s="74" t="str">
        <f t="shared" si="19"/>
        <v/>
      </c>
    </row>
    <row r="1181" spans="1:1" ht="17.25" customHeight="1">
      <c r="A1181" s="74" t="str">
        <f t="shared" si="19"/>
        <v/>
      </c>
    </row>
    <row r="1182" spans="1:1" ht="17.25" customHeight="1">
      <c r="A1182" s="74" t="str">
        <f t="shared" si="19"/>
        <v/>
      </c>
    </row>
    <row r="1183" spans="1:1" ht="17.25" customHeight="1">
      <c r="A1183" s="74" t="str">
        <f t="shared" si="19"/>
        <v/>
      </c>
    </row>
    <row r="1184" spans="1:1" ht="17.25" customHeight="1">
      <c r="A1184" s="74" t="str">
        <f t="shared" si="19"/>
        <v/>
      </c>
    </row>
    <row r="1185" spans="1:1" ht="17.25" customHeight="1">
      <c r="A1185" s="74" t="str">
        <f t="shared" si="19"/>
        <v/>
      </c>
    </row>
    <row r="1186" spans="1:1" ht="17.25" customHeight="1">
      <c r="A1186" s="74" t="str">
        <f t="shared" si="19"/>
        <v/>
      </c>
    </row>
    <row r="1187" spans="1:1" ht="17.25" customHeight="1">
      <c r="A1187" s="74" t="str">
        <f t="shared" si="19"/>
        <v/>
      </c>
    </row>
    <row r="1188" spans="1:1" ht="17.25" customHeight="1">
      <c r="A1188" s="74" t="str">
        <f t="shared" si="19"/>
        <v/>
      </c>
    </row>
    <row r="1189" spans="1:1" ht="17.25" customHeight="1">
      <c r="A1189" s="74" t="str">
        <f t="shared" si="19"/>
        <v/>
      </c>
    </row>
    <row r="1190" spans="1:1" ht="17.25" customHeight="1">
      <c r="A1190" s="74" t="str">
        <f t="shared" si="19"/>
        <v/>
      </c>
    </row>
    <row r="1191" spans="1:1" ht="17.25" customHeight="1">
      <c r="A1191" s="74" t="str">
        <f t="shared" si="19"/>
        <v/>
      </c>
    </row>
    <row r="1192" spans="1:1" ht="17.25" customHeight="1">
      <c r="A1192" s="74" t="str">
        <f t="shared" si="19"/>
        <v/>
      </c>
    </row>
    <row r="1193" spans="1:1" ht="17.25" customHeight="1">
      <c r="A1193" s="74" t="str">
        <f t="shared" si="19"/>
        <v/>
      </c>
    </row>
    <row r="1194" spans="1:1" ht="17.25" customHeight="1">
      <c r="A1194" s="74" t="str">
        <f t="shared" si="19"/>
        <v/>
      </c>
    </row>
    <row r="1195" spans="1:1" ht="17.25" customHeight="1">
      <c r="A1195" s="74" t="str">
        <f t="shared" si="19"/>
        <v/>
      </c>
    </row>
    <row r="1196" spans="1:1" ht="17.25" customHeight="1">
      <c r="A1196" s="74" t="str">
        <f t="shared" si="19"/>
        <v/>
      </c>
    </row>
    <row r="1197" spans="1:1" ht="17.25" customHeight="1">
      <c r="A1197" s="74" t="str">
        <f t="shared" si="19"/>
        <v/>
      </c>
    </row>
    <row r="1198" spans="1:1" ht="17.25" customHeight="1">
      <c r="A1198" s="74" t="str">
        <f t="shared" si="19"/>
        <v/>
      </c>
    </row>
    <row r="1199" spans="1:1" ht="17.25" customHeight="1">
      <c r="A1199" s="74" t="str">
        <f t="shared" si="19"/>
        <v/>
      </c>
    </row>
    <row r="1200" spans="1:1" ht="17.25" customHeight="1">
      <c r="A1200" s="74" t="str">
        <f t="shared" si="19"/>
        <v/>
      </c>
    </row>
    <row r="1201" spans="1:1" ht="17.25" customHeight="1">
      <c r="A1201" s="74" t="str">
        <f t="shared" si="19"/>
        <v/>
      </c>
    </row>
    <row r="1202" spans="1:1" ht="17.25" customHeight="1">
      <c r="A1202" s="74" t="str">
        <f t="shared" si="19"/>
        <v/>
      </c>
    </row>
    <row r="1203" spans="1:1" ht="17.25" customHeight="1">
      <c r="A1203" s="74" t="str">
        <f t="shared" si="19"/>
        <v/>
      </c>
    </row>
    <row r="1204" spans="1:1" ht="17.25" customHeight="1">
      <c r="A1204" s="74" t="str">
        <f t="shared" si="19"/>
        <v/>
      </c>
    </row>
    <row r="1205" spans="1:1" ht="17.25" customHeight="1">
      <c r="A1205" s="74" t="str">
        <f t="shared" si="19"/>
        <v/>
      </c>
    </row>
    <row r="1206" spans="1:1" ht="17.25" customHeight="1">
      <c r="A1206" s="74" t="str">
        <f t="shared" si="19"/>
        <v/>
      </c>
    </row>
    <row r="1207" spans="1:1" ht="17.25" customHeight="1">
      <c r="A1207" s="74" t="str">
        <f t="shared" si="19"/>
        <v/>
      </c>
    </row>
    <row r="1208" spans="1:1" ht="17.25" customHeight="1">
      <c r="A1208" s="74" t="str">
        <f t="shared" si="19"/>
        <v/>
      </c>
    </row>
    <row r="1209" spans="1:1" ht="17.25" customHeight="1">
      <c r="A1209" s="74" t="str">
        <f t="shared" si="19"/>
        <v/>
      </c>
    </row>
    <row r="1210" spans="1:1" ht="17.25" customHeight="1">
      <c r="A1210" s="74" t="str">
        <f t="shared" si="19"/>
        <v/>
      </c>
    </row>
    <row r="1211" spans="1:1" ht="17.25" customHeight="1">
      <c r="A1211" s="74" t="str">
        <f t="shared" si="19"/>
        <v/>
      </c>
    </row>
    <row r="1212" spans="1:1" ht="17.25" customHeight="1">
      <c r="A1212" s="74" t="str">
        <f t="shared" si="19"/>
        <v/>
      </c>
    </row>
    <row r="1213" spans="1:1" ht="17.25" customHeight="1">
      <c r="A1213" s="74" t="str">
        <f t="shared" si="19"/>
        <v/>
      </c>
    </row>
    <row r="1214" spans="1:1" ht="17.25" customHeight="1">
      <c r="A1214" s="74" t="str">
        <f t="shared" si="19"/>
        <v/>
      </c>
    </row>
    <row r="1215" spans="1:1" ht="17.25" customHeight="1">
      <c r="A1215" s="74" t="str">
        <f t="shared" si="19"/>
        <v/>
      </c>
    </row>
    <row r="1216" spans="1:1" ht="17.25" customHeight="1">
      <c r="A1216" s="74" t="str">
        <f t="shared" si="19"/>
        <v/>
      </c>
    </row>
    <row r="1217" spans="1:1" ht="17.25" customHeight="1">
      <c r="A1217" s="74" t="str">
        <f t="shared" si="19"/>
        <v/>
      </c>
    </row>
    <row r="1218" spans="1:1" ht="17.25" customHeight="1">
      <c r="A1218" s="74" t="str">
        <f t="shared" si="19"/>
        <v/>
      </c>
    </row>
    <row r="1219" spans="1:1" ht="17.25" customHeight="1">
      <c r="A1219" s="74" t="str">
        <f t="shared" si="19"/>
        <v/>
      </c>
    </row>
    <row r="1220" spans="1:1" ht="17.25" customHeight="1">
      <c r="A1220" s="74" t="str">
        <f t="shared" ref="A1220:A1283" si="20">IF(B1220&lt;&gt;"",ROW()-2,"")</f>
        <v/>
      </c>
    </row>
    <row r="1221" spans="1:1" ht="17.25" customHeight="1">
      <c r="A1221" s="74" t="str">
        <f t="shared" si="20"/>
        <v/>
      </c>
    </row>
    <row r="1222" spans="1:1" ht="17.25" customHeight="1">
      <c r="A1222" s="74" t="str">
        <f t="shared" si="20"/>
        <v/>
      </c>
    </row>
    <row r="1223" spans="1:1" ht="17.25" customHeight="1">
      <c r="A1223" s="74" t="str">
        <f t="shared" si="20"/>
        <v/>
      </c>
    </row>
    <row r="1224" spans="1:1" ht="17.25" customHeight="1">
      <c r="A1224" s="74" t="str">
        <f t="shared" si="20"/>
        <v/>
      </c>
    </row>
    <row r="1225" spans="1:1" ht="17.25" customHeight="1">
      <c r="A1225" s="74" t="str">
        <f t="shared" si="20"/>
        <v/>
      </c>
    </row>
    <row r="1226" spans="1:1" ht="17.25" customHeight="1">
      <c r="A1226" s="74" t="str">
        <f t="shared" si="20"/>
        <v/>
      </c>
    </row>
    <row r="1227" spans="1:1" ht="17.25" customHeight="1">
      <c r="A1227" s="74" t="str">
        <f t="shared" si="20"/>
        <v/>
      </c>
    </row>
    <row r="1228" spans="1:1" ht="17.25" customHeight="1">
      <c r="A1228" s="74" t="str">
        <f t="shared" si="20"/>
        <v/>
      </c>
    </row>
    <row r="1229" spans="1:1" ht="17.25" customHeight="1">
      <c r="A1229" s="74" t="str">
        <f t="shared" si="20"/>
        <v/>
      </c>
    </row>
    <row r="1230" spans="1:1" ht="17.25" customHeight="1">
      <c r="A1230" s="74" t="str">
        <f t="shared" si="20"/>
        <v/>
      </c>
    </row>
    <row r="1231" spans="1:1" ht="17.25" customHeight="1">
      <c r="A1231" s="74" t="str">
        <f t="shared" si="20"/>
        <v/>
      </c>
    </row>
    <row r="1232" spans="1:1" ht="17.25" customHeight="1">
      <c r="A1232" s="74" t="str">
        <f t="shared" si="20"/>
        <v/>
      </c>
    </row>
    <row r="1233" spans="1:1" ht="17.25" customHeight="1">
      <c r="A1233" s="74" t="str">
        <f t="shared" si="20"/>
        <v/>
      </c>
    </row>
    <row r="1234" spans="1:1" ht="17.25" customHeight="1">
      <c r="A1234" s="74" t="str">
        <f t="shared" si="20"/>
        <v/>
      </c>
    </row>
    <row r="1235" spans="1:1" ht="17.25" customHeight="1">
      <c r="A1235" s="74" t="str">
        <f t="shared" si="20"/>
        <v/>
      </c>
    </row>
    <row r="1236" spans="1:1" ht="17.25" customHeight="1">
      <c r="A1236" s="74" t="str">
        <f t="shared" si="20"/>
        <v/>
      </c>
    </row>
    <row r="1237" spans="1:1" ht="17.25" customHeight="1">
      <c r="A1237" s="74" t="str">
        <f t="shared" si="20"/>
        <v/>
      </c>
    </row>
    <row r="1238" spans="1:1" ht="17.25" customHeight="1">
      <c r="A1238" s="74" t="str">
        <f t="shared" si="20"/>
        <v/>
      </c>
    </row>
    <row r="1239" spans="1:1" ht="17.25" customHeight="1">
      <c r="A1239" s="74" t="str">
        <f t="shared" si="20"/>
        <v/>
      </c>
    </row>
    <row r="1240" spans="1:1" ht="17.25" customHeight="1">
      <c r="A1240" s="74" t="str">
        <f t="shared" si="20"/>
        <v/>
      </c>
    </row>
    <row r="1241" spans="1:1" ht="17.25" customHeight="1">
      <c r="A1241" s="74" t="str">
        <f t="shared" si="20"/>
        <v/>
      </c>
    </row>
    <row r="1242" spans="1:1" ht="17.25" customHeight="1">
      <c r="A1242" s="74" t="str">
        <f t="shared" si="20"/>
        <v/>
      </c>
    </row>
    <row r="1243" spans="1:1" ht="17.25" customHeight="1">
      <c r="A1243" s="74" t="str">
        <f t="shared" si="20"/>
        <v/>
      </c>
    </row>
    <row r="1244" spans="1:1" ht="17.25" customHeight="1">
      <c r="A1244" s="74" t="str">
        <f t="shared" si="20"/>
        <v/>
      </c>
    </row>
    <row r="1245" spans="1:1" ht="17.25" customHeight="1">
      <c r="A1245" s="74" t="str">
        <f t="shared" si="20"/>
        <v/>
      </c>
    </row>
    <row r="1246" spans="1:1" ht="17.25" customHeight="1">
      <c r="A1246" s="74" t="str">
        <f t="shared" si="20"/>
        <v/>
      </c>
    </row>
    <row r="1247" spans="1:1" ht="17.25" customHeight="1">
      <c r="A1247" s="74" t="str">
        <f t="shared" si="20"/>
        <v/>
      </c>
    </row>
    <row r="1248" spans="1:1" ht="17.25" customHeight="1">
      <c r="A1248" s="74" t="str">
        <f t="shared" si="20"/>
        <v/>
      </c>
    </row>
    <row r="1249" spans="1:1" ht="17.25" customHeight="1">
      <c r="A1249" s="74" t="str">
        <f t="shared" si="20"/>
        <v/>
      </c>
    </row>
    <row r="1250" spans="1:1" ht="17.25" customHeight="1">
      <c r="A1250" s="74" t="str">
        <f t="shared" si="20"/>
        <v/>
      </c>
    </row>
    <row r="1251" spans="1:1" ht="17.25" customHeight="1">
      <c r="A1251" s="74" t="str">
        <f t="shared" si="20"/>
        <v/>
      </c>
    </row>
    <row r="1252" spans="1:1" ht="17.25" customHeight="1">
      <c r="A1252" s="74" t="str">
        <f t="shared" si="20"/>
        <v/>
      </c>
    </row>
    <row r="1253" spans="1:1" ht="17.25" customHeight="1">
      <c r="A1253" s="74" t="str">
        <f t="shared" si="20"/>
        <v/>
      </c>
    </row>
    <row r="1254" spans="1:1" ht="17.25" customHeight="1">
      <c r="A1254" s="74" t="str">
        <f t="shared" si="20"/>
        <v/>
      </c>
    </row>
    <row r="1255" spans="1:1" ht="17.25" customHeight="1">
      <c r="A1255" s="74" t="str">
        <f t="shared" si="20"/>
        <v/>
      </c>
    </row>
    <row r="1256" spans="1:1" ht="17.25" customHeight="1">
      <c r="A1256" s="74" t="str">
        <f t="shared" si="20"/>
        <v/>
      </c>
    </row>
    <row r="1257" spans="1:1" ht="17.25" customHeight="1">
      <c r="A1257" s="74" t="str">
        <f t="shared" si="20"/>
        <v/>
      </c>
    </row>
    <row r="1258" spans="1:1" ht="17.25" customHeight="1">
      <c r="A1258" s="74" t="str">
        <f t="shared" si="20"/>
        <v/>
      </c>
    </row>
    <row r="1259" spans="1:1" ht="17.25" customHeight="1">
      <c r="A1259" s="74" t="str">
        <f t="shared" si="20"/>
        <v/>
      </c>
    </row>
    <row r="1260" spans="1:1" ht="17.25" customHeight="1">
      <c r="A1260" s="74" t="str">
        <f t="shared" si="20"/>
        <v/>
      </c>
    </row>
    <row r="1261" spans="1:1" ht="17.25" customHeight="1">
      <c r="A1261" s="74" t="str">
        <f t="shared" si="20"/>
        <v/>
      </c>
    </row>
    <row r="1262" spans="1:1" ht="17.25" customHeight="1">
      <c r="A1262" s="74" t="str">
        <f t="shared" si="20"/>
        <v/>
      </c>
    </row>
    <row r="1263" spans="1:1" ht="17.25" customHeight="1">
      <c r="A1263" s="74" t="str">
        <f t="shared" si="20"/>
        <v/>
      </c>
    </row>
    <row r="1264" spans="1:1" ht="17.25" customHeight="1">
      <c r="A1264" s="74" t="str">
        <f t="shared" si="20"/>
        <v/>
      </c>
    </row>
    <row r="1265" spans="1:1" ht="17.25" customHeight="1">
      <c r="A1265" s="74" t="str">
        <f t="shared" si="20"/>
        <v/>
      </c>
    </row>
    <row r="1266" spans="1:1" ht="17.25" customHeight="1">
      <c r="A1266" s="74" t="str">
        <f t="shared" si="20"/>
        <v/>
      </c>
    </row>
    <row r="1267" spans="1:1" ht="17.25" customHeight="1">
      <c r="A1267" s="74" t="str">
        <f t="shared" si="20"/>
        <v/>
      </c>
    </row>
    <row r="1268" spans="1:1" ht="17.25" customHeight="1">
      <c r="A1268" s="74" t="str">
        <f t="shared" si="20"/>
        <v/>
      </c>
    </row>
    <row r="1269" spans="1:1" ht="17.25" customHeight="1">
      <c r="A1269" s="74" t="str">
        <f t="shared" si="20"/>
        <v/>
      </c>
    </row>
    <row r="1270" spans="1:1" ht="17.25" customHeight="1">
      <c r="A1270" s="74" t="str">
        <f t="shared" si="20"/>
        <v/>
      </c>
    </row>
    <row r="1271" spans="1:1" ht="17.25" customHeight="1">
      <c r="A1271" s="74" t="str">
        <f t="shared" si="20"/>
        <v/>
      </c>
    </row>
    <row r="1272" spans="1:1" ht="17.25" customHeight="1">
      <c r="A1272" s="74" t="str">
        <f t="shared" si="20"/>
        <v/>
      </c>
    </row>
    <row r="1273" spans="1:1" ht="17.25" customHeight="1">
      <c r="A1273" s="74" t="str">
        <f t="shared" si="20"/>
        <v/>
      </c>
    </row>
    <row r="1274" spans="1:1" ht="17.25" customHeight="1">
      <c r="A1274" s="74" t="str">
        <f t="shared" si="20"/>
        <v/>
      </c>
    </row>
    <row r="1275" spans="1:1" ht="17.25" customHeight="1">
      <c r="A1275" s="74" t="str">
        <f t="shared" si="20"/>
        <v/>
      </c>
    </row>
    <row r="1276" spans="1:1" ht="17.25" customHeight="1">
      <c r="A1276" s="74" t="str">
        <f t="shared" si="20"/>
        <v/>
      </c>
    </row>
    <row r="1277" spans="1:1" ht="17.25" customHeight="1">
      <c r="A1277" s="74" t="str">
        <f t="shared" si="20"/>
        <v/>
      </c>
    </row>
    <row r="1278" spans="1:1" ht="17.25" customHeight="1">
      <c r="A1278" s="74" t="str">
        <f t="shared" si="20"/>
        <v/>
      </c>
    </row>
    <row r="1279" spans="1:1" ht="17.25" customHeight="1">
      <c r="A1279" s="74" t="str">
        <f t="shared" si="20"/>
        <v/>
      </c>
    </row>
    <row r="1280" spans="1:1" ht="17.25" customHeight="1">
      <c r="A1280" s="74" t="str">
        <f t="shared" si="20"/>
        <v/>
      </c>
    </row>
    <row r="1281" spans="1:1" ht="17.25" customHeight="1">
      <c r="A1281" s="74" t="str">
        <f t="shared" si="20"/>
        <v/>
      </c>
    </row>
    <row r="1282" spans="1:1" ht="17.25" customHeight="1">
      <c r="A1282" s="74" t="str">
        <f t="shared" si="20"/>
        <v/>
      </c>
    </row>
    <row r="1283" spans="1:1" ht="17.25" customHeight="1">
      <c r="A1283" s="74" t="str">
        <f t="shared" si="20"/>
        <v/>
      </c>
    </row>
    <row r="1284" spans="1:1" ht="17.25" customHeight="1">
      <c r="A1284" s="74" t="str">
        <f t="shared" ref="A1284:A1347" si="21">IF(B1284&lt;&gt;"",ROW()-2,"")</f>
        <v/>
      </c>
    </row>
    <row r="1285" spans="1:1" ht="17.25" customHeight="1">
      <c r="A1285" s="74" t="str">
        <f t="shared" si="21"/>
        <v/>
      </c>
    </row>
    <row r="1286" spans="1:1" ht="17.25" customHeight="1">
      <c r="A1286" s="74" t="str">
        <f t="shared" si="21"/>
        <v/>
      </c>
    </row>
    <row r="1287" spans="1:1" ht="17.25" customHeight="1">
      <c r="A1287" s="74" t="str">
        <f t="shared" si="21"/>
        <v/>
      </c>
    </row>
    <row r="1288" spans="1:1" ht="17.25" customHeight="1">
      <c r="A1288" s="74" t="str">
        <f t="shared" si="21"/>
        <v/>
      </c>
    </row>
    <row r="1289" spans="1:1" ht="17.25" customHeight="1">
      <c r="A1289" s="74" t="str">
        <f t="shared" si="21"/>
        <v/>
      </c>
    </row>
    <row r="1290" spans="1:1" ht="17.25" customHeight="1">
      <c r="A1290" s="74" t="str">
        <f t="shared" si="21"/>
        <v/>
      </c>
    </row>
    <row r="1291" spans="1:1" ht="17.25" customHeight="1">
      <c r="A1291" s="74" t="str">
        <f t="shared" si="21"/>
        <v/>
      </c>
    </row>
    <row r="1292" spans="1:1" ht="17.25" customHeight="1">
      <c r="A1292" s="74" t="str">
        <f t="shared" si="21"/>
        <v/>
      </c>
    </row>
    <row r="1293" spans="1:1" ht="17.25" customHeight="1">
      <c r="A1293" s="74" t="str">
        <f t="shared" si="21"/>
        <v/>
      </c>
    </row>
    <row r="1294" spans="1:1" ht="17.25" customHeight="1">
      <c r="A1294" s="74" t="str">
        <f t="shared" si="21"/>
        <v/>
      </c>
    </row>
    <row r="1295" spans="1:1" ht="17.25" customHeight="1">
      <c r="A1295" s="74" t="str">
        <f t="shared" si="21"/>
        <v/>
      </c>
    </row>
    <row r="1296" spans="1:1" ht="17.25" customHeight="1">
      <c r="A1296" s="74" t="str">
        <f t="shared" si="21"/>
        <v/>
      </c>
    </row>
    <row r="1297" spans="1:1" ht="17.25" customHeight="1">
      <c r="A1297" s="74" t="str">
        <f t="shared" si="21"/>
        <v/>
      </c>
    </row>
    <row r="1298" spans="1:1" ht="17.25" customHeight="1">
      <c r="A1298" s="74" t="str">
        <f t="shared" si="21"/>
        <v/>
      </c>
    </row>
    <row r="1299" spans="1:1" ht="17.25" customHeight="1">
      <c r="A1299" s="74" t="str">
        <f t="shared" si="21"/>
        <v/>
      </c>
    </row>
    <row r="1300" spans="1:1" ht="17.25" customHeight="1">
      <c r="A1300" s="74" t="str">
        <f t="shared" si="21"/>
        <v/>
      </c>
    </row>
    <row r="1301" spans="1:1" ht="17.25" customHeight="1">
      <c r="A1301" s="74" t="str">
        <f t="shared" si="21"/>
        <v/>
      </c>
    </row>
    <row r="1302" spans="1:1" ht="17.25" customHeight="1">
      <c r="A1302" s="74" t="str">
        <f t="shared" si="21"/>
        <v/>
      </c>
    </row>
    <row r="1303" spans="1:1" ht="17.25" customHeight="1">
      <c r="A1303" s="74" t="str">
        <f t="shared" si="21"/>
        <v/>
      </c>
    </row>
    <row r="1304" spans="1:1" ht="17.25" customHeight="1">
      <c r="A1304" s="74" t="str">
        <f t="shared" si="21"/>
        <v/>
      </c>
    </row>
    <row r="1305" spans="1:1" ht="17.25" customHeight="1">
      <c r="A1305" s="74" t="str">
        <f t="shared" si="21"/>
        <v/>
      </c>
    </row>
    <row r="1306" spans="1:1" ht="17.25" customHeight="1">
      <c r="A1306" s="74" t="str">
        <f t="shared" si="21"/>
        <v/>
      </c>
    </row>
    <row r="1307" spans="1:1" ht="17.25" customHeight="1">
      <c r="A1307" s="74" t="str">
        <f t="shared" si="21"/>
        <v/>
      </c>
    </row>
    <row r="1308" spans="1:1" ht="17.25" customHeight="1">
      <c r="A1308" s="74" t="str">
        <f t="shared" si="21"/>
        <v/>
      </c>
    </row>
    <row r="1309" spans="1:1" ht="17.25" customHeight="1">
      <c r="A1309" s="74" t="str">
        <f t="shared" si="21"/>
        <v/>
      </c>
    </row>
    <row r="1310" spans="1:1" ht="17.25" customHeight="1">
      <c r="A1310" s="74" t="str">
        <f t="shared" si="21"/>
        <v/>
      </c>
    </row>
    <row r="1311" spans="1:1" ht="17.25" customHeight="1">
      <c r="A1311" s="74" t="str">
        <f t="shared" si="21"/>
        <v/>
      </c>
    </row>
    <row r="1312" spans="1:1" ht="17.25" customHeight="1">
      <c r="A1312" s="74" t="str">
        <f t="shared" si="21"/>
        <v/>
      </c>
    </row>
    <row r="1313" spans="1:1" ht="17.25" customHeight="1">
      <c r="A1313" s="74" t="str">
        <f t="shared" si="21"/>
        <v/>
      </c>
    </row>
    <row r="1314" spans="1:1" ht="17.25" customHeight="1">
      <c r="A1314" s="74" t="str">
        <f t="shared" si="21"/>
        <v/>
      </c>
    </row>
    <row r="1315" spans="1:1" ht="17.25" customHeight="1">
      <c r="A1315" s="74" t="str">
        <f t="shared" si="21"/>
        <v/>
      </c>
    </row>
    <row r="1316" spans="1:1" ht="17.25" customHeight="1">
      <c r="A1316" s="74" t="str">
        <f t="shared" si="21"/>
        <v/>
      </c>
    </row>
    <row r="1317" spans="1:1" ht="17.25" customHeight="1">
      <c r="A1317" s="74" t="str">
        <f t="shared" si="21"/>
        <v/>
      </c>
    </row>
    <row r="1318" spans="1:1" ht="17.25" customHeight="1">
      <c r="A1318" s="74" t="str">
        <f t="shared" si="21"/>
        <v/>
      </c>
    </row>
    <row r="1319" spans="1:1" ht="17.25" customHeight="1">
      <c r="A1319" s="74" t="str">
        <f t="shared" si="21"/>
        <v/>
      </c>
    </row>
    <row r="1320" spans="1:1" ht="17.25" customHeight="1">
      <c r="A1320" s="74" t="str">
        <f t="shared" si="21"/>
        <v/>
      </c>
    </row>
    <row r="1321" spans="1:1" ht="17.25" customHeight="1">
      <c r="A1321" s="74" t="str">
        <f t="shared" si="21"/>
        <v/>
      </c>
    </row>
    <row r="1322" spans="1:1" ht="17.25" customHeight="1">
      <c r="A1322" s="74" t="str">
        <f t="shared" si="21"/>
        <v/>
      </c>
    </row>
    <row r="1323" spans="1:1" ht="17.25" customHeight="1">
      <c r="A1323" s="74" t="str">
        <f t="shared" si="21"/>
        <v/>
      </c>
    </row>
    <row r="1324" spans="1:1" ht="17.25" customHeight="1">
      <c r="A1324" s="74" t="str">
        <f t="shared" si="21"/>
        <v/>
      </c>
    </row>
    <row r="1325" spans="1:1" ht="17.25" customHeight="1">
      <c r="A1325" s="74" t="str">
        <f t="shared" si="21"/>
        <v/>
      </c>
    </row>
    <row r="1326" spans="1:1" ht="17.25" customHeight="1">
      <c r="A1326" s="74" t="str">
        <f t="shared" si="21"/>
        <v/>
      </c>
    </row>
    <row r="1327" spans="1:1" ht="17.25" customHeight="1">
      <c r="A1327" s="74" t="str">
        <f t="shared" si="21"/>
        <v/>
      </c>
    </row>
    <row r="1328" spans="1:1" ht="17.25" customHeight="1">
      <c r="A1328" s="74" t="str">
        <f t="shared" si="21"/>
        <v/>
      </c>
    </row>
    <row r="1329" spans="1:1" ht="17.25" customHeight="1">
      <c r="A1329" s="74" t="str">
        <f t="shared" si="21"/>
        <v/>
      </c>
    </row>
    <row r="1330" spans="1:1" ht="17.25" customHeight="1">
      <c r="A1330" s="74" t="str">
        <f t="shared" si="21"/>
        <v/>
      </c>
    </row>
    <row r="1331" spans="1:1" ht="17.25" customHeight="1">
      <c r="A1331" s="74" t="str">
        <f t="shared" si="21"/>
        <v/>
      </c>
    </row>
    <row r="1332" spans="1:1" ht="17.25" customHeight="1">
      <c r="A1332" s="74" t="str">
        <f t="shared" si="21"/>
        <v/>
      </c>
    </row>
    <row r="1333" spans="1:1" ht="17.25" customHeight="1">
      <c r="A1333" s="74" t="str">
        <f t="shared" si="21"/>
        <v/>
      </c>
    </row>
    <row r="1334" spans="1:1" ht="17.25" customHeight="1">
      <c r="A1334" s="74" t="str">
        <f t="shared" si="21"/>
        <v/>
      </c>
    </row>
    <row r="1335" spans="1:1" ht="17.25" customHeight="1">
      <c r="A1335" s="74" t="str">
        <f t="shared" si="21"/>
        <v/>
      </c>
    </row>
    <row r="1336" spans="1:1" ht="17.25" customHeight="1">
      <c r="A1336" s="74" t="str">
        <f t="shared" si="21"/>
        <v/>
      </c>
    </row>
    <row r="1337" spans="1:1" ht="17.25" customHeight="1">
      <c r="A1337" s="74" t="str">
        <f t="shared" si="21"/>
        <v/>
      </c>
    </row>
    <row r="1338" spans="1:1" ht="17.25" customHeight="1">
      <c r="A1338" s="74" t="str">
        <f t="shared" si="21"/>
        <v/>
      </c>
    </row>
    <row r="1339" spans="1:1" ht="17.25" customHeight="1">
      <c r="A1339" s="74" t="str">
        <f t="shared" si="21"/>
        <v/>
      </c>
    </row>
    <row r="1340" spans="1:1" ht="17.25" customHeight="1">
      <c r="A1340" s="74" t="str">
        <f t="shared" si="21"/>
        <v/>
      </c>
    </row>
    <row r="1341" spans="1:1" ht="17.25" customHeight="1">
      <c r="A1341" s="74" t="str">
        <f t="shared" si="21"/>
        <v/>
      </c>
    </row>
    <row r="1342" spans="1:1" ht="17.25" customHeight="1">
      <c r="A1342" s="74" t="str">
        <f t="shared" si="21"/>
        <v/>
      </c>
    </row>
    <row r="1343" spans="1:1" ht="17.25" customHeight="1">
      <c r="A1343" s="74" t="str">
        <f t="shared" si="21"/>
        <v/>
      </c>
    </row>
    <row r="1344" spans="1:1" ht="17.25" customHeight="1">
      <c r="A1344" s="74" t="str">
        <f t="shared" si="21"/>
        <v/>
      </c>
    </row>
    <row r="1345" spans="1:1" ht="17.25" customHeight="1">
      <c r="A1345" s="74" t="str">
        <f t="shared" si="21"/>
        <v/>
      </c>
    </row>
    <row r="1346" spans="1:1" ht="17.25" customHeight="1">
      <c r="A1346" s="74" t="str">
        <f t="shared" si="21"/>
        <v/>
      </c>
    </row>
    <row r="1347" spans="1:1" ht="17.25" customHeight="1">
      <c r="A1347" s="74" t="str">
        <f t="shared" si="21"/>
        <v/>
      </c>
    </row>
    <row r="1348" spans="1:1" ht="17.25" customHeight="1">
      <c r="A1348" s="74" t="str">
        <f t="shared" ref="A1348:A1411" si="22">IF(B1348&lt;&gt;"",ROW()-2,"")</f>
        <v/>
      </c>
    </row>
    <row r="1349" spans="1:1" ht="17.25" customHeight="1">
      <c r="A1349" s="74" t="str">
        <f t="shared" si="22"/>
        <v/>
      </c>
    </row>
    <row r="1350" spans="1:1" ht="17.25" customHeight="1">
      <c r="A1350" s="74" t="str">
        <f t="shared" si="22"/>
        <v/>
      </c>
    </row>
    <row r="1351" spans="1:1" ht="17.25" customHeight="1">
      <c r="A1351" s="74" t="str">
        <f t="shared" si="22"/>
        <v/>
      </c>
    </row>
    <row r="1352" spans="1:1" ht="17.25" customHeight="1">
      <c r="A1352" s="74" t="str">
        <f t="shared" si="22"/>
        <v/>
      </c>
    </row>
    <row r="1353" spans="1:1" ht="17.25" customHeight="1">
      <c r="A1353" s="74" t="str">
        <f t="shared" si="22"/>
        <v/>
      </c>
    </row>
    <row r="1354" spans="1:1" ht="17.25" customHeight="1">
      <c r="A1354" s="74" t="str">
        <f t="shared" si="22"/>
        <v/>
      </c>
    </row>
    <row r="1355" spans="1:1" ht="17.25" customHeight="1">
      <c r="A1355" s="74" t="str">
        <f t="shared" si="22"/>
        <v/>
      </c>
    </row>
    <row r="1356" spans="1:1" ht="17.25" customHeight="1">
      <c r="A1356" s="74" t="str">
        <f t="shared" si="22"/>
        <v/>
      </c>
    </row>
    <row r="1357" spans="1:1" ht="17.25" customHeight="1">
      <c r="A1357" s="74" t="str">
        <f t="shared" si="22"/>
        <v/>
      </c>
    </row>
    <row r="1358" spans="1:1" ht="17.25" customHeight="1">
      <c r="A1358" s="74" t="str">
        <f t="shared" si="22"/>
        <v/>
      </c>
    </row>
    <row r="1359" spans="1:1" ht="17.25" customHeight="1">
      <c r="A1359" s="74" t="str">
        <f t="shared" si="22"/>
        <v/>
      </c>
    </row>
    <row r="1360" spans="1:1" ht="17.25" customHeight="1">
      <c r="A1360" s="74" t="str">
        <f t="shared" si="22"/>
        <v/>
      </c>
    </row>
    <row r="1361" spans="1:1" ht="17.25" customHeight="1">
      <c r="A1361" s="74" t="str">
        <f t="shared" si="22"/>
        <v/>
      </c>
    </row>
    <row r="1362" spans="1:1" ht="17.25" customHeight="1">
      <c r="A1362" s="74" t="str">
        <f t="shared" si="22"/>
        <v/>
      </c>
    </row>
    <row r="1363" spans="1:1" ht="17.25" customHeight="1">
      <c r="A1363" s="74" t="str">
        <f t="shared" si="22"/>
        <v/>
      </c>
    </row>
    <row r="1364" spans="1:1" ht="17.25" customHeight="1">
      <c r="A1364" s="74" t="str">
        <f t="shared" si="22"/>
        <v/>
      </c>
    </row>
    <row r="1365" spans="1:1" ht="17.25" customHeight="1">
      <c r="A1365" s="74" t="str">
        <f t="shared" si="22"/>
        <v/>
      </c>
    </row>
    <row r="1366" spans="1:1" ht="17.25" customHeight="1">
      <c r="A1366" s="74" t="str">
        <f t="shared" si="22"/>
        <v/>
      </c>
    </row>
    <row r="1367" spans="1:1" ht="17.25" customHeight="1">
      <c r="A1367" s="74" t="str">
        <f t="shared" si="22"/>
        <v/>
      </c>
    </row>
    <row r="1368" spans="1:1" ht="17.25" customHeight="1">
      <c r="A1368" s="74" t="str">
        <f t="shared" si="22"/>
        <v/>
      </c>
    </row>
    <row r="1369" spans="1:1" ht="17.25" customHeight="1">
      <c r="A1369" s="74" t="str">
        <f t="shared" si="22"/>
        <v/>
      </c>
    </row>
    <row r="1370" spans="1:1" ht="17.25" customHeight="1">
      <c r="A1370" s="74" t="str">
        <f t="shared" si="22"/>
        <v/>
      </c>
    </row>
    <row r="1371" spans="1:1" ht="17.25" customHeight="1">
      <c r="A1371" s="74" t="str">
        <f t="shared" si="22"/>
        <v/>
      </c>
    </row>
    <row r="1372" spans="1:1" ht="17.25" customHeight="1">
      <c r="A1372" s="74" t="str">
        <f t="shared" si="22"/>
        <v/>
      </c>
    </row>
    <row r="1373" spans="1:1" ht="17.25" customHeight="1">
      <c r="A1373" s="74" t="str">
        <f t="shared" si="22"/>
        <v/>
      </c>
    </row>
    <row r="1374" spans="1:1" ht="17.25" customHeight="1">
      <c r="A1374" s="74" t="str">
        <f t="shared" si="22"/>
        <v/>
      </c>
    </row>
    <row r="1375" spans="1:1" ht="17.25" customHeight="1">
      <c r="A1375" s="74" t="str">
        <f t="shared" si="22"/>
        <v/>
      </c>
    </row>
    <row r="1376" spans="1:1" ht="17.25" customHeight="1">
      <c r="A1376" s="74" t="str">
        <f t="shared" si="22"/>
        <v/>
      </c>
    </row>
    <row r="1377" spans="1:1" ht="17.25" customHeight="1">
      <c r="A1377" s="74" t="str">
        <f t="shared" si="22"/>
        <v/>
      </c>
    </row>
    <row r="1378" spans="1:1" ht="17.25" customHeight="1">
      <c r="A1378" s="74" t="str">
        <f t="shared" si="22"/>
        <v/>
      </c>
    </row>
    <row r="1379" spans="1:1" ht="17.25" customHeight="1">
      <c r="A1379" s="74" t="str">
        <f t="shared" si="22"/>
        <v/>
      </c>
    </row>
    <row r="1380" spans="1:1" ht="17.25" customHeight="1">
      <c r="A1380" s="74" t="str">
        <f t="shared" si="22"/>
        <v/>
      </c>
    </row>
    <row r="1381" spans="1:1" ht="17.25" customHeight="1">
      <c r="A1381" s="74" t="str">
        <f t="shared" si="22"/>
        <v/>
      </c>
    </row>
    <row r="1382" spans="1:1" ht="17.25" customHeight="1">
      <c r="A1382" s="74" t="str">
        <f t="shared" si="22"/>
        <v/>
      </c>
    </row>
    <row r="1383" spans="1:1" ht="17.25" customHeight="1">
      <c r="A1383" s="74" t="str">
        <f t="shared" si="22"/>
        <v/>
      </c>
    </row>
    <row r="1384" spans="1:1" ht="17.25" customHeight="1">
      <c r="A1384" s="74" t="str">
        <f t="shared" si="22"/>
        <v/>
      </c>
    </row>
    <row r="1385" spans="1:1" ht="17.25" customHeight="1">
      <c r="A1385" s="74" t="str">
        <f t="shared" si="22"/>
        <v/>
      </c>
    </row>
    <row r="1386" spans="1:1" ht="17.25" customHeight="1">
      <c r="A1386" s="74" t="str">
        <f t="shared" si="22"/>
        <v/>
      </c>
    </row>
    <row r="1387" spans="1:1" ht="17.25" customHeight="1">
      <c r="A1387" s="74" t="str">
        <f t="shared" si="22"/>
        <v/>
      </c>
    </row>
    <row r="1388" spans="1:1" ht="17.25" customHeight="1">
      <c r="A1388" s="74" t="str">
        <f t="shared" si="22"/>
        <v/>
      </c>
    </row>
    <row r="1389" spans="1:1" ht="17.25" customHeight="1">
      <c r="A1389" s="74" t="str">
        <f t="shared" si="22"/>
        <v/>
      </c>
    </row>
    <row r="1390" spans="1:1" ht="17.25" customHeight="1">
      <c r="A1390" s="74" t="str">
        <f t="shared" si="22"/>
        <v/>
      </c>
    </row>
    <row r="1391" spans="1:1" ht="17.25" customHeight="1">
      <c r="A1391" s="74" t="str">
        <f t="shared" si="22"/>
        <v/>
      </c>
    </row>
    <row r="1392" spans="1:1" ht="17.25" customHeight="1">
      <c r="A1392" s="74" t="str">
        <f t="shared" si="22"/>
        <v/>
      </c>
    </row>
    <row r="1393" spans="1:1" ht="17.25" customHeight="1">
      <c r="A1393" s="74" t="str">
        <f t="shared" si="22"/>
        <v/>
      </c>
    </row>
    <row r="1394" spans="1:1" ht="17.25" customHeight="1">
      <c r="A1394" s="74" t="str">
        <f t="shared" si="22"/>
        <v/>
      </c>
    </row>
    <row r="1395" spans="1:1" ht="17.25" customHeight="1">
      <c r="A1395" s="74" t="str">
        <f t="shared" si="22"/>
        <v/>
      </c>
    </row>
    <row r="1396" spans="1:1" ht="17.25" customHeight="1">
      <c r="A1396" s="74" t="str">
        <f t="shared" si="22"/>
        <v/>
      </c>
    </row>
    <row r="1397" spans="1:1" ht="17.25" customHeight="1">
      <c r="A1397" s="74" t="str">
        <f t="shared" si="22"/>
        <v/>
      </c>
    </row>
    <row r="1398" spans="1:1" ht="17.25" customHeight="1">
      <c r="A1398" s="74" t="str">
        <f t="shared" si="22"/>
        <v/>
      </c>
    </row>
    <row r="1399" spans="1:1" ht="17.25" customHeight="1">
      <c r="A1399" s="74" t="str">
        <f t="shared" si="22"/>
        <v/>
      </c>
    </row>
    <row r="1400" spans="1:1" ht="17.25" customHeight="1">
      <c r="A1400" s="74" t="str">
        <f t="shared" si="22"/>
        <v/>
      </c>
    </row>
    <row r="1401" spans="1:1" ht="17.25" customHeight="1">
      <c r="A1401" s="74" t="str">
        <f t="shared" si="22"/>
        <v/>
      </c>
    </row>
    <row r="1402" spans="1:1" ht="17.25" customHeight="1">
      <c r="A1402" s="74" t="str">
        <f t="shared" si="22"/>
        <v/>
      </c>
    </row>
    <row r="1403" spans="1:1" ht="17.25" customHeight="1">
      <c r="A1403" s="74" t="str">
        <f t="shared" si="22"/>
        <v/>
      </c>
    </row>
    <row r="1404" spans="1:1" ht="17.25" customHeight="1">
      <c r="A1404" s="74" t="str">
        <f t="shared" si="22"/>
        <v/>
      </c>
    </row>
    <row r="1405" spans="1:1" ht="17.25" customHeight="1">
      <c r="A1405" s="74" t="str">
        <f t="shared" si="22"/>
        <v/>
      </c>
    </row>
    <row r="1406" spans="1:1" ht="17.25" customHeight="1">
      <c r="A1406" s="74" t="str">
        <f t="shared" si="22"/>
        <v/>
      </c>
    </row>
    <row r="1407" spans="1:1" ht="17.25" customHeight="1">
      <c r="A1407" s="74" t="str">
        <f t="shared" si="22"/>
        <v/>
      </c>
    </row>
    <row r="1408" spans="1:1" ht="17.25" customHeight="1">
      <c r="A1408" s="74" t="str">
        <f t="shared" si="22"/>
        <v/>
      </c>
    </row>
    <row r="1409" spans="1:1" ht="17.25" customHeight="1">
      <c r="A1409" s="74" t="str">
        <f t="shared" si="22"/>
        <v/>
      </c>
    </row>
    <row r="1410" spans="1:1" ht="17.25" customHeight="1">
      <c r="A1410" s="74" t="str">
        <f t="shared" si="22"/>
        <v/>
      </c>
    </row>
    <row r="1411" spans="1:1" ht="17.25" customHeight="1">
      <c r="A1411" s="74" t="str">
        <f t="shared" si="22"/>
        <v/>
      </c>
    </row>
    <row r="1412" spans="1:1" ht="17.25" customHeight="1">
      <c r="A1412" s="74" t="str">
        <f t="shared" ref="A1412:A1475" si="23">IF(B1412&lt;&gt;"",ROW()-2,"")</f>
        <v/>
      </c>
    </row>
    <row r="1413" spans="1:1" ht="17.25" customHeight="1">
      <c r="A1413" s="74" t="str">
        <f t="shared" si="23"/>
        <v/>
      </c>
    </row>
    <row r="1414" spans="1:1" ht="17.25" customHeight="1">
      <c r="A1414" s="74" t="str">
        <f t="shared" si="23"/>
        <v/>
      </c>
    </row>
    <row r="1415" spans="1:1" ht="17.25" customHeight="1">
      <c r="A1415" s="74" t="str">
        <f t="shared" si="23"/>
        <v/>
      </c>
    </row>
    <row r="1416" spans="1:1" ht="17.25" customHeight="1">
      <c r="A1416" s="74" t="str">
        <f t="shared" si="23"/>
        <v/>
      </c>
    </row>
    <row r="1417" spans="1:1" ht="17.25" customHeight="1">
      <c r="A1417" s="74" t="str">
        <f t="shared" si="23"/>
        <v/>
      </c>
    </row>
    <row r="1418" spans="1:1" ht="17.25" customHeight="1">
      <c r="A1418" s="74" t="str">
        <f t="shared" si="23"/>
        <v/>
      </c>
    </row>
    <row r="1419" spans="1:1" ht="17.25" customHeight="1">
      <c r="A1419" s="74" t="str">
        <f t="shared" si="23"/>
        <v/>
      </c>
    </row>
    <row r="1420" spans="1:1" ht="17.25" customHeight="1">
      <c r="A1420" s="74" t="str">
        <f t="shared" si="23"/>
        <v/>
      </c>
    </row>
    <row r="1421" spans="1:1" ht="17.25" customHeight="1">
      <c r="A1421" s="74" t="str">
        <f t="shared" si="23"/>
        <v/>
      </c>
    </row>
    <row r="1422" spans="1:1" ht="17.25" customHeight="1">
      <c r="A1422" s="74" t="str">
        <f t="shared" si="23"/>
        <v/>
      </c>
    </row>
    <row r="1423" spans="1:1" ht="17.25" customHeight="1">
      <c r="A1423" s="74" t="str">
        <f t="shared" si="23"/>
        <v/>
      </c>
    </row>
    <row r="1424" spans="1:1" ht="17.25" customHeight="1">
      <c r="A1424" s="74" t="str">
        <f t="shared" si="23"/>
        <v/>
      </c>
    </row>
    <row r="1425" spans="1:1" ht="17.25" customHeight="1">
      <c r="A1425" s="74" t="str">
        <f t="shared" si="23"/>
        <v/>
      </c>
    </row>
    <row r="1426" spans="1:1" ht="17.25" customHeight="1">
      <c r="A1426" s="74" t="str">
        <f t="shared" si="23"/>
        <v/>
      </c>
    </row>
    <row r="1427" spans="1:1" ht="17.25" customHeight="1">
      <c r="A1427" s="74" t="str">
        <f t="shared" si="23"/>
        <v/>
      </c>
    </row>
    <row r="1428" spans="1:1" ht="17.25" customHeight="1">
      <c r="A1428" s="74" t="str">
        <f t="shared" si="23"/>
        <v/>
      </c>
    </row>
    <row r="1429" spans="1:1" ht="17.25" customHeight="1">
      <c r="A1429" s="74" t="str">
        <f t="shared" si="23"/>
        <v/>
      </c>
    </row>
    <row r="1430" spans="1:1" ht="17.25" customHeight="1">
      <c r="A1430" s="74" t="str">
        <f t="shared" si="23"/>
        <v/>
      </c>
    </row>
    <row r="1431" spans="1:1" ht="17.25" customHeight="1">
      <c r="A1431" s="74" t="str">
        <f t="shared" si="23"/>
        <v/>
      </c>
    </row>
    <row r="1432" spans="1:1" ht="17.25" customHeight="1">
      <c r="A1432" s="74" t="str">
        <f t="shared" si="23"/>
        <v/>
      </c>
    </row>
    <row r="1433" spans="1:1" ht="17.25" customHeight="1">
      <c r="A1433" s="74" t="str">
        <f t="shared" si="23"/>
        <v/>
      </c>
    </row>
    <row r="1434" spans="1:1" ht="17.25" customHeight="1">
      <c r="A1434" s="74" t="str">
        <f t="shared" si="23"/>
        <v/>
      </c>
    </row>
    <row r="1435" spans="1:1" ht="17.25" customHeight="1">
      <c r="A1435" s="74" t="str">
        <f t="shared" si="23"/>
        <v/>
      </c>
    </row>
    <row r="1436" spans="1:1" ht="17.25" customHeight="1">
      <c r="A1436" s="74" t="str">
        <f t="shared" si="23"/>
        <v/>
      </c>
    </row>
    <row r="1437" spans="1:1" ht="17.25" customHeight="1">
      <c r="A1437" s="74" t="str">
        <f t="shared" si="23"/>
        <v/>
      </c>
    </row>
    <row r="1438" spans="1:1" ht="17.25" customHeight="1">
      <c r="A1438" s="74" t="str">
        <f t="shared" si="23"/>
        <v/>
      </c>
    </row>
    <row r="1439" spans="1:1" ht="17.25" customHeight="1">
      <c r="A1439" s="74" t="str">
        <f t="shared" si="23"/>
        <v/>
      </c>
    </row>
    <row r="1440" spans="1:1" ht="17.25" customHeight="1">
      <c r="A1440" s="74" t="str">
        <f t="shared" si="23"/>
        <v/>
      </c>
    </row>
    <row r="1441" spans="1:1" ht="17.25" customHeight="1">
      <c r="A1441" s="74" t="str">
        <f t="shared" si="23"/>
        <v/>
      </c>
    </row>
    <row r="1442" spans="1:1" ht="17.25" customHeight="1">
      <c r="A1442" s="74" t="str">
        <f t="shared" si="23"/>
        <v/>
      </c>
    </row>
    <row r="1443" spans="1:1" ht="17.25" customHeight="1">
      <c r="A1443" s="74" t="str">
        <f t="shared" si="23"/>
        <v/>
      </c>
    </row>
    <row r="1444" spans="1:1" ht="17.25" customHeight="1">
      <c r="A1444" s="74" t="str">
        <f t="shared" si="23"/>
        <v/>
      </c>
    </row>
    <row r="1445" spans="1:1" ht="17.25" customHeight="1">
      <c r="A1445" s="74" t="str">
        <f t="shared" si="23"/>
        <v/>
      </c>
    </row>
    <row r="1446" spans="1:1" ht="17.25" customHeight="1">
      <c r="A1446" s="74" t="str">
        <f t="shared" si="23"/>
        <v/>
      </c>
    </row>
    <row r="1447" spans="1:1" ht="17.25" customHeight="1">
      <c r="A1447" s="74" t="str">
        <f t="shared" si="23"/>
        <v/>
      </c>
    </row>
    <row r="1448" spans="1:1" ht="17.25" customHeight="1">
      <c r="A1448" s="74" t="str">
        <f t="shared" si="23"/>
        <v/>
      </c>
    </row>
    <row r="1449" spans="1:1" ht="17.25" customHeight="1">
      <c r="A1449" s="74" t="str">
        <f t="shared" si="23"/>
        <v/>
      </c>
    </row>
    <row r="1450" spans="1:1" ht="17.25" customHeight="1">
      <c r="A1450" s="74" t="str">
        <f t="shared" si="23"/>
        <v/>
      </c>
    </row>
    <row r="1451" spans="1:1" ht="17.25" customHeight="1">
      <c r="A1451" s="74" t="str">
        <f t="shared" si="23"/>
        <v/>
      </c>
    </row>
    <row r="1452" spans="1:1" ht="17.25" customHeight="1">
      <c r="A1452" s="74" t="str">
        <f t="shared" si="23"/>
        <v/>
      </c>
    </row>
    <row r="1453" spans="1:1" ht="17.25" customHeight="1">
      <c r="A1453" s="74" t="str">
        <f t="shared" si="23"/>
        <v/>
      </c>
    </row>
    <row r="1454" spans="1:1" ht="17.25" customHeight="1">
      <c r="A1454" s="74" t="str">
        <f t="shared" si="23"/>
        <v/>
      </c>
    </row>
    <row r="1455" spans="1:1" ht="17.25" customHeight="1">
      <c r="A1455" s="74" t="str">
        <f t="shared" si="23"/>
        <v/>
      </c>
    </row>
    <row r="1456" spans="1:1" ht="17.25" customHeight="1">
      <c r="A1456" s="74" t="str">
        <f t="shared" si="23"/>
        <v/>
      </c>
    </row>
    <row r="1457" spans="1:1" ht="17.25" customHeight="1">
      <c r="A1457" s="74" t="str">
        <f t="shared" si="23"/>
        <v/>
      </c>
    </row>
    <row r="1458" spans="1:1" ht="17.25" customHeight="1">
      <c r="A1458" s="74" t="str">
        <f t="shared" si="23"/>
        <v/>
      </c>
    </row>
    <row r="1459" spans="1:1" ht="17.25" customHeight="1">
      <c r="A1459" s="74" t="str">
        <f t="shared" si="23"/>
        <v/>
      </c>
    </row>
    <row r="1460" spans="1:1" ht="17.25" customHeight="1">
      <c r="A1460" s="74" t="str">
        <f t="shared" si="23"/>
        <v/>
      </c>
    </row>
    <row r="1461" spans="1:1" ht="17.25" customHeight="1">
      <c r="A1461" s="74" t="str">
        <f t="shared" si="23"/>
        <v/>
      </c>
    </row>
    <row r="1462" spans="1:1" ht="17.25" customHeight="1">
      <c r="A1462" s="74" t="str">
        <f t="shared" si="23"/>
        <v/>
      </c>
    </row>
    <row r="1463" spans="1:1" ht="17.25" customHeight="1">
      <c r="A1463" s="74" t="str">
        <f t="shared" si="23"/>
        <v/>
      </c>
    </row>
    <row r="1464" spans="1:1" ht="17.25" customHeight="1">
      <c r="A1464" s="74" t="str">
        <f t="shared" si="23"/>
        <v/>
      </c>
    </row>
    <row r="1465" spans="1:1" ht="17.25" customHeight="1">
      <c r="A1465" s="74" t="str">
        <f t="shared" si="23"/>
        <v/>
      </c>
    </row>
    <row r="1466" spans="1:1" ht="17.25" customHeight="1">
      <c r="A1466" s="74" t="str">
        <f t="shared" si="23"/>
        <v/>
      </c>
    </row>
    <row r="1467" spans="1:1" ht="17.25" customHeight="1">
      <c r="A1467" s="74" t="str">
        <f t="shared" si="23"/>
        <v/>
      </c>
    </row>
    <row r="1468" spans="1:1" ht="17.25" customHeight="1">
      <c r="A1468" s="74" t="str">
        <f t="shared" si="23"/>
        <v/>
      </c>
    </row>
    <row r="1469" spans="1:1" ht="17.25" customHeight="1">
      <c r="A1469" s="74" t="str">
        <f t="shared" si="23"/>
        <v/>
      </c>
    </row>
    <row r="1470" spans="1:1" ht="17.25" customHeight="1">
      <c r="A1470" s="74" t="str">
        <f t="shared" si="23"/>
        <v/>
      </c>
    </row>
    <row r="1471" spans="1:1" ht="17.25" customHeight="1">
      <c r="A1471" s="74" t="str">
        <f t="shared" si="23"/>
        <v/>
      </c>
    </row>
    <row r="1472" spans="1:1" ht="17.25" customHeight="1">
      <c r="A1472" s="74" t="str">
        <f t="shared" si="23"/>
        <v/>
      </c>
    </row>
    <row r="1473" spans="1:1" ht="17.25" customHeight="1">
      <c r="A1473" s="74" t="str">
        <f t="shared" si="23"/>
        <v/>
      </c>
    </row>
    <row r="1474" spans="1:1" ht="17.25" customHeight="1">
      <c r="A1474" s="74" t="str">
        <f t="shared" si="23"/>
        <v/>
      </c>
    </row>
    <row r="1475" spans="1:1" ht="17.25" customHeight="1">
      <c r="A1475" s="74" t="str">
        <f t="shared" si="23"/>
        <v/>
      </c>
    </row>
    <row r="1476" spans="1:1" ht="17.25" customHeight="1">
      <c r="A1476" s="74" t="str">
        <f t="shared" ref="A1476:A1539" si="24">IF(B1476&lt;&gt;"",ROW()-2,"")</f>
        <v/>
      </c>
    </row>
    <row r="1477" spans="1:1" ht="17.25" customHeight="1">
      <c r="A1477" s="74" t="str">
        <f t="shared" si="24"/>
        <v/>
      </c>
    </row>
    <row r="1478" spans="1:1" ht="17.25" customHeight="1">
      <c r="A1478" s="74" t="str">
        <f t="shared" si="24"/>
        <v/>
      </c>
    </row>
    <row r="1479" spans="1:1" ht="17.25" customHeight="1">
      <c r="A1479" s="74" t="str">
        <f t="shared" si="24"/>
        <v/>
      </c>
    </row>
    <row r="1480" spans="1:1" ht="17.25" customHeight="1">
      <c r="A1480" s="74" t="str">
        <f t="shared" si="24"/>
        <v/>
      </c>
    </row>
    <row r="1481" spans="1:1" ht="17.25" customHeight="1">
      <c r="A1481" s="74" t="str">
        <f t="shared" si="24"/>
        <v/>
      </c>
    </row>
    <row r="1482" spans="1:1" ht="17.25" customHeight="1">
      <c r="A1482" s="74" t="str">
        <f t="shared" si="24"/>
        <v/>
      </c>
    </row>
    <row r="1483" spans="1:1" ht="17.25" customHeight="1">
      <c r="A1483" s="74" t="str">
        <f t="shared" si="24"/>
        <v/>
      </c>
    </row>
    <row r="1484" spans="1:1" ht="17.25" customHeight="1">
      <c r="A1484" s="74" t="str">
        <f t="shared" si="24"/>
        <v/>
      </c>
    </row>
    <row r="1485" spans="1:1" ht="17.25" customHeight="1">
      <c r="A1485" s="74" t="str">
        <f t="shared" si="24"/>
        <v/>
      </c>
    </row>
    <row r="1486" spans="1:1" ht="17.25" customHeight="1">
      <c r="A1486" s="74" t="str">
        <f t="shared" si="24"/>
        <v/>
      </c>
    </row>
    <row r="1487" spans="1:1" ht="17.25" customHeight="1">
      <c r="A1487" s="74" t="str">
        <f t="shared" si="24"/>
        <v/>
      </c>
    </row>
    <row r="1488" spans="1:1" ht="17.25" customHeight="1">
      <c r="A1488" s="74" t="str">
        <f t="shared" si="24"/>
        <v/>
      </c>
    </row>
    <row r="1489" spans="1:1" ht="17.25" customHeight="1">
      <c r="A1489" s="74" t="str">
        <f t="shared" si="24"/>
        <v/>
      </c>
    </row>
    <row r="1490" spans="1:1" ht="17.25" customHeight="1">
      <c r="A1490" s="74" t="str">
        <f t="shared" si="24"/>
        <v/>
      </c>
    </row>
    <row r="1491" spans="1:1" ht="17.25" customHeight="1">
      <c r="A1491" s="74" t="str">
        <f t="shared" si="24"/>
        <v/>
      </c>
    </row>
    <row r="1492" spans="1:1" ht="17.25" customHeight="1">
      <c r="A1492" s="74" t="str">
        <f t="shared" si="24"/>
        <v/>
      </c>
    </row>
    <row r="1493" spans="1:1" ht="17.25" customHeight="1">
      <c r="A1493" s="74" t="str">
        <f t="shared" si="24"/>
        <v/>
      </c>
    </row>
    <row r="1494" spans="1:1" ht="17.25" customHeight="1">
      <c r="A1494" s="74" t="str">
        <f t="shared" si="24"/>
        <v/>
      </c>
    </row>
    <row r="1495" spans="1:1" ht="17.25" customHeight="1">
      <c r="A1495" s="74" t="str">
        <f t="shared" si="24"/>
        <v/>
      </c>
    </row>
    <row r="1496" spans="1:1" ht="17.25" customHeight="1">
      <c r="A1496" s="74" t="str">
        <f t="shared" si="24"/>
        <v/>
      </c>
    </row>
    <row r="1497" spans="1:1" ht="17.25" customHeight="1">
      <c r="A1497" s="74" t="str">
        <f t="shared" si="24"/>
        <v/>
      </c>
    </row>
    <row r="1498" spans="1:1" ht="17.25" customHeight="1">
      <c r="A1498" s="74" t="str">
        <f t="shared" si="24"/>
        <v/>
      </c>
    </row>
    <row r="1499" spans="1:1" ht="17.25" customHeight="1">
      <c r="A1499" s="74" t="str">
        <f t="shared" si="24"/>
        <v/>
      </c>
    </row>
    <row r="1500" spans="1:1" ht="17.25" customHeight="1">
      <c r="A1500" s="74" t="str">
        <f t="shared" si="24"/>
        <v/>
      </c>
    </row>
    <row r="1501" spans="1:1" ht="17.25" customHeight="1">
      <c r="A1501" s="74" t="str">
        <f t="shared" si="24"/>
        <v/>
      </c>
    </row>
    <row r="1502" spans="1:1" ht="17.25" customHeight="1">
      <c r="A1502" s="74" t="str">
        <f t="shared" si="24"/>
        <v/>
      </c>
    </row>
    <row r="1503" spans="1:1" ht="17.25" customHeight="1">
      <c r="A1503" s="74" t="str">
        <f t="shared" si="24"/>
        <v/>
      </c>
    </row>
    <row r="1504" spans="1:1" ht="17.25" customHeight="1">
      <c r="A1504" s="74" t="str">
        <f t="shared" si="24"/>
        <v/>
      </c>
    </row>
    <row r="1505" spans="1:1" ht="17.25" customHeight="1">
      <c r="A1505" s="74" t="str">
        <f t="shared" si="24"/>
        <v/>
      </c>
    </row>
    <row r="1506" spans="1:1" ht="17.25" customHeight="1">
      <c r="A1506" s="74" t="str">
        <f t="shared" si="24"/>
        <v/>
      </c>
    </row>
    <row r="1507" spans="1:1" ht="17.25" customHeight="1">
      <c r="A1507" s="74" t="str">
        <f t="shared" si="24"/>
        <v/>
      </c>
    </row>
    <row r="1508" spans="1:1" ht="17.25" customHeight="1">
      <c r="A1508" s="74" t="str">
        <f t="shared" si="24"/>
        <v/>
      </c>
    </row>
    <row r="1509" spans="1:1" ht="17.25" customHeight="1">
      <c r="A1509" s="74" t="str">
        <f t="shared" si="24"/>
        <v/>
      </c>
    </row>
    <row r="1510" spans="1:1" ht="17.25" customHeight="1">
      <c r="A1510" s="74" t="str">
        <f t="shared" si="24"/>
        <v/>
      </c>
    </row>
    <row r="1511" spans="1:1" ht="17.25" customHeight="1">
      <c r="A1511" s="74" t="str">
        <f t="shared" si="24"/>
        <v/>
      </c>
    </row>
    <row r="1512" spans="1:1" ht="17.25" customHeight="1">
      <c r="A1512" s="74" t="str">
        <f t="shared" si="24"/>
        <v/>
      </c>
    </row>
    <row r="1513" spans="1:1" ht="17.25" customHeight="1">
      <c r="A1513" s="74" t="str">
        <f t="shared" si="24"/>
        <v/>
      </c>
    </row>
    <row r="1514" spans="1:1" ht="17.25" customHeight="1">
      <c r="A1514" s="74" t="str">
        <f t="shared" si="24"/>
        <v/>
      </c>
    </row>
    <row r="1515" spans="1:1" ht="17.25" customHeight="1">
      <c r="A1515" s="74" t="str">
        <f t="shared" si="24"/>
        <v/>
      </c>
    </row>
    <row r="1516" spans="1:1" ht="17.25" customHeight="1">
      <c r="A1516" s="74" t="str">
        <f t="shared" si="24"/>
        <v/>
      </c>
    </row>
    <row r="1517" spans="1:1" ht="17.25" customHeight="1">
      <c r="A1517" s="74" t="str">
        <f t="shared" si="24"/>
        <v/>
      </c>
    </row>
    <row r="1518" spans="1:1" ht="17.25" customHeight="1">
      <c r="A1518" s="74" t="str">
        <f t="shared" si="24"/>
        <v/>
      </c>
    </row>
    <row r="1519" spans="1:1" ht="17.25" customHeight="1">
      <c r="A1519" s="74" t="str">
        <f t="shared" si="24"/>
        <v/>
      </c>
    </row>
    <row r="1520" spans="1:1" ht="17.25" customHeight="1">
      <c r="A1520" s="74" t="str">
        <f t="shared" si="24"/>
        <v/>
      </c>
    </row>
    <row r="1521" spans="1:1" ht="17.25" customHeight="1">
      <c r="A1521" s="74" t="str">
        <f t="shared" si="24"/>
        <v/>
      </c>
    </row>
    <row r="1522" spans="1:1" ht="17.25" customHeight="1">
      <c r="A1522" s="74" t="str">
        <f t="shared" si="24"/>
        <v/>
      </c>
    </row>
    <row r="1523" spans="1:1" ht="17.25" customHeight="1">
      <c r="A1523" s="74" t="str">
        <f t="shared" si="24"/>
        <v/>
      </c>
    </row>
    <row r="1524" spans="1:1" ht="17.25" customHeight="1">
      <c r="A1524" s="74" t="str">
        <f t="shared" si="24"/>
        <v/>
      </c>
    </row>
    <row r="1525" spans="1:1" ht="17.25" customHeight="1">
      <c r="A1525" s="74" t="str">
        <f t="shared" si="24"/>
        <v/>
      </c>
    </row>
    <row r="1526" spans="1:1" ht="17.25" customHeight="1">
      <c r="A1526" s="74" t="str">
        <f t="shared" si="24"/>
        <v/>
      </c>
    </row>
    <row r="1527" spans="1:1" ht="17.25" customHeight="1">
      <c r="A1527" s="74" t="str">
        <f t="shared" si="24"/>
        <v/>
      </c>
    </row>
    <row r="1528" spans="1:1" ht="17.25" customHeight="1">
      <c r="A1528" s="74" t="str">
        <f t="shared" si="24"/>
        <v/>
      </c>
    </row>
    <row r="1529" spans="1:1" ht="17.25" customHeight="1">
      <c r="A1529" s="74" t="str">
        <f t="shared" si="24"/>
        <v/>
      </c>
    </row>
    <row r="1530" spans="1:1" ht="17.25" customHeight="1">
      <c r="A1530" s="74" t="str">
        <f t="shared" si="24"/>
        <v/>
      </c>
    </row>
    <row r="1531" spans="1:1" ht="17.25" customHeight="1">
      <c r="A1531" s="74" t="str">
        <f t="shared" si="24"/>
        <v/>
      </c>
    </row>
    <row r="1532" spans="1:1" ht="17.25" customHeight="1">
      <c r="A1532" s="74" t="str">
        <f t="shared" si="24"/>
        <v/>
      </c>
    </row>
    <row r="1533" spans="1:1" ht="17.25" customHeight="1">
      <c r="A1533" s="74" t="str">
        <f t="shared" si="24"/>
        <v/>
      </c>
    </row>
    <row r="1534" spans="1:1" ht="17.25" customHeight="1">
      <c r="A1534" s="74" t="str">
        <f t="shared" si="24"/>
        <v/>
      </c>
    </row>
    <row r="1535" spans="1:1" ht="17.25" customHeight="1">
      <c r="A1535" s="74" t="str">
        <f t="shared" si="24"/>
        <v/>
      </c>
    </row>
    <row r="1536" spans="1:1" ht="17.25" customHeight="1">
      <c r="A1536" s="74" t="str">
        <f t="shared" si="24"/>
        <v/>
      </c>
    </row>
    <row r="1537" spans="1:1" ht="17.25" customHeight="1">
      <c r="A1537" s="74" t="str">
        <f t="shared" si="24"/>
        <v/>
      </c>
    </row>
    <row r="1538" spans="1:1" ht="17.25" customHeight="1">
      <c r="A1538" s="74" t="str">
        <f t="shared" si="24"/>
        <v/>
      </c>
    </row>
    <row r="1539" spans="1:1" ht="17.25" customHeight="1">
      <c r="A1539" s="74" t="str">
        <f t="shared" si="24"/>
        <v/>
      </c>
    </row>
    <row r="1540" spans="1:1" ht="17.25" customHeight="1">
      <c r="A1540" s="74" t="str">
        <f t="shared" ref="A1540:A1603" si="25">IF(B1540&lt;&gt;"",ROW()-2,"")</f>
        <v/>
      </c>
    </row>
    <row r="1541" spans="1:1" ht="17.25" customHeight="1">
      <c r="A1541" s="74" t="str">
        <f t="shared" si="25"/>
        <v/>
      </c>
    </row>
    <row r="1542" spans="1:1" ht="17.25" customHeight="1">
      <c r="A1542" s="74" t="str">
        <f t="shared" si="25"/>
        <v/>
      </c>
    </row>
    <row r="1543" spans="1:1" ht="17.25" customHeight="1">
      <c r="A1543" s="74" t="str">
        <f t="shared" si="25"/>
        <v/>
      </c>
    </row>
    <row r="1544" spans="1:1" ht="17.25" customHeight="1">
      <c r="A1544" s="74" t="str">
        <f t="shared" si="25"/>
        <v/>
      </c>
    </row>
    <row r="1545" spans="1:1" ht="17.25" customHeight="1">
      <c r="A1545" s="74" t="str">
        <f t="shared" si="25"/>
        <v/>
      </c>
    </row>
    <row r="1546" spans="1:1" ht="17.25" customHeight="1">
      <c r="A1546" s="74" t="str">
        <f t="shared" si="25"/>
        <v/>
      </c>
    </row>
    <row r="1547" spans="1:1" ht="17.25" customHeight="1">
      <c r="A1547" s="74" t="str">
        <f t="shared" si="25"/>
        <v/>
      </c>
    </row>
    <row r="1548" spans="1:1" ht="17.25" customHeight="1">
      <c r="A1548" s="74" t="str">
        <f t="shared" si="25"/>
        <v/>
      </c>
    </row>
    <row r="1549" spans="1:1" ht="17.25" customHeight="1">
      <c r="A1549" s="74" t="str">
        <f t="shared" si="25"/>
        <v/>
      </c>
    </row>
    <row r="1550" spans="1:1" ht="17.25" customHeight="1">
      <c r="A1550" s="74" t="str">
        <f t="shared" si="25"/>
        <v/>
      </c>
    </row>
    <row r="1551" spans="1:1" ht="17.25" customHeight="1">
      <c r="A1551" s="74" t="str">
        <f t="shared" si="25"/>
        <v/>
      </c>
    </row>
    <row r="1552" spans="1:1" ht="17.25" customHeight="1">
      <c r="A1552" s="74" t="str">
        <f t="shared" si="25"/>
        <v/>
      </c>
    </row>
    <row r="1553" spans="1:1" ht="17.25" customHeight="1">
      <c r="A1553" s="74" t="str">
        <f t="shared" si="25"/>
        <v/>
      </c>
    </row>
    <row r="1554" spans="1:1" ht="17.25" customHeight="1">
      <c r="A1554" s="74" t="str">
        <f t="shared" si="25"/>
        <v/>
      </c>
    </row>
    <row r="1555" spans="1:1" ht="17.25" customHeight="1">
      <c r="A1555" s="74" t="str">
        <f t="shared" si="25"/>
        <v/>
      </c>
    </row>
    <row r="1556" spans="1:1" ht="17.25" customHeight="1">
      <c r="A1556" s="74" t="str">
        <f t="shared" si="25"/>
        <v/>
      </c>
    </row>
    <row r="1557" spans="1:1" ht="17.25" customHeight="1">
      <c r="A1557" s="74" t="str">
        <f t="shared" si="25"/>
        <v/>
      </c>
    </row>
    <row r="1558" spans="1:1" ht="17.25" customHeight="1">
      <c r="A1558" s="74" t="str">
        <f t="shared" si="25"/>
        <v/>
      </c>
    </row>
    <row r="1559" spans="1:1" ht="17.25" customHeight="1">
      <c r="A1559" s="74" t="str">
        <f t="shared" si="25"/>
        <v/>
      </c>
    </row>
    <row r="1560" spans="1:1" ht="17.25" customHeight="1">
      <c r="A1560" s="74" t="str">
        <f t="shared" si="25"/>
        <v/>
      </c>
    </row>
    <row r="1561" spans="1:1" ht="17.25" customHeight="1">
      <c r="A1561" s="74" t="str">
        <f t="shared" si="25"/>
        <v/>
      </c>
    </row>
    <row r="1562" spans="1:1" ht="17.25" customHeight="1">
      <c r="A1562" s="74" t="str">
        <f t="shared" si="25"/>
        <v/>
      </c>
    </row>
    <row r="1563" spans="1:1" ht="17.25" customHeight="1">
      <c r="A1563" s="74" t="str">
        <f t="shared" si="25"/>
        <v/>
      </c>
    </row>
    <row r="1564" spans="1:1" ht="17.25" customHeight="1">
      <c r="A1564" s="74" t="str">
        <f t="shared" si="25"/>
        <v/>
      </c>
    </row>
    <row r="1565" spans="1:1" ht="17.25" customHeight="1">
      <c r="A1565" s="74" t="str">
        <f t="shared" si="25"/>
        <v/>
      </c>
    </row>
    <row r="1566" spans="1:1" ht="17.25" customHeight="1">
      <c r="A1566" s="74" t="str">
        <f t="shared" si="25"/>
        <v/>
      </c>
    </row>
    <row r="1567" spans="1:1" ht="17.25" customHeight="1">
      <c r="A1567" s="74" t="str">
        <f t="shared" si="25"/>
        <v/>
      </c>
    </row>
    <row r="1568" spans="1:1" ht="17.25" customHeight="1">
      <c r="A1568" s="74" t="str">
        <f t="shared" si="25"/>
        <v/>
      </c>
    </row>
    <row r="1569" spans="1:1" ht="17.25" customHeight="1">
      <c r="A1569" s="74" t="str">
        <f t="shared" si="25"/>
        <v/>
      </c>
    </row>
    <row r="1570" spans="1:1" ht="17.25" customHeight="1">
      <c r="A1570" s="74" t="str">
        <f t="shared" si="25"/>
        <v/>
      </c>
    </row>
    <row r="1571" spans="1:1" ht="17.25" customHeight="1">
      <c r="A1571" s="74" t="str">
        <f t="shared" si="25"/>
        <v/>
      </c>
    </row>
    <row r="1572" spans="1:1" ht="17.25" customHeight="1">
      <c r="A1572" s="74" t="str">
        <f t="shared" si="25"/>
        <v/>
      </c>
    </row>
    <row r="1573" spans="1:1" ht="17.25" customHeight="1">
      <c r="A1573" s="74" t="str">
        <f t="shared" si="25"/>
        <v/>
      </c>
    </row>
    <row r="1574" spans="1:1" ht="17.25" customHeight="1">
      <c r="A1574" s="74" t="str">
        <f t="shared" si="25"/>
        <v/>
      </c>
    </row>
    <row r="1575" spans="1:1" ht="17.25" customHeight="1">
      <c r="A1575" s="74" t="str">
        <f t="shared" si="25"/>
        <v/>
      </c>
    </row>
    <row r="1576" spans="1:1" ht="17.25" customHeight="1">
      <c r="A1576" s="74" t="str">
        <f t="shared" si="25"/>
        <v/>
      </c>
    </row>
    <row r="1577" spans="1:1" ht="17.25" customHeight="1">
      <c r="A1577" s="74" t="str">
        <f t="shared" si="25"/>
        <v/>
      </c>
    </row>
    <row r="1578" spans="1:1" ht="17.25" customHeight="1">
      <c r="A1578" s="74" t="str">
        <f t="shared" si="25"/>
        <v/>
      </c>
    </row>
    <row r="1579" spans="1:1" ht="17.25" customHeight="1">
      <c r="A1579" s="74" t="str">
        <f t="shared" si="25"/>
        <v/>
      </c>
    </row>
    <row r="1580" spans="1:1" ht="17.25" customHeight="1">
      <c r="A1580" s="74" t="str">
        <f t="shared" si="25"/>
        <v/>
      </c>
    </row>
    <row r="1581" spans="1:1" ht="17.25" customHeight="1">
      <c r="A1581" s="74" t="str">
        <f t="shared" si="25"/>
        <v/>
      </c>
    </row>
    <row r="1582" spans="1:1" ht="17.25" customHeight="1">
      <c r="A1582" s="74" t="str">
        <f t="shared" si="25"/>
        <v/>
      </c>
    </row>
    <row r="1583" spans="1:1" ht="17.25" customHeight="1">
      <c r="A1583" s="74" t="str">
        <f t="shared" si="25"/>
        <v/>
      </c>
    </row>
    <row r="1584" spans="1:1" ht="17.25" customHeight="1">
      <c r="A1584" s="74" t="str">
        <f t="shared" si="25"/>
        <v/>
      </c>
    </row>
    <row r="1585" spans="1:1" ht="17.25" customHeight="1">
      <c r="A1585" s="74" t="str">
        <f t="shared" si="25"/>
        <v/>
      </c>
    </row>
    <row r="1586" spans="1:1" ht="17.25" customHeight="1">
      <c r="A1586" s="74" t="str">
        <f t="shared" si="25"/>
        <v/>
      </c>
    </row>
    <row r="1587" spans="1:1" ht="17.25" customHeight="1">
      <c r="A1587" s="74" t="str">
        <f t="shared" si="25"/>
        <v/>
      </c>
    </row>
    <row r="1588" spans="1:1" ht="17.25" customHeight="1">
      <c r="A1588" s="74" t="str">
        <f t="shared" si="25"/>
        <v/>
      </c>
    </row>
    <row r="1589" spans="1:1" ht="17.25" customHeight="1">
      <c r="A1589" s="74" t="str">
        <f t="shared" si="25"/>
        <v/>
      </c>
    </row>
    <row r="1590" spans="1:1" ht="17.25" customHeight="1">
      <c r="A1590" s="74" t="str">
        <f t="shared" si="25"/>
        <v/>
      </c>
    </row>
    <row r="1591" spans="1:1" ht="17.25" customHeight="1">
      <c r="A1591" s="74" t="str">
        <f t="shared" si="25"/>
        <v/>
      </c>
    </row>
    <row r="1592" spans="1:1" ht="17.25" customHeight="1">
      <c r="A1592" s="74" t="str">
        <f t="shared" si="25"/>
        <v/>
      </c>
    </row>
    <row r="1593" spans="1:1" ht="17.25" customHeight="1">
      <c r="A1593" s="74" t="str">
        <f t="shared" si="25"/>
        <v/>
      </c>
    </row>
    <row r="1594" spans="1:1" ht="17.25" customHeight="1">
      <c r="A1594" s="74" t="str">
        <f t="shared" si="25"/>
        <v/>
      </c>
    </row>
    <row r="1595" spans="1:1" ht="17.25" customHeight="1">
      <c r="A1595" s="74" t="str">
        <f t="shared" si="25"/>
        <v/>
      </c>
    </row>
    <row r="1596" spans="1:1" ht="17.25" customHeight="1">
      <c r="A1596" s="74" t="str">
        <f t="shared" si="25"/>
        <v/>
      </c>
    </row>
    <row r="1597" spans="1:1" ht="17.25" customHeight="1">
      <c r="A1597" s="74" t="str">
        <f t="shared" si="25"/>
        <v/>
      </c>
    </row>
    <row r="1598" spans="1:1" ht="17.25" customHeight="1">
      <c r="A1598" s="74" t="str">
        <f t="shared" si="25"/>
        <v/>
      </c>
    </row>
    <row r="1599" spans="1:1" ht="17.25" customHeight="1">
      <c r="A1599" s="74" t="str">
        <f t="shared" si="25"/>
        <v/>
      </c>
    </row>
    <row r="1600" spans="1:1" ht="17.25" customHeight="1">
      <c r="A1600" s="74" t="str">
        <f t="shared" si="25"/>
        <v/>
      </c>
    </row>
    <row r="1601" spans="1:1" ht="17.25" customHeight="1">
      <c r="A1601" s="74" t="str">
        <f t="shared" si="25"/>
        <v/>
      </c>
    </row>
    <row r="1602" spans="1:1" ht="17.25" customHeight="1">
      <c r="A1602" s="74" t="str">
        <f t="shared" si="25"/>
        <v/>
      </c>
    </row>
    <row r="1603" spans="1:1" ht="17.25" customHeight="1">
      <c r="A1603" s="74" t="str">
        <f t="shared" si="25"/>
        <v/>
      </c>
    </row>
    <row r="1604" spans="1:1" ht="17.25" customHeight="1">
      <c r="A1604" s="74" t="str">
        <f t="shared" ref="A1604:A1667" si="26">IF(B1604&lt;&gt;"",ROW()-2,"")</f>
        <v/>
      </c>
    </row>
    <row r="1605" spans="1:1" ht="17.25" customHeight="1">
      <c r="A1605" s="74" t="str">
        <f t="shared" si="26"/>
        <v/>
      </c>
    </row>
    <row r="1606" spans="1:1" ht="17.25" customHeight="1">
      <c r="A1606" s="74" t="str">
        <f t="shared" si="26"/>
        <v/>
      </c>
    </row>
    <row r="1607" spans="1:1" ht="17.25" customHeight="1">
      <c r="A1607" s="74" t="str">
        <f t="shared" si="26"/>
        <v/>
      </c>
    </row>
    <row r="1608" spans="1:1" ht="17.25" customHeight="1">
      <c r="A1608" s="74" t="str">
        <f t="shared" si="26"/>
        <v/>
      </c>
    </row>
    <row r="1609" spans="1:1" ht="17.25" customHeight="1">
      <c r="A1609" s="74" t="str">
        <f t="shared" si="26"/>
        <v/>
      </c>
    </row>
    <row r="1610" spans="1:1" ht="17.25" customHeight="1">
      <c r="A1610" s="74" t="str">
        <f t="shared" si="26"/>
        <v/>
      </c>
    </row>
    <row r="1611" spans="1:1" ht="17.25" customHeight="1">
      <c r="A1611" s="74" t="str">
        <f t="shared" si="26"/>
        <v/>
      </c>
    </row>
    <row r="1612" spans="1:1" ht="17.25" customHeight="1">
      <c r="A1612" s="74" t="str">
        <f t="shared" si="26"/>
        <v/>
      </c>
    </row>
    <row r="1613" spans="1:1" ht="17.25" customHeight="1">
      <c r="A1613" s="74" t="str">
        <f t="shared" si="26"/>
        <v/>
      </c>
    </row>
    <row r="1614" spans="1:1" ht="17.25" customHeight="1">
      <c r="A1614" s="74" t="str">
        <f t="shared" si="26"/>
        <v/>
      </c>
    </row>
    <row r="1615" spans="1:1" ht="17.25" customHeight="1">
      <c r="A1615" s="74" t="str">
        <f t="shared" si="26"/>
        <v/>
      </c>
    </row>
    <row r="1616" spans="1:1" ht="17.25" customHeight="1">
      <c r="A1616" s="74" t="str">
        <f t="shared" si="26"/>
        <v/>
      </c>
    </row>
    <row r="1617" spans="1:1" ht="17.25" customHeight="1">
      <c r="A1617" s="74" t="str">
        <f t="shared" si="26"/>
        <v/>
      </c>
    </row>
    <row r="1618" spans="1:1" ht="17.25" customHeight="1">
      <c r="A1618" s="74" t="str">
        <f t="shared" si="26"/>
        <v/>
      </c>
    </row>
    <row r="1619" spans="1:1" ht="17.25" customHeight="1">
      <c r="A1619" s="74" t="str">
        <f t="shared" si="26"/>
        <v/>
      </c>
    </row>
    <row r="1620" spans="1:1" ht="17.25" customHeight="1">
      <c r="A1620" s="74" t="str">
        <f t="shared" si="26"/>
        <v/>
      </c>
    </row>
    <row r="1621" spans="1:1" ht="17.25" customHeight="1">
      <c r="A1621" s="74" t="str">
        <f t="shared" si="26"/>
        <v/>
      </c>
    </row>
    <row r="1622" spans="1:1" ht="17.25" customHeight="1">
      <c r="A1622" s="74" t="str">
        <f t="shared" si="26"/>
        <v/>
      </c>
    </row>
    <row r="1623" spans="1:1" ht="17.25" customHeight="1">
      <c r="A1623" s="74" t="str">
        <f t="shared" si="26"/>
        <v/>
      </c>
    </row>
    <row r="1624" spans="1:1" ht="17.25" customHeight="1">
      <c r="A1624" s="74" t="str">
        <f t="shared" si="26"/>
        <v/>
      </c>
    </row>
    <row r="1625" spans="1:1" ht="17.25" customHeight="1">
      <c r="A1625" s="74" t="str">
        <f t="shared" si="26"/>
        <v/>
      </c>
    </row>
    <row r="1626" spans="1:1" ht="17.25" customHeight="1">
      <c r="A1626" s="74" t="str">
        <f t="shared" si="26"/>
        <v/>
      </c>
    </row>
    <row r="1627" spans="1:1" ht="17.25" customHeight="1">
      <c r="A1627" s="74" t="str">
        <f t="shared" si="26"/>
        <v/>
      </c>
    </row>
    <row r="1628" spans="1:1" ht="17.25" customHeight="1">
      <c r="A1628" s="74" t="str">
        <f t="shared" si="26"/>
        <v/>
      </c>
    </row>
    <row r="1629" spans="1:1" ht="17.25" customHeight="1">
      <c r="A1629" s="74" t="str">
        <f t="shared" si="26"/>
        <v/>
      </c>
    </row>
    <row r="1630" spans="1:1" ht="17.25" customHeight="1">
      <c r="A1630" s="74" t="str">
        <f t="shared" si="26"/>
        <v/>
      </c>
    </row>
    <row r="1631" spans="1:1" ht="17.25" customHeight="1">
      <c r="A1631" s="74" t="str">
        <f t="shared" si="26"/>
        <v/>
      </c>
    </row>
    <row r="1632" spans="1:1" ht="17.25" customHeight="1">
      <c r="A1632" s="74" t="str">
        <f t="shared" si="26"/>
        <v/>
      </c>
    </row>
    <row r="1633" spans="1:1" ht="17.25" customHeight="1">
      <c r="A1633" s="74" t="str">
        <f t="shared" si="26"/>
        <v/>
      </c>
    </row>
    <row r="1634" spans="1:1" ht="17.25" customHeight="1">
      <c r="A1634" s="74" t="str">
        <f t="shared" si="26"/>
        <v/>
      </c>
    </row>
    <row r="1635" spans="1:1" ht="17.25" customHeight="1">
      <c r="A1635" s="74" t="str">
        <f t="shared" si="26"/>
        <v/>
      </c>
    </row>
    <row r="1636" spans="1:1" ht="17.25" customHeight="1">
      <c r="A1636" s="74" t="str">
        <f t="shared" si="26"/>
        <v/>
      </c>
    </row>
    <row r="1637" spans="1:1" ht="17.25" customHeight="1">
      <c r="A1637" s="74" t="str">
        <f t="shared" si="26"/>
        <v/>
      </c>
    </row>
    <row r="1638" spans="1:1" ht="17.25" customHeight="1">
      <c r="A1638" s="74" t="str">
        <f t="shared" si="26"/>
        <v/>
      </c>
    </row>
    <row r="1639" spans="1:1" ht="17.25" customHeight="1">
      <c r="A1639" s="74" t="str">
        <f t="shared" si="26"/>
        <v/>
      </c>
    </row>
    <row r="1640" spans="1:1" ht="17.25" customHeight="1">
      <c r="A1640" s="74" t="str">
        <f t="shared" si="26"/>
        <v/>
      </c>
    </row>
    <row r="1641" spans="1:1" ht="17.25" customHeight="1">
      <c r="A1641" s="74" t="str">
        <f t="shared" si="26"/>
        <v/>
      </c>
    </row>
    <row r="1642" spans="1:1" ht="17.25" customHeight="1">
      <c r="A1642" s="74" t="str">
        <f t="shared" si="26"/>
        <v/>
      </c>
    </row>
    <row r="1643" spans="1:1" ht="17.25" customHeight="1">
      <c r="A1643" s="74" t="str">
        <f t="shared" si="26"/>
        <v/>
      </c>
    </row>
    <row r="1644" spans="1:1" ht="17.25" customHeight="1">
      <c r="A1644" s="74" t="str">
        <f t="shared" si="26"/>
        <v/>
      </c>
    </row>
    <row r="1645" spans="1:1" ht="17.25" customHeight="1">
      <c r="A1645" s="74" t="str">
        <f t="shared" si="26"/>
        <v/>
      </c>
    </row>
    <row r="1646" spans="1:1" ht="17.25" customHeight="1">
      <c r="A1646" s="74" t="str">
        <f t="shared" si="26"/>
        <v/>
      </c>
    </row>
    <row r="1647" spans="1:1" ht="17.25" customHeight="1">
      <c r="A1647" s="74" t="str">
        <f t="shared" si="26"/>
        <v/>
      </c>
    </row>
    <row r="1648" spans="1:1" ht="17.25" customHeight="1">
      <c r="A1648" s="74" t="str">
        <f t="shared" si="26"/>
        <v/>
      </c>
    </row>
    <row r="1649" spans="1:1" ht="17.25" customHeight="1">
      <c r="A1649" s="74" t="str">
        <f t="shared" si="26"/>
        <v/>
      </c>
    </row>
    <row r="1650" spans="1:1" ht="17.25" customHeight="1">
      <c r="A1650" s="74" t="str">
        <f t="shared" si="26"/>
        <v/>
      </c>
    </row>
    <row r="1651" spans="1:1" ht="17.25" customHeight="1">
      <c r="A1651" s="74" t="str">
        <f t="shared" si="26"/>
        <v/>
      </c>
    </row>
    <row r="1652" spans="1:1" ht="17.25" customHeight="1">
      <c r="A1652" s="74" t="str">
        <f t="shared" si="26"/>
        <v/>
      </c>
    </row>
    <row r="1653" spans="1:1" ht="17.25" customHeight="1">
      <c r="A1653" s="74" t="str">
        <f t="shared" si="26"/>
        <v/>
      </c>
    </row>
    <row r="1654" spans="1:1" ht="17.25" customHeight="1">
      <c r="A1654" s="74" t="str">
        <f t="shared" si="26"/>
        <v/>
      </c>
    </row>
    <row r="1655" spans="1:1" ht="17.25" customHeight="1">
      <c r="A1655" s="74" t="str">
        <f t="shared" si="26"/>
        <v/>
      </c>
    </row>
    <row r="1656" spans="1:1" ht="17.25" customHeight="1">
      <c r="A1656" s="74" t="str">
        <f t="shared" si="26"/>
        <v/>
      </c>
    </row>
    <row r="1657" spans="1:1" ht="17.25" customHeight="1">
      <c r="A1657" s="74" t="str">
        <f t="shared" si="26"/>
        <v/>
      </c>
    </row>
    <row r="1658" spans="1:1" ht="17.25" customHeight="1">
      <c r="A1658" s="74" t="str">
        <f t="shared" si="26"/>
        <v/>
      </c>
    </row>
    <row r="1659" spans="1:1" ht="17.25" customHeight="1">
      <c r="A1659" s="74" t="str">
        <f t="shared" si="26"/>
        <v/>
      </c>
    </row>
    <row r="1660" spans="1:1" ht="17.25" customHeight="1">
      <c r="A1660" s="74" t="str">
        <f t="shared" si="26"/>
        <v/>
      </c>
    </row>
    <row r="1661" spans="1:1" ht="17.25" customHeight="1">
      <c r="A1661" s="74" t="str">
        <f t="shared" si="26"/>
        <v/>
      </c>
    </row>
    <row r="1662" spans="1:1" ht="17.25" customHeight="1">
      <c r="A1662" s="74" t="str">
        <f t="shared" si="26"/>
        <v/>
      </c>
    </row>
    <row r="1663" spans="1:1" ht="17.25" customHeight="1">
      <c r="A1663" s="74" t="str">
        <f t="shared" si="26"/>
        <v/>
      </c>
    </row>
    <row r="1664" spans="1:1" ht="17.25" customHeight="1">
      <c r="A1664" s="74" t="str">
        <f t="shared" si="26"/>
        <v/>
      </c>
    </row>
    <row r="1665" spans="1:1" ht="17.25" customHeight="1">
      <c r="A1665" s="74" t="str">
        <f t="shared" si="26"/>
        <v/>
      </c>
    </row>
    <row r="1666" spans="1:1" ht="17.25" customHeight="1">
      <c r="A1666" s="74" t="str">
        <f t="shared" si="26"/>
        <v/>
      </c>
    </row>
    <row r="1667" spans="1:1" ht="17.25" customHeight="1">
      <c r="A1667" s="74" t="str">
        <f t="shared" si="26"/>
        <v/>
      </c>
    </row>
    <row r="1668" spans="1:1" ht="17.25" customHeight="1">
      <c r="A1668" s="74" t="str">
        <f t="shared" ref="A1668:A1731" si="27">IF(B1668&lt;&gt;"",ROW()-2,"")</f>
        <v/>
      </c>
    </row>
    <row r="1669" spans="1:1" ht="17.25" customHeight="1">
      <c r="A1669" s="74" t="str">
        <f t="shared" si="27"/>
        <v/>
      </c>
    </row>
    <row r="1670" spans="1:1" ht="17.25" customHeight="1">
      <c r="A1670" s="74" t="str">
        <f t="shared" si="27"/>
        <v/>
      </c>
    </row>
    <row r="1671" spans="1:1" ht="17.25" customHeight="1">
      <c r="A1671" s="74" t="str">
        <f t="shared" si="27"/>
        <v/>
      </c>
    </row>
    <row r="1672" spans="1:1" ht="17.25" customHeight="1">
      <c r="A1672" s="74" t="str">
        <f t="shared" si="27"/>
        <v/>
      </c>
    </row>
    <row r="1673" spans="1:1" ht="17.25" customHeight="1">
      <c r="A1673" s="74" t="str">
        <f t="shared" si="27"/>
        <v/>
      </c>
    </row>
    <row r="1674" spans="1:1" ht="17.25" customHeight="1">
      <c r="A1674" s="74" t="str">
        <f t="shared" si="27"/>
        <v/>
      </c>
    </row>
    <row r="1675" spans="1:1" ht="17.25" customHeight="1">
      <c r="A1675" s="74" t="str">
        <f t="shared" si="27"/>
        <v/>
      </c>
    </row>
    <row r="1676" spans="1:1" ht="17.25" customHeight="1">
      <c r="A1676" s="74" t="str">
        <f t="shared" si="27"/>
        <v/>
      </c>
    </row>
    <row r="1677" spans="1:1" ht="17.25" customHeight="1">
      <c r="A1677" s="74" t="str">
        <f t="shared" si="27"/>
        <v/>
      </c>
    </row>
    <row r="1678" spans="1:1" ht="17.25" customHeight="1">
      <c r="A1678" s="74" t="str">
        <f t="shared" si="27"/>
        <v/>
      </c>
    </row>
    <row r="1679" spans="1:1" ht="17.25" customHeight="1">
      <c r="A1679" s="74" t="str">
        <f t="shared" si="27"/>
        <v/>
      </c>
    </row>
    <row r="1680" spans="1:1" ht="17.25" customHeight="1">
      <c r="A1680" s="74" t="str">
        <f t="shared" si="27"/>
        <v/>
      </c>
    </row>
    <row r="1681" spans="1:1" ht="17.25" customHeight="1">
      <c r="A1681" s="74" t="str">
        <f t="shared" si="27"/>
        <v/>
      </c>
    </row>
    <row r="1682" spans="1:1" ht="17.25" customHeight="1">
      <c r="A1682" s="74" t="str">
        <f t="shared" si="27"/>
        <v/>
      </c>
    </row>
    <row r="1683" spans="1:1" ht="17.25" customHeight="1">
      <c r="A1683" s="74" t="str">
        <f t="shared" si="27"/>
        <v/>
      </c>
    </row>
    <row r="1684" spans="1:1" ht="17.25" customHeight="1">
      <c r="A1684" s="74" t="str">
        <f t="shared" si="27"/>
        <v/>
      </c>
    </row>
    <row r="1685" spans="1:1" ht="17.25" customHeight="1">
      <c r="A1685" s="74" t="str">
        <f t="shared" si="27"/>
        <v/>
      </c>
    </row>
    <row r="1686" spans="1:1" ht="17.25" customHeight="1">
      <c r="A1686" s="74" t="str">
        <f t="shared" si="27"/>
        <v/>
      </c>
    </row>
    <row r="1687" spans="1:1" ht="17.25" customHeight="1">
      <c r="A1687" s="74" t="str">
        <f t="shared" si="27"/>
        <v/>
      </c>
    </row>
    <row r="1688" spans="1:1" ht="17.25" customHeight="1">
      <c r="A1688" s="74" t="str">
        <f t="shared" si="27"/>
        <v/>
      </c>
    </row>
    <row r="1689" spans="1:1" ht="17.25" customHeight="1">
      <c r="A1689" s="74" t="str">
        <f t="shared" si="27"/>
        <v/>
      </c>
    </row>
    <row r="1690" spans="1:1" ht="17.25" customHeight="1">
      <c r="A1690" s="74" t="str">
        <f t="shared" si="27"/>
        <v/>
      </c>
    </row>
    <row r="1691" spans="1:1" ht="17.25" customHeight="1">
      <c r="A1691" s="74" t="str">
        <f t="shared" si="27"/>
        <v/>
      </c>
    </row>
    <row r="1692" spans="1:1" ht="17.25" customHeight="1">
      <c r="A1692" s="74" t="str">
        <f t="shared" si="27"/>
        <v/>
      </c>
    </row>
    <row r="1693" spans="1:1" ht="17.25" customHeight="1">
      <c r="A1693" s="74" t="str">
        <f t="shared" si="27"/>
        <v/>
      </c>
    </row>
    <row r="1694" spans="1:1" ht="17.25" customHeight="1">
      <c r="A1694" s="74" t="str">
        <f t="shared" si="27"/>
        <v/>
      </c>
    </row>
    <row r="1695" spans="1:1" ht="17.25" customHeight="1">
      <c r="A1695" s="74" t="str">
        <f t="shared" si="27"/>
        <v/>
      </c>
    </row>
    <row r="1696" spans="1:1" ht="17.25" customHeight="1">
      <c r="A1696" s="74" t="str">
        <f t="shared" si="27"/>
        <v/>
      </c>
    </row>
    <row r="1697" spans="1:1" ht="17.25" customHeight="1">
      <c r="A1697" s="74" t="str">
        <f t="shared" si="27"/>
        <v/>
      </c>
    </row>
    <row r="1698" spans="1:1" ht="17.25" customHeight="1">
      <c r="A1698" s="74" t="str">
        <f t="shared" si="27"/>
        <v/>
      </c>
    </row>
    <row r="1699" spans="1:1" ht="17.25" customHeight="1">
      <c r="A1699" s="74" t="str">
        <f t="shared" si="27"/>
        <v/>
      </c>
    </row>
    <row r="1700" spans="1:1" ht="17.25" customHeight="1">
      <c r="A1700" s="74" t="str">
        <f t="shared" si="27"/>
        <v/>
      </c>
    </row>
    <row r="1701" spans="1:1" ht="17.25" customHeight="1">
      <c r="A1701" s="74" t="str">
        <f t="shared" si="27"/>
        <v/>
      </c>
    </row>
    <row r="1702" spans="1:1" ht="17.25" customHeight="1">
      <c r="A1702" s="74" t="str">
        <f t="shared" si="27"/>
        <v/>
      </c>
    </row>
    <row r="1703" spans="1:1" ht="17.25" customHeight="1">
      <c r="A1703" s="74" t="str">
        <f t="shared" si="27"/>
        <v/>
      </c>
    </row>
    <row r="1704" spans="1:1" ht="17.25" customHeight="1">
      <c r="A1704" s="74" t="str">
        <f t="shared" si="27"/>
        <v/>
      </c>
    </row>
    <row r="1705" spans="1:1" ht="17.25" customHeight="1">
      <c r="A1705" s="74" t="str">
        <f t="shared" si="27"/>
        <v/>
      </c>
    </row>
    <row r="1706" spans="1:1" ht="17.25" customHeight="1">
      <c r="A1706" s="74" t="str">
        <f t="shared" si="27"/>
        <v/>
      </c>
    </row>
    <row r="1707" spans="1:1" ht="17.25" customHeight="1">
      <c r="A1707" s="74" t="str">
        <f t="shared" si="27"/>
        <v/>
      </c>
    </row>
    <row r="1708" spans="1:1" ht="17.25" customHeight="1">
      <c r="A1708" s="74" t="str">
        <f t="shared" si="27"/>
        <v/>
      </c>
    </row>
    <row r="1709" spans="1:1" ht="17.25" customHeight="1">
      <c r="A1709" s="74" t="str">
        <f t="shared" si="27"/>
        <v/>
      </c>
    </row>
    <row r="1710" spans="1:1" ht="17.25" customHeight="1">
      <c r="A1710" s="74" t="str">
        <f t="shared" si="27"/>
        <v/>
      </c>
    </row>
    <row r="1711" spans="1:1" ht="17.25" customHeight="1">
      <c r="A1711" s="74" t="str">
        <f t="shared" si="27"/>
        <v/>
      </c>
    </row>
    <row r="1712" spans="1:1" ht="17.25" customHeight="1">
      <c r="A1712" s="74" t="str">
        <f t="shared" si="27"/>
        <v/>
      </c>
    </row>
    <row r="1713" spans="1:1" ht="17.25" customHeight="1">
      <c r="A1713" s="74" t="str">
        <f t="shared" si="27"/>
        <v/>
      </c>
    </row>
    <row r="1714" spans="1:1" ht="17.25" customHeight="1">
      <c r="A1714" s="74" t="str">
        <f t="shared" si="27"/>
        <v/>
      </c>
    </row>
    <row r="1715" spans="1:1" ht="17.25" customHeight="1">
      <c r="A1715" s="74" t="str">
        <f t="shared" si="27"/>
        <v/>
      </c>
    </row>
    <row r="1716" spans="1:1" ht="17.25" customHeight="1">
      <c r="A1716" s="74" t="str">
        <f t="shared" si="27"/>
        <v/>
      </c>
    </row>
    <row r="1717" spans="1:1" ht="17.25" customHeight="1">
      <c r="A1717" s="74" t="str">
        <f t="shared" si="27"/>
        <v/>
      </c>
    </row>
    <row r="1718" spans="1:1" ht="17.25" customHeight="1">
      <c r="A1718" s="74" t="str">
        <f t="shared" si="27"/>
        <v/>
      </c>
    </row>
    <row r="1719" spans="1:1" ht="17.25" customHeight="1">
      <c r="A1719" s="74" t="str">
        <f t="shared" si="27"/>
        <v/>
      </c>
    </row>
    <row r="1720" spans="1:1" ht="17.25" customHeight="1">
      <c r="A1720" s="74" t="str">
        <f t="shared" si="27"/>
        <v/>
      </c>
    </row>
    <row r="1721" spans="1:1" ht="17.25" customHeight="1">
      <c r="A1721" s="74" t="str">
        <f t="shared" si="27"/>
        <v/>
      </c>
    </row>
    <row r="1722" spans="1:1" ht="17.25" customHeight="1">
      <c r="A1722" s="74" t="str">
        <f t="shared" si="27"/>
        <v/>
      </c>
    </row>
    <row r="1723" spans="1:1" ht="17.25" customHeight="1">
      <c r="A1723" s="74" t="str">
        <f t="shared" si="27"/>
        <v/>
      </c>
    </row>
    <row r="1724" spans="1:1" ht="17.25" customHeight="1">
      <c r="A1724" s="74" t="str">
        <f t="shared" si="27"/>
        <v/>
      </c>
    </row>
    <row r="1725" spans="1:1" ht="17.25" customHeight="1">
      <c r="A1725" s="74" t="str">
        <f t="shared" si="27"/>
        <v/>
      </c>
    </row>
    <row r="1726" spans="1:1" ht="17.25" customHeight="1">
      <c r="A1726" s="74" t="str">
        <f t="shared" si="27"/>
        <v/>
      </c>
    </row>
    <row r="1727" spans="1:1" ht="17.25" customHeight="1">
      <c r="A1727" s="74" t="str">
        <f t="shared" si="27"/>
        <v/>
      </c>
    </row>
    <row r="1728" spans="1:1" ht="17.25" customHeight="1">
      <c r="A1728" s="74" t="str">
        <f t="shared" si="27"/>
        <v/>
      </c>
    </row>
    <row r="1729" spans="1:1" ht="17.25" customHeight="1">
      <c r="A1729" s="74" t="str">
        <f t="shared" si="27"/>
        <v/>
      </c>
    </row>
    <row r="1730" spans="1:1" ht="17.25" customHeight="1">
      <c r="A1730" s="74" t="str">
        <f t="shared" si="27"/>
        <v/>
      </c>
    </row>
    <row r="1731" spans="1:1" ht="17.25" customHeight="1">
      <c r="A1731" s="74" t="str">
        <f t="shared" si="27"/>
        <v/>
      </c>
    </row>
    <row r="1732" spans="1:1" ht="17.25" customHeight="1">
      <c r="A1732" s="74" t="str">
        <f t="shared" ref="A1732:A1795" si="28">IF(B1732&lt;&gt;"",ROW()-2,"")</f>
        <v/>
      </c>
    </row>
    <row r="1733" spans="1:1" ht="17.25" customHeight="1">
      <c r="A1733" s="74" t="str">
        <f t="shared" si="28"/>
        <v/>
      </c>
    </row>
    <row r="1734" spans="1:1" ht="17.25" customHeight="1">
      <c r="A1734" s="74" t="str">
        <f t="shared" si="28"/>
        <v/>
      </c>
    </row>
    <row r="1735" spans="1:1" ht="17.25" customHeight="1">
      <c r="A1735" s="74" t="str">
        <f t="shared" si="28"/>
        <v/>
      </c>
    </row>
    <row r="1736" spans="1:1" ht="17.25" customHeight="1">
      <c r="A1736" s="74" t="str">
        <f t="shared" si="28"/>
        <v/>
      </c>
    </row>
    <row r="1737" spans="1:1" ht="17.25" customHeight="1">
      <c r="A1737" s="74" t="str">
        <f t="shared" si="28"/>
        <v/>
      </c>
    </row>
    <row r="1738" spans="1:1" ht="17.25" customHeight="1">
      <c r="A1738" s="74" t="str">
        <f t="shared" si="28"/>
        <v/>
      </c>
    </row>
    <row r="1739" spans="1:1" ht="17.25" customHeight="1">
      <c r="A1739" s="74" t="str">
        <f t="shared" si="28"/>
        <v/>
      </c>
    </row>
    <row r="1740" spans="1:1" ht="17.25" customHeight="1">
      <c r="A1740" s="74" t="str">
        <f t="shared" si="28"/>
        <v/>
      </c>
    </row>
    <row r="1741" spans="1:1" ht="17.25" customHeight="1">
      <c r="A1741" s="74" t="str">
        <f t="shared" si="28"/>
        <v/>
      </c>
    </row>
    <row r="1742" spans="1:1" ht="17.25" customHeight="1">
      <c r="A1742" s="74" t="str">
        <f t="shared" si="28"/>
        <v/>
      </c>
    </row>
    <row r="1743" spans="1:1" ht="17.25" customHeight="1">
      <c r="A1743" s="74" t="str">
        <f t="shared" si="28"/>
        <v/>
      </c>
    </row>
    <row r="1744" spans="1:1" ht="17.25" customHeight="1">
      <c r="A1744" s="74" t="str">
        <f t="shared" si="28"/>
        <v/>
      </c>
    </row>
    <row r="1745" spans="1:1" ht="17.25" customHeight="1">
      <c r="A1745" s="74" t="str">
        <f t="shared" si="28"/>
        <v/>
      </c>
    </row>
    <row r="1746" spans="1:1" ht="17.25" customHeight="1">
      <c r="A1746" s="74" t="str">
        <f t="shared" si="28"/>
        <v/>
      </c>
    </row>
    <row r="1747" spans="1:1" ht="17.25" customHeight="1">
      <c r="A1747" s="74" t="str">
        <f t="shared" si="28"/>
        <v/>
      </c>
    </row>
    <row r="1748" spans="1:1" ht="17.25" customHeight="1">
      <c r="A1748" s="74" t="str">
        <f t="shared" si="28"/>
        <v/>
      </c>
    </row>
    <row r="1749" spans="1:1" ht="17.25" customHeight="1">
      <c r="A1749" s="74" t="str">
        <f t="shared" si="28"/>
        <v/>
      </c>
    </row>
    <row r="1750" spans="1:1" ht="17.25" customHeight="1">
      <c r="A1750" s="74" t="str">
        <f t="shared" si="28"/>
        <v/>
      </c>
    </row>
    <row r="1751" spans="1:1" ht="17.25" customHeight="1">
      <c r="A1751" s="74" t="str">
        <f t="shared" si="28"/>
        <v/>
      </c>
    </row>
    <row r="1752" spans="1:1" ht="17.25" customHeight="1">
      <c r="A1752" s="74" t="str">
        <f t="shared" si="28"/>
        <v/>
      </c>
    </row>
    <row r="1753" spans="1:1" ht="17.25" customHeight="1">
      <c r="A1753" s="74" t="str">
        <f t="shared" si="28"/>
        <v/>
      </c>
    </row>
    <row r="1754" spans="1:1" ht="17.25" customHeight="1">
      <c r="A1754" s="74" t="str">
        <f t="shared" si="28"/>
        <v/>
      </c>
    </row>
    <row r="1755" spans="1:1" ht="17.25" customHeight="1">
      <c r="A1755" s="74" t="str">
        <f t="shared" si="28"/>
        <v/>
      </c>
    </row>
    <row r="1756" spans="1:1" ht="17.25" customHeight="1">
      <c r="A1756" s="74" t="str">
        <f t="shared" si="28"/>
        <v/>
      </c>
    </row>
    <row r="1757" spans="1:1" ht="17.25" customHeight="1">
      <c r="A1757" s="74" t="str">
        <f t="shared" si="28"/>
        <v/>
      </c>
    </row>
    <row r="1758" spans="1:1" ht="17.25" customHeight="1">
      <c r="A1758" s="74" t="str">
        <f t="shared" si="28"/>
        <v/>
      </c>
    </row>
    <row r="1759" spans="1:1" ht="17.25" customHeight="1">
      <c r="A1759" s="74" t="str">
        <f t="shared" si="28"/>
        <v/>
      </c>
    </row>
    <row r="1760" spans="1:1" ht="17.25" customHeight="1">
      <c r="A1760" s="74" t="str">
        <f t="shared" si="28"/>
        <v/>
      </c>
    </row>
    <row r="1761" spans="1:1" ht="17.25" customHeight="1">
      <c r="A1761" s="74" t="str">
        <f t="shared" si="28"/>
        <v/>
      </c>
    </row>
    <row r="1762" spans="1:1" ht="17.25" customHeight="1">
      <c r="A1762" s="74" t="str">
        <f t="shared" si="28"/>
        <v/>
      </c>
    </row>
    <row r="1763" spans="1:1" ht="17.25" customHeight="1">
      <c r="A1763" s="74" t="str">
        <f t="shared" si="28"/>
        <v/>
      </c>
    </row>
    <row r="1764" spans="1:1" ht="17.25" customHeight="1">
      <c r="A1764" s="74" t="str">
        <f t="shared" si="28"/>
        <v/>
      </c>
    </row>
    <row r="1765" spans="1:1" ht="17.25" customHeight="1">
      <c r="A1765" s="74" t="str">
        <f t="shared" si="28"/>
        <v/>
      </c>
    </row>
    <row r="1766" spans="1:1" ht="17.25" customHeight="1">
      <c r="A1766" s="74" t="str">
        <f t="shared" si="28"/>
        <v/>
      </c>
    </row>
    <row r="1767" spans="1:1" ht="17.25" customHeight="1">
      <c r="A1767" s="74" t="str">
        <f t="shared" si="28"/>
        <v/>
      </c>
    </row>
    <row r="1768" spans="1:1" ht="17.25" customHeight="1">
      <c r="A1768" s="74" t="str">
        <f t="shared" si="28"/>
        <v/>
      </c>
    </row>
    <row r="1769" spans="1:1" ht="17.25" customHeight="1">
      <c r="A1769" s="74" t="str">
        <f t="shared" si="28"/>
        <v/>
      </c>
    </row>
    <row r="1770" spans="1:1" ht="17.25" customHeight="1">
      <c r="A1770" s="74" t="str">
        <f t="shared" si="28"/>
        <v/>
      </c>
    </row>
    <row r="1771" spans="1:1" ht="17.25" customHeight="1">
      <c r="A1771" s="74" t="str">
        <f t="shared" si="28"/>
        <v/>
      </c>
    </row>
    <row r="1772" spans="1:1" ht="17.25" customHeight="1">
      <c r="A1772" s="74" t="str">
        <f t="shared" si="28"/>
        <v/>
      </c>
    </row>
    <row r="1773" spans="1:1" ht="17.25" customHeight="1">
      <c r="A1773" s="74" t="str">
        <f t="shared" si="28"/>
        <v/>
      </c>
    </row>
    <row r="1774" spans="1:1" ht="17.25" customHeight="1">
      <c r="A1774" s="74" t="str">
        <f t="shared" si="28"/>
        <v/>
      </c>
    </row>
    <row r="1775" spans="1:1" ht="17.25" customHeight="1">
      <c r="A1775" s="74" t="str">
        <f t="shared" si="28"/>
        <v/>
      </c>
    </row>
    <row r="1776" spans="1:1" ht="17.25" customHeight="1">
      <c r="A1776" s="74" t="str">
        <f t="shared" si="28"/>
        <v/>
      </c>
    </row>
    <row r="1777" spans="1:1" ht="17.25" customHeight="1">
      <c r="A1777" s="74" t="str">
        <f t="shared" si="28"/>
        <v/>
      </c>
    </row>
    <row r="1778" spans="1:1" ht="17.25" customHeight="1">
      <c r="A1778" s="74" t="str">
        <f t="shared" si="28"/>
        <v/>
      </c>
    </row>
    <row r="1779" spans="1:1" ht="17.25" customHeight="1">
      <c r="A1779" s="74" t="str">
        <f t="shared" si="28"/>
        <v/>
      </c>
    </row>
    <row r="1780" spans="1:1" ht="17.25" customHeight="1">
      <c r="A1780" s="74" t="str">
        <f t="shared" si="28"/>
        <v/>
      </c>
    </row>
    <row r="1781" spans="1:1" ht="17.25" customHeight="1">
      <c r="A1781" s="74" t="str">
        <f t="shared" si="28"/>
        <v/>
      </c>
    </row>
    <row r="1782" spans="1:1" ht="17.25" customHeight="1">
      <c r="A1782" s="74" t="str">
        <f t="shared" si="28"/>
        <v/>
      </c>
    </row>
    <row r="1783" spans="1:1" ht="17.25" customHeight="1">
      <c r="A1783" s="74" t="str">
        <f t="shared" si="28"/>
        <v/>
      </c>
    </row>
    <row r="1784" spans="1:1" ht="17.25" customHeight="1">
      <c r="A1784" s="74" t="str">
        <f t="shared" si="28"/>
        <v/>
      </c>
    </row>
    <row r="1785" spans="1:1" ht="17.25" customHeight="1">
      <c r="A1785" s="74" t="str">
        <f t="shared" si="28"/>
        <v/>
      </c>
    </row>
    <row r="1786" spans="1:1" ht="17.25" customHeight="1">
      <c r="A1786" s="74" t="str">
        <f t="shared" si="28"/>
        <v/>
      </c>
    </row>
    <row r="1787" spans="1:1" ht="17.25" customHeight="1">
      <c r="A1787" s="74" t="str">
        <f t="shared" si="28"/>
        <v/>
      </c>
    </row>
    <row r="1788" spans="1:1" ht="17.25" customHeight="1">
      <c r="A1788" s="74" t="str">
        <f t="shared" si="28"/>
        <v/>
      </c>
    </row>
    <row r="1789" spans="1:1" ht="17.25" customHeight="1">
      <c r="A1789" s="74" t="str">
        <f t="shared" si="28"/>
        <v/>
      </c>
    </row>
    <row r="1790" spans="1:1" ht="17.25" customHeight="1">
      <c r="A1790" s="74" t="str">
        <f t="shared" si="28"/>
        <v/>
      </c>
    </row>
    <row r="1791" spans="1:1" ht="17.25" customHeight="1">
      <c r="A1791" s="74" t="str">
        <f t="shared" si="28"/>
        <v/>
      </c>
    </row>
    <row r="1792" spans="1:1" ht="17.25" customHeight="1">
      <c r="A1792" s="74" t="str">
        <f t="shared" si="28"/>
        <v/>
      </c>
    </row>
    <row r="1793" spans="1:1" ht="17.25" customHeight="1">
      <c r="A1793" s="74" t="str">
        <f t="shared" si="28"/>
        <v/>
      </c>
    </row>
    <row r="1794" spans="1:1" ht="17.25" customHeight="1">
      <c r="A1794" s="74" t="str">
        <f t="shared" si="28"/>
        <v/>
      </c>
    </row>
    <row r="1795" spans="1:1" ht="17.25" customHeight="1">
      <c r="A1795" s="74" t="str">
        <f t="shared" si="28"/>
        <v/>
      </c>
    </row>
    <row r="1796" spans="1:1" ht="17.25" customHeight="1">
      <c r="A1796" s="74" t="str">
        <f t="shared" ref="A1796:A1859" si="29">IF(B1796&lt;&gt;"",ROW()-2,"")</f>
        <v/>
      </c>
    </row>
    <row r="1797" spans="1:1" ht="17.25" customHeight="1">
      <c r="A1797" s="74" t="str">
        <f t="shared" si="29"/>
        <v/>
      </c>
    </row>
    <row r="1798" spans="1:1" ht="17.25" customHeight="1">
      <c r="A1798" s="74" t="str">
        <f t="shared" si="29"/>
        <v/>
      </c>
    </row>
    <row r="1799" spans="1:1" ht="17.25" customHeight="1">
      <c r="A1799" s="74" t="str">
        <f t="shared" si="29"/>
        <v/>
      </c>
    </row>
    <row r="1800" spans="1:1" ht="17.25" customHeight="1">
      <c r="A1800" s="74" t="str">
        <f t="shared" si="29"/>
        <v/>
      </c>
    </row>
    <row r="1801" spans="1:1" ht="17.25" customHeight="1">
      <c r="A1801" s="74" t="str">
        <f t="shared" si="29"/>
        <v/>
      </c>
    </row>
    <row r="1802" spans="1:1" ht="17.25" customHeight="1">
      <c r="A1802" s="74" t="str">
        <f t="shared" si="29"/>
        <v/>
      </c>
    </row>
    <row r="1803" spans="1:1" ht="17.25" customHeight="1">
      <c r="A1803" s="74" t="str">
        <f t="shared" si="29"/>
        <v/>
      </c>
    </row>
    <row r="1804" spans="1:1" ht="17.25" customHeight="1">
      <c r="A1804" s="74" t="str">
        <f t="shared" si="29"/>
        <v/>
      </c>
    </row>
    <row r="1805" spans="1:1" ht="17.25" customHeight="1">
      <c r="A1805" s="74" t="str">
        <f t="shared" si="29"/>
        <v/>
      </c>
    </row>
    <row r="1806" spans="1:1" ht="17.25" customHeight="1">
      <c r="A1806" s="74" t="str">
        <f t="shared" si="29"/>
        <v/>
      </c>
    </row>
    <row r="1807" spans="1:1" ht="17.25" customHeight="1">
      <c r="A1807" s="74" t="str">
        <f t="shared" si="29"/>
        <v/>
      </c>
    </row>
    <row r="1808" spans="1:1" ht="17.25" customHeight="1">
      <c r="A1808" s="74" t="str">
        <f t="shared" si="29"/>
        <v/>
      </c>
    </row>
    <row r="1809" spans="1:1" ht="17.25" customHeight="1">
      <c r="A1809" s="74" t="str">
        <f t="shared" si="29"/>
        <v/>
      </c>
    </row>
    <row r="1810" spans="1:1" ht="17.25" customHeight="1">
      <c r="A1810" s="74" t="str">
        <f t="shared" si="29"/>
        <v/>
      </c>
    </row>
    <row r="1811" spans="1:1" ht="17.25" customHeight="1">
      <c r="A1811" s="74" t="str">
        <f t="shared" si="29"/>
        <v/>
      </c>
    </row>
    <row r="1812" spans="1:1" ht="17.25" customHeight="1">
      <c r="A1812" s="74" t="str">
        <f t="shared" si="29"/>
        <v/>
      </c>
    </row>
    <row r="1813" spans="1:1" ht="17.25" customHeight="1">
      <c r="A1813" s="74" t="str">
        <f t="shared" si="29"/>
        <v/>
      </c>
    </row>
    <row r="1814" spans="1:1" ht="17.25" customHeight="1">
      <c r="A1814" s="74" t="str">
        <f t="shared" si="29"/>
        <v/>
      </c>
    </row>
    <row r="1815" spans="1:1" ht="17.25" customHeight="1">
      <c r="A1815" s="74" t="str">
        <f t="shared" si="29"/>
        <v/>
      </c>
    </row>
    <row r="1816" spans="1:1" ht="17.25" customHeight="1">
      <c r="A1816" s="74" t="str">
        <f t="shared" si="29"/>
        <v/>
      </c>
    </row>
    <row r="1817" spans="1:1" ht="17.25" customHeight="1">
      <c r="A1817" s="74" t="str">
        <f t="shared" si="29"/>
        <v/>
      </c>
    </row>
    <row r="1818" spans="1:1" ht="17.25" customHeight="1">
      <c r="A1818" s="74" t="str">
        <f t="shared" si="29"/>
        <v/>
      </c>
    </row>
    <row r="1819" spans="1:1" ht="17.25" customHeight="1">
      <c r="A1819" s="74" t="str">
        <f t="shared" si="29"/>
        <v/>
      </c>
    </row>
    <row r="1820" spans="1:1" ht="17.25" customHeight="1">
      <c r="A1820" s="74" t="str">
        <f t="shared" si="29"/>
        <v/>
      </c>
    </row>
    <row r="1821" spans="1:1" ht="17.25" customHeight="1">
      <c r="A1821" s="74" t="str">
        <f t="shared" si="29"/>
        <v/>
      </c>
    </row>
    <row r="1822" spans="1:1" ht="17.25" customHeight="1">
      <c r="A1822" s="74" t="str">
        <f t="shared" si="29"/>
        <v/>
      </c>
    </row>
    <row r="1823" spans="1:1" ht="17.25" customHeight="1">
      <c r="A1823" s="74" t="str">
        <f t="shared" si="29"/>
        <v/>
      </c>
    </row>
    <row r="1824" spans="1:1" ht="17.25" customHeight="1">
      <c r="A1824" s="74" t="str">
        <f t="shared" si="29"/>
        <v/>
      </c>
    </row>
    <row r="1825" spans="1:1" ht="17.25" customHeight="1">
      <c r="A1825" s="74" t="str">
        <f t="shared" si="29"/>
        <v/>
      </c>
    </row>
    <row r="1826" spans="1:1" ht="17.25" customHeight="1">
      <c r="A1826" s="74" t="str">
        <f t="shared" si="29"/>
        <v/>
      </c>
    </row>
    <row r="1827" spans="1:1" ht="17.25" customHeight="1">
      <c r="A1827" s="74" t="str">
        <f t="shared" si="29"/>
        <v/>
      </c>
    </row>
    <row r="1828" spans="1:1" ht="17.25" customHeight="1">
      <c r="A1828" s="74" t="str">
        <f t="shared" si="29"/>
        <v/>
      </c>
    </row>
    <row r="1829" spans="1:1" ht="17.25" customHeight="1">
      <c r="A1829" s="74" t="str">
        <f t="shared" si="29"/>
        <v/>
      </c>
    </row>
    <row r="1830" spans="1:1" ht="17.25" customHeight="1">
      <c r="A1830" s="74" t="str">
        <f t="shared" si="29"/>
        <v/>
      </c>
    </row>
    <row r="1831" spans="1:1" ht="17.25" customHeight="1">
      <c r="A1831" s="74" t="str">
        <f t="shared" si="29"/>
        <v/>
      </c>
    </row>
    <row r="1832" spans="1:1" ht="17.25" customHeight="1">
      <c r="A1832" s="74" t="str">
        <f t="shared" si="29"/>
        <v/>
      </c>
    </row>
    <row r="1833" spans="1:1" ht="17.25" customHeight="1">
      <c r="A1833" s="74" t="str">
        <f t="shared" si="29"/>
        <v/>
      </c>
    </row>
    <row r="1834" spans="1:1" ht="17.25" customHeight="1">
      <c r="A1834" s="74" t="str">
        <f t="shared" si="29"/>
        <v/>
      </c>
    </row>
    <row r="1835" spans="1:1" ht="17.25" customHeight="1">
      <c r="A1835" s="74" t="str">
        <f t="shared" si="29"/>
        <v/>
      </c>
    </row>
    <row r="1836" spans="1:1" ht="17.25" customHeight="1">
      <c r="A1836" s="74" t="str">
        <f t="shared" si="29"/>
        <v/>
      </c>
    </row>
    <row r="1837" spans="1:1" ht="17.25" customHeight="1">
      <c r="A1837" s="74" t="str">
        <f t="shared" si="29"/>
        <v/>
      </c>
    </row>
    <row r="1838" spans="1:1" ht="17.25" customHeight="1">
      <c r="A1838" s="74" t="str">
        <f t="shared" si="29"/>
        <v/>
      </c>
    </row>
    <row r="1839" spans="1:1" ht="17.25" customHeight="1">
      <c r="A1839" s="74" t="str">
        <f t="shared" si="29"/>
        <v/>
      </c>
    </row>
    <row r="1840" spans="1:1" ht="17.25" customHeight="1">
      <c r="A1840" s="74" t="str">
        <f t="shared" si="29"/>
        <v/>
      </c>
    </row>
    <row r="1841" spans="1:1" ht="17.25" customHeight="1">
      <c r="A1841" s="74" t="str">
        <f t="shared" si="29"/>
        <v/>
      </c>
    </row>
    <row r="1842" spans="1:1" ht="17.25" customHeight="1">
      <c r="A1842" s="74" t="str">
        <f t="shared" si="29"/>
        <v/>
      </c>
    </row>
    <row r="1843" spans="1:1" ht="17.25" customHeight="1">
      <c r="A1843" s="74" t="str">
        <f t="shared" si="29"/>
        <v/>
      </c>
    </row>
    <row r="1844" spans="1:1" ht="17.25" customHeight="1">
      <c r="A1844" s="74" t="str">
        <f t="shared" si="29"/>
        <v/>
      </c>
    </row>
    <row r="1845" spans="1:1" ht="17.25" customHeight="1">
      <c r="A1845" s="74" t="str">
        <f t="shared" si="29"/>
        <v/>
      </c>
    </row>
    <row r="1846" spans="1:1" ht="17.25" customHeight="1">
      <c r="A1846" s="74" t="str">
        <f t="shared" si="29"/>
        <v/>
      </c>
    </row>
    <row r="1847" spans="1:1" ht="17.25" customHeight="1">
      <c r="A1847" s="74" t="str">
        <f t="shared" si="29"/>
        <v/>
      </c>
    </row>
    <row r="1848" spans="1:1" ht="17.25" customHeight="1">
      <c r="A1848" s="74" t="str">
        <f t="shared" si="29"/>
        <v/>
      </c>
    </row>
    <row r="1849" spans="1:1" ht="17.25" customHeight="1">
      <c r="A1849" s="74" t="str">
        <f t="shared" si="29"/>
        <v/>
      </c>
    </row>
    <row r="1850" spans="1:1" ht="17.25" customHeight="1">
      <c r="A1850" s="74" t="str">
        <f t="shared" si="29"/>
        <v/>
      </c>
    </row>
    <row r="1851" spans="1:1" ht="17.25" customHeight="1">
      <c r="A1851" s="74" t="str">
        <f t="shared" si="29"/>
        <v/>
      </c>
    </row>
    <row r="1852" spans="1:1" ht="17.25" customHeight="1">
      <c r="A1852" s="74" t="str">
        <f t="shared" si="29"/>
        <v/>
      </c>
    </row>
    <row r="1853" spans="1:1" ht="17.25" customHeight="1">
      <c r="A1853" s="74" t="str">
        <f t="shared" si="29"/>
        <v/>
      </c>
    </row>
    <row r="1854" spans="1:1" ht="17.25" customHeight="1">
      <c r="A1854" s="74" t="str">
        <f t="shared" si="29"/>
        <v/>
      </c>
    </row>
    <row r="1855" spans="1:1" ht="17.25" customHeight="1">
      <c r="A1855" s="74" t="str">
        <f t="shared" si="29"/>
        <v/>
      </c>
    </row>
    <row r="1856" spans="1:1" ht="17.25" customHeight="1">
      <c r="A1856" s="74" t="str">
        <f t="shared" si="29"/>
        <v/>
      </c>
    </row>
    <row r="1857" spans="1:1" ht="17.25" customHeight="1">
      <c r="A1857" s="74" t="str">
        <f t="shared" si="29"/>
        <v/>
      </c>
    </row>
    <row r="1858" spans="1:1" ht="17.25" customHeight="1">
      <c r="A1858" s="74" t="str">
        <f t="shared" si="29"/>
        <v/>
      </c>
    </row>
    <row r="1859" spans="1:1" ht="17.25" customHeight="1">
      <c r="A1859" s="74" t="str">
        <f t="shared" si="29"/>
        <v/>
      </c>
    </row>
    <row r="1860" spans="1:1" ht="17.25" customHeight="1">
      <c r="A1860" s="74" t="str">
        <f t="shared" ref="A1860:A1923" si="30">IF(B1860&lt;&gt;"",ROW()-2,"")</f>
        <v/>
      </c>
    </row>
    <row r="1861" spans="1:1" ht="17.25" customHeight="1">
      <c r="A1861" s="74" t="str">
        <f t="shared" si="30"/>
        <v/>
      </c>
    </row>
    <row r="1862" spans="1:1" ht="17.25" customHeight="1">
      <c r="A1862" s="74" t="str">
        <f t="shared" si="30"/>
        <v/>
      </c>
    </row>
    <row r="1863" spans="1:1" ht="17.25" customHeight="1">
      <c r="A1863" s="74" t="str">
        <f t="shared" si="30"/>
        <v/>
      </c>
    </row>
    <row r="1864" spans="1:1" ht="17.25" customHeight="1">
      <c r="A1864" s="74" t="str">
        <f t="shared" si="30"/>
        <v/>
      </c>
    </row>
    <row r="1865" spans="1:1" ht="17.25" customHeight="1">
      <c r="A1865" s="74" t="str">
        <f t="shared" si="30"/>
        <v/>
      </c>
    </row>
    <row r="1866" spans="1:1" ht="17.25" customHeight="1">
      <c r="A1866" s="74" t="str">
        <f t="shared" si="30"/>
        <v/>
      </c>
    </row>
    <row r="1867" spans="1:1" ht="17.25" customHeight="1">
      <c r="A1867" s="74" t="str">
        <f t="shared" si="30"/>
        <v/>
      </c>
    </row>
    <row r="1868" spans="1:1" ht="17.25" customHeight="1">
      <c r="A1868" s="74" t="str">
        <f t="shared" si="30"/>
        <v/>
      </c>
    </row>
    <row r="1869" spans="1:1" ht="17.25" customHeight="1">
      <c r="A1869" s="74" t="str">
        <f t="shared" si="30"/>
        <v/>
      </c>
    </row>
    <row r="1870" spans="1:1" ht="17.25" customHeight="1">
      <c r="A1870" s="74" t="str">
        <f t="shared" si="30"/>
        <v/>
      </c>
    </row>
    <row r="1871" spans="1:1" ht="17.25" customHeight="1">
      <c r="A1871" s="74" t="str">
        <f t="shared" si="30"/>
        <v/>
      </c>
    </row>
    <row r="1872" spans="1:1" ht="17.25" customHeight="1">
      <c r="A1872" s="74" t="str">
        <f t="shared" si="30"/>
        <v/>
      </c>
    </row>
    <row r="1873" spans="1:1" ht="17.25" customHeight="1">
      <c r="A1873" s="74" t="str">
        <f t="shared" si="30"/>
        <v/>
      </c>
    </row>
    <row r="1874" spans="1:1" ht="17.25" customHeight="1">
      <c r="A1874" s="74" t="str">
        <f t="shared" si="30"/>
        <v/>
      </c>
    </row>
    <row r="1875" spans="1:1" ht="17.25" customHeight="1">
      <c r="A1875" s="74" t="str">
        <f t="shared" si="30"/>
        <v/>
      </c>
    </row>
    <row r="1876" spans="1:1" ht="17.25" customHeight="1">
      <c r="A1876" s="74" t="str">
        <f t="shared" si="30"/>
        <v/>
      </c>
    </row>
    <row r="1877" spans="1:1" ht="17.25" customHeight="1">
      <c r="A1877" s="74" t="str">
        <f t="shared" si="30"/>
        <v/>
      </c>
    </row>
    <row r="1878" spans="1:1" ht="17.25" customHeight="1">
      <c r="A1878" s="74" t="str">
        <f t="shared" si="30"/>
        <v/>
      </c>
    </row>
    <row r="1879" spans="1:1" ht="17.25" customHeight="1">
      <c r="A1879" s="74" t="str">
        <f t="shared" si="30"/>
        <v/>
      </c>
    </row>
    <row r="1880" spans="1:1" ht="17.25" customHeight="1">
      <c r="A1880" s="74" t="str">
        <f t="shared" si="30"/>
        <v/>
      </c>
    </row>
    <row r="1881" spans="1:1" ht="17.25" customHeight="1">
      <c r="A1881" s="74" t="str">
        <f t="shared" si="30"/>
        <v/>
      </c>
    </row>
    <row r="1882" spans="1:1" ht="17.25" customHeight="1">
      <c r="A1882" s="74" t="str">
        <f t="shared" si="30"/>
        <v/>
      </c>
    </row>
    <row r="1883" spans="1:1" ht="17.25" customHeight="1">
      <c r="A1883" s="74" t="str">
        <f t="shared" si="30"/>
        <v/>
      </c>
    </row>
    <row r="1884" spans="1:1" ht="17.25" customHeight="1">
      <c r="A1884" s="74" t="str">
        <f t="shared" si="30"/>
        <v/>
      </c>
    </row>
    <row r="1885" spans="1:1" ht="17.25" customHeight="1">
      <c r="A1885" s="74" t="str">
        <f t="shared" si="30"/>
        <v/>
      </c>
    </row>
    <row r="1886" spans="1:1" ht="17.25" customHeight="1">
      <c r="A1886" s="74" t="str">
        <f t="shared" si="30"/>
        <v/>
      </c>
    </row>
    <row r="1887" spans="1:1" ht="17.25" customHeight="1">
      <c r="A1887" s="74" t="str">
        <f t="shared" si="30"/>
        <v/>
      </c>
    </row>
    <row r="1888" spans="1:1" ht="17.25" customHeight="1">
      <c r="A1888" s="74" t="str">
        <f t="shared" si="30"/>
        <v/>
      </c>
    </row>
    <row r="1889" spans="1:1" ht="17.25" customHeight="1">
      <c r="A1889" s="74" t="str">
        <f t="shared" si="30"/>
        <v/>
      </c>
    </row>
    <row r="1890" spans="1:1" ht="17.25" customHeight="1">
      <c r="A1890" s="74" t="str">
        <f t="shared" si="30"/>
        <v/>
      </c>
    </row>
    <row r="1891" spans="1:1" ht="17.25" customHeight="1">
      <c r="A1891" s="74" t="str">
        <f t="shared" si="30"/>
        <v/>
      </c>
    </row>
    <row r="1892" spans="1:1" ht="17.25" customHeight="1">
      <c r="A1892" s="74" t="str">
        <f t="shared" si="30"/>
        <v/>
      </c>
    </row>
    <row r="1893" spans="1:1" ht="17.25" customHeight="1">
      <c r="A1893" s="74" t="str">
        <f t="shared" si="30"/>
        <v/>
      </c>
    </row>
    <row r="1894" spans="1:1" ht="17.25" customHeight="1">
      <c r="A1894" s="74" t="str">
        <f t="shared" si="30"/>
        <v/>
      </c>
    </row>
    <row r="1895" spans="1:1" ht="17.25" customHeight="1">
      <c r="A1895" s="74" t="str">
        <f t="shared" si="30"/>
        <v/>
      </c>
    </row>
    <row r="1896" spans="1:1" ht="17.25" customHeight="1">
      <c r="A1896" s="74" t="str">
        <f t="shared" si="30"/>
        <v/>
      </c>
    </row>
    <row r="1897" spans="1:1" ht="17.25" customHeight="1">
      <c r="A1897" s="74" t="str">
        <f t="shared" si="30"/>
        <v/>
      </c>
    </row>
    <row r="1898" spans="1:1" ht="17.25" customHeight="1">
      <c r="A1898" s="74" t="str">
        <f t="shared" si="30"/>
        <v/>
      </c>
    </row>
    <row r="1899" spans="1:1" ht="17.25" customHeight="1">
      <c r="A1899" s="74" t="str">
        <f t="shared" si="30"/>
        <v/>
      </c>
    </row>
    <row r="1900" spans="1:1" ht="17.25" customHeight="1">
      <c r="A1900" s="74" t="str">
        <f t="shared" si="30"/>
        <v/>
      </c>
    </row>
    <row r="1901" spans="1:1" ht="17.25" customHeight="1">
      <c r="A1901" s="74" t="str">
        <f t="shared" si="30"/>
        <v/>
      </c>
    </row>
    <row r="1902" spans="1:1" ht="17.25" customHeight="1">
      <c r="A1902" s="74" t="str">
        <f t="shared" si="30"/>
        <v/>
      </c>
    </row>
    <row r="1903" spans="1:1" ht="17.25" customHeight="1">
      <c r="A1903" s="74" t="str">
        <f t="shared" si="30"/>
        <v/>
      </c>
    </row>
    <row r="1904" spans="1:1" ht="17.25" customHeight="1">
      <c r="A1904" s="74" t="str">
        <f t="shared" si="30"/>
        <v/>
      </c>
    </row>
    <row r="1905" spans="1:1" ht="17.25" customHeight="1">
      <c r="A1905" s="74" t="str">
        <f t="shared" si="30"/>
        <v/>
      </c>
    </row>
    <row r="1906" spans="1:1" ht="17.25" customHeight="1">
      <c r="A1906" s="74" t="str">
        <f t="shared" si="30"/>
        <v/>
      </c>
    </row>
    <row r="1907" spans="1:1" ht="17.25" customHeight="1">
      <c r="A1907" s="74" t="str">
        <f t="shared" si="30"/>
        <v/>
      </c>
    </row>
    <row r="1908" spans="1:1" ht="17.25" customHeight="1">
      <c r="A1908" s="74" t="str">
        <f t="shared" si="30"/>
        <v/>
      </c>
    </row>
    <row r="1909" spans="1:1" ht="17.25" customHeight="1">
      <c r="A1909" s="74" t="str">
        <f t="shared" si="30"/>
        <v/>
      </c>
    </row>
    <row r="1910" spans="1:1" ht="17.25" customHeight="1">
      <c r="A1910" s="74" t="str">
        <f t="shared" si="30"/>
        <v/>
      </c>
    </row>
    <row r="1911" spans="1:1" ht="17.25" customHeight="1">
      <c r="A1911" s="74" t="str">
        <f t="shared" si="30"/>
        <v/>
      </c>
    </row>
    <row r="1912" spans="1:1" ht="17.25" customHeight="1">
      <c r="A1912" s="74" t="str">
        <f t="shared" si="30"/>
        <v/>
      </c>
    </row>
    <row r="1913" spans="1:1" ht="17.25" customHeight="1">
      <c r="A1913" s="74" t="str">
        <f t="shared" si="30"/>
        <v/>
      </c>
    </row>
    <row r="1914" spans="1:1" ht="17.25" customHeight="1">
      <c r="A1914" s="74" t="str">
        <f t="shared" si="30"/>
        <v/>
      </c>
    </row>
    <row r="1915" spans="1:1" ht="17.25" customHeight="1">
      <c r="A1915" s="74" t="str">
        <f t="shared" si="30"/>
        <v/>
      </c>
    </row>
    <row r="1916" spans="1:1" ht="17.25" customHeight="1">
      <c r="A1916" s="74" t="str">
        <f t="shared" si="30"/>
        <v/>
      </c>
    </row>
    <row r="1917" spans="1:1" ht="17.25" customHeight="1">
      <c r="A1917" s="74" t="str">
        <f t="shared" si="30"/>
        <v/>
      </c>
    </row>
    <row r="1918" spans="1:1" ht="17.25" customHeight="1">
      <c r="A1918" s="74" t="str">
        <f t="shared" si="30"/>
        <v/>
      </c>
    </row>
    <row r="1919" spans="1:1" ht="17.25" customHeight="1">
      <c r="A1919" s="74" t="str">
        <f t="shared" si="30"/>
        <v/>
      </c>
    </row>
    <row r="1920" spans="1:1" ht="17.25" customHeight="1">
      <c r="A1920" s="74" t="str">
        <f t="shared" si="30"/>
        <v/>
      </c>
    </row>
    <row r="1921" spans="1:1" ht="17.25" customHeight="1">
      <c r="A1921" s="74" t="str">
        <f t="shared" si="30"/>
        <v/>
      </c>
    </row>
    <row r="1922" spans="1:1" ht="17.25" customHeight="1">
      <c r="A1922" s="74" t="str">
        <f t="shared" si="30"/>
        <v/>
      </c>
    </row>
    <row r="1923" spans="1:1" ht="17.25" customHeight="1">
      <c r="A1923" s="74" t="str">
        <f t="shared" si="30"/>
        <v/>
      </c>
    </row>
    <row r="1924" spans="1:1" ht="17.25" customHeight="1">
      <c r="A1924" s="74" t="str">
        <f t="shared" ref="A1924:A1936" si="31">IF(B1924&lt;&gt;"",ROW()-2,"")</f>
        <v/>
      </c>
    </row>
    <row r="1925" spans="1:1" ht="17.25" customHeight="1">
      <c r="A1925" s="74" t="str">
        <f t="shared" si="31"/>
        <v/>
      </c>
    </row>
    <row r="1926" spans="1:1" ht="17.25" customHeight="1">
      <c r="A1926" s="74" t="str">
        <f t="shared" si="31"/>
        <v/>
      </c>
    </row>
    <row r="1927" spans="1:1" ht="17.25" customHeight="1">
      <c r="A1927" s="74" t="str">
        <f t="shared" si="31"/>
        <v/>
      </c>
    </row>
    <row r="1928" spans="1:1" ht="17.25" customHeight="1">
      <c r="A1928" s="74" t="str">
        <f t="shared" si="31"/>
        <v/>
      </c>
    </row>
    <row r="1929" spans="1:1" ht="17.25" customHeight="1">
      <c r="A1929" s="74" t="str">
        <f t="shared" si="31"/>
        <v/>
      </c>
    </row>
    <row r="1930" spans="1:1" ht="17.25" customHeight="1">
      <c r="A1930" s="74" t="str">
        <f t="shared" si="31"/>
        <v/>
      </c>
    </row>
    <row r="1931" spans="1:1" ht="17.25" customHeight="1">
      <c r="A1931" s="74" t="str">
        <f t="shared" si="31"/>
        <v/>
      </c>
    </row>
    <row r="1932" spans="1:1" ht="17.25" customHeight="1">
      <c r="A1932" s="74" t="str">
        <f t="shared" si="31"/>
        <v/>
      </c>
    </row>
    <row r="1933" spans="1:1" ht="17.25" customHeight="1">
      <c r="A1933" s="74" t="str">
        <f t="shared" si="31"/>
        <v/>
      </c>
    </row>
    <row r="1934" spans="1:1" ht="17.25" customHeight="1">
      <c r="A1934" s="74" t="str">
        <f t="shared" si="31"/>
        <v/>
      </c>
    </row>
    <row r="1935" spans="1:1" ht="17.25" customHeight="1">
      <c r="A1935" s="74" t="str">
        <f t="shared" si="31"/>
        <v/>
      </c>
    </row>
    <row r="1936" spans="1:1" ht="17.25" customHeight="1">
      <c r="A1936" s="74" t="str">
        <f t="shared" si="31"/>
        <v/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C91"/>
  <sheetViews>
    <sheetView showGridLines="0" showZeros="0" zoomScale="85" zoomScaleNormal="85" zoomScaleSheetLayoutView="85" workbookViewId="0"/>
  </sheetViews>
  <sheetFormatPr defaultColWidth="9" defaultRowHeight="17.399999999999999"/>
  <cols>
    <col min="1" max="1" width="1.59765625" customWidth="1"/>
    <col min="2" max="2" width="1.8984375" customWidth="1"/>
    <col min="3" max="3" width="22.8984375" customWidth="1"/>
    <col min="4" max="4" width="5.69921875" customWidth="1"/>
    <col min="5" max="6" width="9.69921875" customWidth="1"/>
    <col min="7" max="7" width="8.8984375" customWidth="1"/>
    <col min="8" max="8" width="16.69921875" customWidth="1"/>
    <col min="9" max="9" width="6.5" customWidth="1"/>
    <col min="10" max="10" width="5.19921875" customWidth="1"/>
    <col min="11" max="11" width="27.09765625" bestFit="1" customWidth="1"/>
    <col min="12" max="12" width="14.09765625" customWidth="1"/>
    <col min="13" max="13" width="7.3984375" customWidth="1"/>
    <col min="14" max="14" width="11.59765625" customWidth="1"/>
    <col min="15" max="15" width="14.09765625" customWidth="1"/>
    <col min="16" max="16" width="3.8984375" customWidth="1"/>
    <col min="17" max="17" width="1.59765625" customWidth="1"/>
    <col min="18" max="20" width="8.69921875" customWidth="1"/>
    <col min="21" max="21" width="18.09765625" bestFit="1" customWidth="1"/>
    <col min="22" max="22" width="8.69921875" customWidth="1"/>
    <col min="23" max="23" width="18.59765625" customWidth="1"/>
    <col min="74" max="16379" width="9" customWidth="1"/>
    <col min="16380" max="16380" width="1.69921875" customWidth="1"/>
    <col min="16381" max="16382" width="9" hidden="1" customWidth="1"/>
    <col min="16383" max="16383" width="3.8984375" hidden="1" customWidth="1"/>
    <col min="16384" max="16384" width="4.09765625" hidden="1" customWidth="1"/>
  </cols>
  <sheetData>
    <row r="1" spans="1:23">
      <c r="A1" s="64" t="s">
        <v>0</v>
      </c>
    </row>
    <row r="2" spans="1:23" ht="20.399999999999999" customHeight="1">
      <c r="B2" s="212" t="s">
        <v>87</v>
      </c>
      <c r="C2" s="213"/>
      <c r="D2" s="213"/>
      <c r="E2" s="108" t="s">
        <v>1</v>
      </c>
      <c r="F2" s="108"/>
      <c r="H2" s="3"/>
    </row>
    <row r="3" spans="1:23">
      <c r="B3" s="211" t="s">
        <v>448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</row>
    <row r="4" spans="1:23" ht="4.95" customHeight="1"/>
    <row r="5" spans="1:23" ht="30.6" customHeight="1">
      <c r="B5" s="132" t="s">
        <v>95</v>
      </c>
      <c r="C5" s="132"/>
      <c r="D5" s="132"/>
      <c r="E5" s="105" t="s">
        <v>444</v>
      </c>
      <c r="F5" s="106"/>
      <c r="G5" s="107"/>
      <c r="H5" s="132" t="s">
        <v>2</v>
      </c>
      <c r="I5" s="132"/>
      <c r="J5" s="132"/>
      <c r="K5" s="148" t="s">
        <v>445</v>
      </c>
      <c r="L5" s="105" t="s">
        <v>3</v>
      </c>
      <c r="M5" s="107"/>
      <c r="N5" s="105" t="s">
        <v>422</v>
      </c>
      <c r="O5" s="106"/>
      <c r="P5" s="107"/>
      <c r="Q5" s="2"/>
      <c r="R5" s="1"/>
      <c r="S5" s="1"/>
    </row>
    <row r="6" spans="1:23" ht="30.6" customHeight="1">
      <c r="B6" s="132" t="s">
        <v>4</v>
      </c>
      <c r="C6" s="132"/>
      <c r="D6" s="132"/>
      <c r="E6" s="105" t="s">
        <v>446</v>
      </c>
      <c r="F6" s="106"/>
      <c r="G6" s="107"/>
      <c r="H6" s="132"/>
      <c r="I6" s="132"/>
      <c r="J6" s="132"/>
      <c r="K6" s="149"/>
      <c r="L6" s="110"/>
      <c r="M6" s="111"/>
      <c r="N6" s="105" t="s">
        <v>423</v>
      </c>
      <c r="O6" s="106"/>
      <c r="P6" s="107"/>
      <c r="Q6" s="2"/>
      <c r="R6" s="1"/>
      <c r="S6" s="1"/>
    </row>
    <row r="7" spans="1:23" ht="30.6" customHeight="1">
      <c r="B7" s="132" t="s">
        <v>5</v>
      </c>
      <c r="C7" s="132"/>
      <c r="D7" s="132"/>
      <c r="E7" s="105" t="s">
        <v>447</v>
      </c>
      <c r="F7" s="106"/>
      <c r="G7" s="106"/>
      <c r="H7" s="106"/>
      <c r="I7" s="106"/>
      <c r="J7" s="106"/>
      <c r="K7" s="107"/>
      <c r="L7" s="105" t="s">
        <v>6</v>
      </c>
      <c r="M7" s="107"/>
      <c r="N7" s="105"/>
      <c r="O7" s="106"/>
      <c r="P7" s="107"/>
      <c r="Q7" s="2"/>
      <c r="R7" s="1"/>
      <c r="S7" s="1"/>
      <c r="T7" s="53"/>
      <c r="U7" s="53"/>
      <c r="V7" s="53"/>
      <c r="W7" s="53"/>
    </row>
    <row r="8" spans="1:23" ht="4.95" customHeight="1">
      <c r="T8" s="53"/>
      <c r="U8" s="53"/>
      <c r="V8" s="53"/>
      <c r="W8" s="53"/>
    </row>
    <row r="9" spans="1:23" s="51" customFormat="1" ht="27.75" customHeight="1">
      <c r="A9"/>
      <c r="B9" s="102" t="s">
        <v>7</v>
      </c>
      <c r="C9" s="103"/>
      <c r="D9" s="104"/>
      <c r="E9" s="119" t="s">
        <v>8</v>
      </c>
      <c r="F9" s="120"/>
      <c r="G9" s="112" t="str">
        <f>IFERROR(VLOOKUP($S$10,계약리스트!$A$3:$Z$5000,7,0),"")</f>
        <v>박상철</v>
      </c>
      <c r="H9" s="112"/>
      <c r="I9" s="112"/>
      <c r="J9" s="112"/>
      <c r="K9" s="38" t="s">
        <v>9</v>
      </c>
      <c r="L9" s="142" t="str">
        <f>IFERROR(VLOOKUP($S$10,계약리스트!$A$3:$Z$5000,4,0),"")</f>
        <v>오산스토어</v>
      </c>
      <c r="M9" s="143"/>
      <c r="N9" s="143"/>
      <c r="O9" s="143"/>
      <c r="P9" s="144"/>
      <c r="Q9" s="7" t="s">
        <v>0</v>
      </c>
      <c r="R9"/>
      <c r="S9" s="13" t="s">
        <v>10</v>
      </c>
      <c r="T9" s="53"/>
      <c r="U9" s="54">
        <v>0</v>
      </c>
      <c r="V9" s="54"/>
      <c r="W9" s="54"/>
    </row>
    <row r="10" spans="1:23" s="51" customFormat="1" ht="24.75" customHeight="1">
      <c r="A10"/>
      <c r="B10" s="133"/>
      <c r="C10" s="134"/>
      <c r="D10" s="135"/>
      <c r="E10" s="119" t="s">
        <v>11</v>
      </c>
      <c r="F10" s="120"/>
      <c r="G10" s="112" t="str">
        <f>IFERROR(VLOOKUP($S$10,계약리스트!$A$3:$Z$5000,8,0),"")</f>
        <v>010-5321-8544</v>
      </c>
      <c r="H10" s="112"/>
      <c r="I10" s="112"/>
      <c r="J10" s="112"/>
      <c r="K10" s="38" t="s">
        <v>12</v>
      </c>
      <c r="L10" s="142" t="str">
        <f>IFERROR(VLOOKUP($S$10,계약리스트!$A$3:$Z$5000,5,0),"")</f>
        <v>196-56-00384</v>
      </c>
      <c r="M10" s="143"/>
      <c r="N10" s="143"/>
      <c r="O10" s="143"/>
      <c r="P10" s="144"/>
      <c r="Q10" s="7"/>
      <c r="R10"/>
      <c r="S10" s="52">
        <v>18</v>
      </c>
      <c r="T10" s="53"/>
      <c r="U10" s="54"/>
      <c r="V10" s="54"/>
      <c r="W10" s="54"/>
    </row>
    <row r="11" spans="1:23" s="51" customFormat="1" ht="31.5" customHeight="1">
      <c r="A11"/>
      <c r="B11" s="133"/>
      <c r="C11" s="134"/>
      <c r="D11" s="135"/>
      <c r="E11" s="119" t="s">
        <v>13</v>
      </c>
      <c r="F11" s="120"/>
      <c r="G11" s="112" t="str">
        <f>IFERROR(VLOOKUP($S$10,계약리스트!$A$3:$Z$5000,9,0),"")</f>
        <v>850404-1229829</v>
      </c>
      <c r="H11" s="112"/>
      <c r="I11" s="112"/>
      <c r="J11" s="112"/>
      <c r="K11" s="38" t="s">
        <v>14</v>
      </c>
      <c r="L11" s="150" t="str">
        <f>IFERROR(VLOOKUP($S$10,계약리스트!$A$3:$Z$5000,6,0),"")</f>
        <v>경기도 오산시 수청로 63호, 1층 1호 세마바이크(내삼미동)</v>
      </c>
      <c r="M11" s="151"/>
      <c r="N11" s="151"/>
      <c r="O11" s="151"/>
      <c r="P11" s="152"/>
      <c r="Q11" s="7"/>
      <c r="R11"/>
      <c r="S11"/>
      <c r="T11" s="53"/>
      <c r="U11" s="54"/>
      <c r="V11" s="54"/>
      <c r="W11" s="54"/>
    </row>
    <row r="12" spans="1:23" s="51" customFormat="1" ht="36.75" customHeight="1">
      <c r="A12"/>
      <c r="B12" s="133"/>
      <c r="C12" s="134"/>
      <c r="D12" s="135"/>
      <c r="E12" s="119" t="s">
        <v>15</v>
      </c>
      <c r="F12" s="120"/>
      <c r="G12" s="156" t="str">
        <f>IFERROR(VLOOKUP($S$10,계약리스트!$A$3:$Z$5000,10,0),"")</f>
        <v>경기도 오산시 박동길 5(수청동)</v>
      </c>
      <c r="H12" s="156"/>
      <c r="I12" s="156"/>
      <c r="J12" s="156"/>
      <c r="K12" s="38" t="s">
        <v>16</v>
      </c>
      <c r="L12" s="153"/>
      <c r="M12" s="154"/>
      <c r="N12" s="154"/>
      <c r="O12" s="154"/>
      <c r="P12" s="155"/>
      <c r="Q12" s="7"/>
      <c r="R12"/>
      <c r="S12"/>
      <c r="T12" s="53"/>
      <c r="U12" s="54"/>
      <c r="V12" s="54"/>
      <c r="W12" s="54"/>
    </row>
    <row r="13" spans="1:23" s="51" customFormat="1" ht="21.6" customHeight="1" thickBot="1">
      <c r="A13"/>
      <c r="B13" s="136"/>
      <c r="C13" s="137"/>
      <c r="D13" s="138"/>
      <c r="E13" s="145" t="s">
        <v>17</v>
      </c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7"/>
      <c r="Q13" s="8"/>
      <c r="R13"/>
      <c r="S13"/>
      <c r="T13" s="53"/>
      <c r="U13" s="54"/>
      <c r="V13" s="54"/>
      <c r="W13" s="54"/>
    </row>
    <row r="14" spans="1:23" s="51" customFormat="1" ht="24" customHeight="1" thickTop="1">
      <c r="A14"/>
      <c r="B14" s="139" t="s">
        <v>18</v>
      </c>
      <c r="C14" s="139"/>
      <c r="D14" s="139"/>
      <c r="E14" s="123" t="s">
        <v>8</v>
      </c>
      <c r="F14" s="124"/>
      <c r="G14" s="112"/>
      <c r="H14" s="112"/>
      <c r="I14" s="112"/>
      <c r="J14" s="112"/>
      <c r="K14" s="39" t="s">
        <v>9</v>
      </c>
      <c r="L14" s="112"/>
      <c r="M14" s="112"/>
      <c r="N14" s="112"/>
      <c r="O14" s="112"/>
      <c r="P14" s="112"/>
      <c r="Q14" s="7"/>
      <c r="R14"/>
      <c r="S14"/>
      <c r="T14" s="53"/>
      <c r="U14" s="54"/>
      <c r="V14" s="54"/>
      <c r="W14" s="54"/>
    </row>
    <row r="15" spans="1:23" s="51" customFormat="1" ht="24" customHeight="1">
      <c r="A15"/>
      <c r="B15" s="140"/>
      <c r="C15" s="140"/>
      <c r="D15" s="140"/>
      <c r="E15" s="119" t="s">
        <v>11</v>
      </c>
      <c r="F15" s="120"/>
      <c r="G15" s="112"/>
      <c r="H15" s="112"/>
      <c r="I15" s="112"/>
      <c r="J15" s="112"/>
      <c r="K15" s="38" t="s">
        <v>12</v>
      </c>
      <c r="L15" s="112"/>
      <c r="M15" s="112"/>
      <c r="N15" s="112"/>
      <c r="O15" s="112"/>
      <c r="P15" s="112"/>
      <c r="Q15" s="7"/>
      <c r="R15"/>
      <c r="S15"/>
      <c r="T15" s="53"/>
      <c r="U15" s="54"/>
      <c r="V15" s="54"/>
      <c r="W15" s="54"/>
    </row>
    <row r="16" spans="1:23" s="51" customFormat="1" ht="24" customHeight="1">
      <c r="A16"/>
      <c r="B16" s="140"/>
      <c r="C16" s="140"/>
      <c r="D16" s="140"/>
      <c r="E16" s="119" t="s">
        <v>13</v>
      </c>
      <c r="F16" s="120"/>
      <c r="G16" s="112"/>
      <c r="H16" s="112"/>
      <c r="I16" s="112"/>
      <c r="J16" s="112"/>
      <c r="K16" s="38" t="s">
        <v>14</v>
      </c>
      <c r="L16" s="112"/>
      <c r="M16" s="112"/>
      <c r="N16" s="112"/>
      <c r="O16" s="112"/>
      <c r="P16" s="112"/>
      <c r="Q16" s="7"/>
      <c r="R16"/>
      <c r="S16"/>
      <c r="T16" s="53"/>
      <c r="U16" s="54"/>
      <c r="V16" s="54"/>
      <c r="W16" s="54"/>
    </row>
    <row r="17" spans="1:23" s="51" customFormat="1" ht="24" customHeight="1">
      <c r="A17"/>
      <c r="B17" s="140"/>
      <c r="C17" s="140"/>
      <c r="D17" s="140"/>
      <c r="E17" s="119" t="s">
        <v>15</v>
      </c>
      <c r="F17" s="120"/>
      <c r="G17" s="157"/>
      <c r="H17" s="157"/>
      <c r="I17" s="157"/>
      <c r="J17" s="157"/>
      <c r="K17" s="38" t="s">
        <v>16</v>
      </c>
      <c r="L17" s="112"/>
      <c r="M17" s="112"/>
      <c r="N17" s="112"/>
      <c r="O17" s="112"/>
      <c r="P17" s="112"/>
      <c r="Q17" s="7"/>
      <c r="R17"/>
      <c r="S17"/>
      <c r="T17" s="53"/>
      <c r="U17" s="54"/>
      <c r="V17" s="54"/>
      <c r="W17" s="54"/>
    </row>
    <row r="18" spans="1:23" s="51" customFormat="1" ht="21.6" customHeight="1" thickBot="1">
      <c r="A18"/>
      <c r="B18" s="141"/>
      <c r="C18" s="141"/>
      <c r="D18" s="141"/>
      <c r="E18" s="145" t="s">
        <v>97</v>
      </c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7"/>
      <c r="Q18" s="8"/>
      <c r="R18"/>
      <c r="S18"/>
      <c r="T18" s="53"/>
      <c r="U18" s="54"/>
      <c r="V18" s="54"/>
      <c r="W18" s="54"/>
    </row>
    <row r="19" spans="1:23" s="51" customFormat="1" ht="27.75" customHeight="1" thickTop="1">
      <c r="A19"/>
      <c r="B19" s="139" t="s">
        <v>19</v>
      </c>
      <c r="C19" s="139"/>
      <c r="D19" s="139"/>
      <c r="E19" s="123" t="s">
        <v>20</v>
      </c>
      <c r="F19" s="124"/>
      <c r="G19" s="112" t="str">
        <f>IFERROR(VLOOKUP($S$10,계약리스트!$A$3:$Z$5000,11,0),"")</f>
        <v>존테스368G</v>
      </c>
      <c r="H19" s="112"/>
      <c r="I19" s="112"/>
      <c r="J19" s="112"/>
      <c r="K19" s="39" t="s">
        <v>21</v>
      </c>
      <c r="L19" s="113">
        <f>IFERROR(VLOOKUP($S$10,계약리스트!$A$3:$Z$5000,2,0),"")</f>
        <v>46000</v>
      </c>
      <c r="M19" s="114"/>
      <c r="N19" s="114"/>
      <c r="O19" s="114"/>
      <c r="P19" s="115"/>
      <c r="Q19" s="7"/>
      <c r="R19"/>
      <c r="S19" t="s">
        <v>443</v>
      </c>
      <c r="T19" s="53"/>
      <c r="U19" s="54"/>
      <c r="V19" s="54"/>
      <c r="W19" s="54"/>
    </row>
    <row r="20" spans="1:23" s="51" customFormat="1" ht="27.75" customHeight="1">
      <c r="A20"/>
      <c r="B20" s="140"/>
      <c r="C20" s="140"/>
      <c r="D20" s="140"/>
      <c r="E20" s="119" t="s">
        <v>22</v>
      </c>
      <c r="F20" s="120"/>
      <c r="G20" s="112" t="str">
        <f>IFERROR(VLOOKUP($S$10,계약리스트!$A$3:$Z$5000,12,0),"")</f>
        <v>LD3THR6B8T1602982</v>
      </c>
      <c r="H20" s="112"/>
      <c r="I20" s="112"/>
      <c r="J20" s="112"/>
      <c r="K20" s="39" t="s">
        <v>23</v>
      </c>
      <c r="L20" s="116">
        <f>IFERROR(VLOOKUP($S$10,계약리스트!$A$3:$Z$5000,3,0),"차량인도일로부터")</f>
        <v>46001</v>
      </c>
      <c r="M20" s="117"/>
      <c r="N20" s="117"/>
      <c r="O20" s="117"/>
      <c r="P20" s="118"/>
      <c r="Q20" s="7"/>
      <c r="R20"/>
      <c r="S20" t="s">
        <v>419</v>
      </c>
      <c r="T20" s="53"/>
      <c r="U20" s="53"/>
      <c r="V20" s="55"/>
      <c r="W20" s="54"/>
    </row>
    <row r="21" spans="1:23" ht="27.75" customHeight="1">
      <c r="B21" s="140"/>
      <c r="C21" s="140"/>
      <c r="D21" s="140"/>
      <c r="E21" s="119" t="s">
        <v>24</v>
      </c>
      <c r="F21" s="120"/>
      <c r="G21" s="112">
        <f>IFERROR(VLOOKUP($S$10,계약리스트!$A$3:$Z$5000,13,0),"")</f>
        <v>0</v>
      </c>
      <c r="H21" s="112"/>
      <c r="I21" s="112"/>
      <c r="J21" s="112"/>
      <c r="K21" s="38" t="s">
        <v>25</v>
      </c>
      <c r="L21" s="161">
        <f>IFERROR(VLOOKUP($S$10,계약리스트!$A$3:$Z$5000,19,0),"")</f>
        <v>38000</v>
      </c>
      <c r="M21" s="162"/>
      <c r="N21" s="163" t="s">
        <v>529</v>
      </c>
      <c r="O21" s="163"/>
      <c r="P21" s="164"/>
      <c r="Q21" s="7"/>
      <c r="T21" s="53"/>
      <c r="U21" s="53"/>
      <c r="V21" s="53"/>
      <c r="W21" s="53"/>
    </row>
    <row r="22" spans="1:23" ht="27.75" customHeight="1">
      <c r="B22" s="140"/>
      <c r="C22" s="140"/>
      <c r="D22" s="140"/>
      <c r="E22" s="119" t="s">
        <v>26</v>
      </c>
      <c r="F22" s="120"/>
      <c r="G22" s="112" t="str">
        <f>IFERROR(VLOOKUP($S$10,계약리스트!$A$3:$Z$5000,14,0),"")</f>
        <v>그레이</v>
      </c>
      <c r="H22" s="112"/>
      <c r="I22" s="112"/>
      <c r="J22" s="112"/>
      <c r="K22" s="38" t="s">
        <v>27</v>
      </c>
      <c r="L22" s="142" t="s">
        <v>28</v>
      </c>
      <c r="M22" s="143"/>
      <c r="N22" s="143"/>
      <c r="O22" s="143"/>
      <c r="P22" s="65"/>
      <c r="Q22" s="7"/>
    </row>
    <row r="23" spans="1:23" ht="27.75" customHeight="1" thickBot="1">
      <c r="B23" s="141"/>
      <c r="C23" s="141"/>
      <c r="D23" s="141"/>
      <c r="E23" s="121" t="s">
        <v>29</v>
      </c>
      <c r="F23" s="122"/>
      <c r="G23" s="203" t="str">
        <f>IFERROR(VLOOKUP($S$10,계약리스트!$A$3:$Z$5000,15,0),"")</f>
        <v>미포함</v>
      </c>
      <c r="H23" s="204"/>
      <c r="I23" s="204"/>
      <c r="J23" s="205"/>
      <c r="K23" s="38" t="s">
        <v>30</v>
      </c>
      <c r="L23" s="158" t="s">
        <v>419</v>
      </c>
      <c r="M23" s="159"/>
      <c r="N23" s="159"/>
      <c r="O23" s="159"/>
      <c r="P23" s="160"/>
      <c r="Q23" s="7"/>
    </row>
    <row r="24" spans="1:23" ht="27.75" customHeight="1" thickTop="1">
      <c r="B24" s="139" t="s">
        <v>31</v>
      </c>
      <c r="C24" s="139"/>
      <c r="D24" s="139"/>
      <c r="E24" s="123" t="s">
        <v>88</v>
      </c>
      <c r="F24" s="124"/>
      <c r="G24" s="206" t="s">
        <v>505</v>
      </c>
      <c r="H24" s="206"/>
      <c r="I24" s="206"/>
      <c r="J24" s="206"/>
      <c r="K24" s="63" t="s">
        <v>32</v>
      </c>
      <c r="L24" s="113" t="s">
        <v>450</v>
      </c>
      <c r="M24" s="114"/>
      <c r="N24" s="114"/>
      <c r="O24" s="114"/>
      <c r="P24" s="115"/>
      <c r="Q24" s="9"/>
      <c r="T24" s="67"/>
      <c r="U24" s="58"/>
      <c r="V24" s="66">
        <v>1</v>
      </c>
      <c r="W24" s="66"/>
    </row>
    <row r="25" spans="1:23" ht="27.75" customHeight="1">
      <c r="B25" s="140"/>
      <c r="C25" s="140"/>
      <c r="D25" s="140"/>
      <c r="E25" s="119" t="s">
        <v>33</v>
      </c>
      <c r="F25" s="120"/>
      <c r="G25" s="112" t="s">
        <v>420</v>
      </c>
      <c r="H25" s="112"/>
      <c r="I25" s="112"/>
      <c r="J25" s="112"/>
      <c r="K25" s="38" t="s">
        <v>89</v>
      </c>
      <c r="L25" s="83" t="str">
        <f>IFERROR(VLOOKUP($S$10,계약리스트!$A$3:$Z$5000,17,0),"")&amp;"일"</f>
        <v>365일</v>
      </c>
      <c r="M25" s="129" t="s">
        <v>98</v>
      </c>
      <c r="N25" s="130"/>
      <c r="O25" s="130"/>
      <c r="P25" s="131"/>
      <c r="Q25" s="9"/>
      <c r="T25" s="53"/>
      <c r="U25" s="58"/>
      <c r="V25" s="66">
        <v>3</v>
      </c>
      <c r="W25" s="66" t="s">
        <v>34</v>
      </c>
    </row>
    <row r="26" spans="1:23" ht="27.75" customHeight="1">
      <c r="B26" s="140"/>
      <c r="C26" s="140"/>
      <c r="D26" s="140"/>
      <c r="E26" s="119" t="s">
        <v>35</v>
      </c>
      <c r="F26" s="120"/>
      <c r="G26" s="126">
        <f>IFERROR(VLOOKUP($S$10,계약리스트!$A$3:$Z$5000,16,0),"")</f>
        <v>35</v>
      </c>
      <c r="H26" s="127"/>
      <c r="I26" s="127"/>
      <c r="J26" s="128"/>
      <c r="K26" s="38" t="s">
        <v>36</v>
      </c>
      <c r="L26" s="125">
        <f>IFERROR(VLOOKUP($S$10,계약리스트!$A$3:$Z$5000,18,0),)</f>
        <v>500000</v>
      </c>
      <c r="M26" s="125"/>
      <c r="N26" s="125"/>
      <c r="O26" s="125"/>
      <c r="P26" s="125"/>
      <c r="Q26" s="9"/>
      <c r="T26" s="53"/>
      <c r="U26" s="58"/>
      <c r="V26" s="58"/>
      <c r="W26" s="58"/>
    </row>
    <row r="27" spans="1:23" ht="21.6" customHeight="1">
      <c r="B27" s="102" t="s">
        <v>37</v>
      </c>
      <c r="C27" s="103"/>
      <c r="D27" s="103"/>
      <c r="E27" s="103"/>
      <c r="F27" s="103"/>
      <c r="G27" s="103"/>
      <c r="H27" s="103"/>
      <c r="I27" s="104"/>
      <c r="J27" s="103" t="s">
        <v>38</v>
      </c>
      <c r="K27" s="103"/>
      <c r="L27" s="103"/>
      <c r="M27" s="103"/>
      <c r="N27" s="103"/>
      <c r="O27" s="103"/>
      <c r="P27" s="104"/>
      <c r="Q27" s="9"/>
      <c r="T27" s="53"/>
      <c r="U27" s="58"/>
      <c r="V27" s="58"/>
      <c r="W27" s="58"/>
    </row>
    <row r="28" spans="1:23" ht="15.75" customHeight="1">
      <c r="B28" s="208" t="s">
        <v>0</v>
      </c>
      <c r="C28" s="209"/>
      <c r="D28" s="201" t="s">
        <v>90</v>
      </c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2"/>
      <c r="Q28" s="10"/>
      <c r="U28" s="58"/>
      <c r="V28" s="58"/>
      <c r="W28" s="58"/>
    </row>
    <row r="29" spans="1:23" ht="15.75" customHeight="1">
      <c r="B29" s="208"/>
      <c r="C29" s="209"/>
      <c r="D29" s="165" t="s">
        <v>39</v>
      </c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1"/>
      <c r="U29" s="58"/>
      <c r="V29" s="58"/>
      <c r="W29" s="58"/>
    </row>
    <row r="30" spans="1:23" ht="13.5" customHeight="1"/>
    <row r="31" spans="1:23" ht="15.6" customHeight="1">
      <c r="B31" s="30"/>
      <c r="C31" s="176" t="s">
        <v>0</v>
      </c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29"/>
      <c r="Q31" s="2"/>
    </row>
    <row r="32" spans="1:23" ht="15.6" customHeight="1">
      <c r="B32" s="18"/>
      <c r="C32" s="171" t="s">
        <v>91</v>
      </c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33"/>
      <c r="Q32" s="4"/>
    </row>
    <row r="33" spans="2:17" ht="15.6" customHeight="1">
      <c r="B33" s="18"/>
      <c r="C33" s="172" t="s">
        <v>40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34"/>
      <c r="Q33" s="5"/>
    </row>
    <row r="34" spans="2:17" ht="15.6" customHeight="1">
      <c r="B34" s="18"/>
      <c r="P34" s="19"/>
    </row>
    <row r="35" spans="2:17" ht="15.6" customHeight="1">
      <c r="B35" s="18"/>
      <c r="C35" s="173" t="s">
        <v>292</v>
      </c>
      <c r="D35" s="173"/>
      <c r="E35" s="173"/>
      <c r="F35" s="173"/>
      <c r="G35" s="173"/>
      <c r="H35" s="173"/>
      <c r="I35" s="25"/>
      <c r="J35" s="20"/>
      <c r="K35" s="174" t="s">
        <v>41</v>
      </c>
      <c r="L35" s="173"/>
      <c r="M35" s="173"/>
      <c r="N35" s="173"/>
      <c r="O35" s="173"/>
      <c r="P35" s="35"/>
      <c r="Q35" s="6"/>
    </row>
    <row r="36" spans="2:17" ht="15.6" customHeight="1">
      <c r="B36" s="18"/>
      <c r="C36" s="175" t="s">
        <v>42</v>
      </c>
      <c r="D36" s="175"/>
      <c r="E36" s="175"/>
      <c r="F36" s="175"/>
      <c r="G36" s="175"/>
      <c r="H36" s="175"/>
      <c r="I36" s="26"/>
      <c r="J36" s="21"/>
      <c r="K36" s="168" t="s">
        <v>43</v>
      </c>
      <c r="L36" s="168"/>
      <c r="M36" s="168"/>
      <c r="N36" s="168"/>
      <c r="O36" s="168"/>
      <c r="P36" s="19"/>
    </row>
    <row r="37" spans="2:17" ht="15.6" customHeight="1">
      <c r="B37" s="18"/>
      <c r="C37" s="175" t="s">
        <v>44</v>
      </c>
      <c r="D37" s="175"/>
      <c r="E37" s="175"/>
      <c r="F37" s="175"/>
      <c r="G37" s="175"/>
      <c r="H37" s="175"/>
      <c r="I37" s="26"/>
      <c r="J37" s="21"/>
      <c r="K37" s="207" t="s">
        <v>45</v>
      </c>
      <c r="L37" s="207"/>
      <c r="M37" s="207"/>
      <c r="N37" s="207"/>
      <c r="O37" s="207"/>
      <c r="P37" s="19"/>
    </row>
    <row r="38" spans="2:17" ht="15.6" customHeight="1">
      <c r="B38" s="18"/>
      <c r="C38" s="168" t="s">
        <v>46</v>
      </c>
      <c r="D38" s="168"/>
      <c r="E38" s="168"/>
      <c r="F38" s="168"/>
      <c r="G38" s="168"/>
      <c r="H38" s="168"/>
      <c r="I38" s="26"/>
      <c r="J38" s="21"/>
      <c r="K38" s="168" t="s">
        <v>92</v>
      </c>
      <c r="L38" s="168"/>
      <c r="M38" s="168"/>
      <c r="N38" s="168"/>
      <c r="O38" s="168"/>
      <c r="P38" s="19"/>
    </row>
    <row r="39" spans="2:17" ht="15.6" customHeight="1">
      <c r="B39" s="18"/>
      <c r="C39" s="168" t="s">
        <v>47</v>
      </c>
      <c r="D39" s="168"/>
      <c r="E39" s="168"/>
      <c r="F39" s="168"/>
      <c r="G39" s="168"/>
      <c r="H39" s="168"/>
      <c r="I39" s="26"/>
      <c r="J39" s="21"/>
      <c r="K39" s="168" t="s">
        <v>93</v>
      </c>
      <c r="L39" s="168"/>
      <c r="M39" s="168"/>
      <c r="N39" s="168"/>
      <c r="O39" s="168"/>
      <c r="P39" s="19"/>
    </row>
    <row r="40" spans="2:17" ht="15.6" customHeight="1">
      <c r="B40" s="18"/>
      <c r="C40" s="175" t="s">
        <v>48</v>
      </c>
      <c r="D40" s="175"/>
      <c r="E40" s="175"/>
      <c r="F40" s="175"/>
      <c r="G40" s="175"/>
      <c r="H40" s="175"/>
      <c r="I40" s="26"/>
      <c r="J40" s="21"/>
      <c r="K40" s="168" t="s">
        <v>291</v>
      </c>
      <c r="L40" s="168"/>
      <c r="M40" s="168"/>
      <c r="N40" s="168"/>
      <c r="O40" s="168"/>
      <c r="P40" s="19"/>
    </row>
    <row r="41" spans="2:17" ht="15.6" customHeight="1">
      <c r="B41" s="18"/>
      <c r="C41" s="168" t="s">
        <v>50</v>
      </c>
      <c r="D41" s="168"/>
      <c r="E41" s="168"/>
      <c r="F41" s="168"/>
      <c r="G41" s="168"/>
      <c r="H41" s="168"/>
      <c r="I41" s="26"/>
      <c r="J41" s="21"/>
      <c r="K41" s="168" t="s">
        <v>49</v>
      </c>
      <c r="L41" s="168"/>
      <c r="M41" s="168"/>
      <c r="N41" s="168"/>
      <c r="O41" s="168"/>
      <c r="P41" s="19"/>
    </row>
    <row r="42" spans="2:17" ht="15.6" customHeight="1">
      <c r="B42" s="18"/>
      <c r="C42" s="168" t="s">
        <v>52</v>
      </c>
      <c r="D42" s="168"/>
      <c r="E42" s="168"/>
      <c r="F42" s="168"/>
      <c r="G42" s="168"/>
      <c r="H42" s="168"/>
      <c r="I42" s="26"/>
      <c r="J42" s="21"/>
      <c r="K42" s="168" t="s">
        <v>51</v>
      </c>
      <c r="L42" s="168"/>
      <c r="M42" s="168"/>
      <c r="N42" s="168"/>
      <c r="O42" s="168"/>
      <c r="P42" s="19"/>
    </row>
    <row r="43" spans="2:17" ht="15.6" customHeight="1">
      <c r="B43" s="18"/>
      <c r="C43" s="196" t="s">
        <v>54</v>
      </c>
      <c r="D43" s="196"/>
      <c r="E43" s="196"/>
      <c r="F43" s="196"/>
      <c r="G43" s="196"/>
      <c r="H43" s="196"/>
      <c r="I43" s="26"/>
      <c r="J43" s="21"/>
      <c r="K43" s="168" t="s">
        <v>53</v>
      </c>
      <c r="L43" s="168"/>
      <c r="M43" s="168"/>
      <c r="N43" s="168"/>
      <c r="O43" s="168"/>
      <c r="P43" s="19"/>
    </row>
    <row r="44" spans="2:17" ht="15.6" customHeight="1">
      <c r="B44" s="18"/>
      <c r="C44" s="168" t="s">
        <v>56</v>
      </c>
      <c r="D44" s="168"/>
      <c r="E44" s="168"/>
      <c r="F44" s="168"/>
      <c r="G44" s="168"/>
      <c r="H44" s="168"/>
      <c r="I44" s="26"/>
      <c r="J44" s="21"/>
      <c r="K44" s="167" t="s">
        <v>55</v>
      </c>
      <c r="L44" s="167"/>
      <c r="M44" s="167"/>
      <c r="N44" s="167"/>
      <c r="O44" s="167"/>
      <c r="P44" s="19"/>
    </row>
    <row r="45" spans="2:17" ht="15.6" customHeight="1">
      <c r="B45" s="18"/>
      <c r="C45" s="168" t="s">
        <v>57</v>
      </c>
      <c r="D45" s="168"/>
      <c r="E45" s="168"/>
      <c r="F45" s="168"/>
      <c r="G45" s="168"/>
      <c r="H45" s="168"/>
      <c r="I45" s="26"/>
      <c r="J45" s="21"/>
      <c r="K45" s="69"/>
      <c r="L45" s="69"/>
      <c r="M45" s="69"/>
      <c r="N45" s="69"/>
      <c r="O45" s="69"/>
      <c r="P45" s="19"/>
    </row>
    <row r="46" spans="2:17" ht="15.6" customHeight="1">
      <c r="B46" s="18"/>
      <c r="C46" s="168" t="s">
        <v>59</v>
      </c>
      <c r="D46" s="168"/>
      <c r="E46" s="168"/>
      <c r="F46" s="168"/>
      <c r="G46" s="168"/>
      <c r="H46" s="168"/>
      <c r="I46" s="27"/>
      <c r="J46" s="12"/>
      <c r="K46" s="169" t="s">
        <v>58</v>
      </c>
      <c r="L46" s="169"/>
      <c r="M46" s="169"/>
      <c r="N46" s="169"/>
      <c r="O46" s="169"/>
      <c r="P46" s="19"/>
    </row>
    <row r="47" spans="2:17" ht="15.6" customHeight="1">
      <c r="B47" s="18"/>
      <c r="C47" s="168" t="s">
        <v>61</v>
      </c>
      <c r="D47" s="168"/>
      <c r="E47" s="168"/>
      <c r="F47" s="168"/>
      <c r="G47" s="168"/>
      <c r="H47" s="168"/>
      <c r="I47" s="27"/>
      <c r="J47" s="12"/>
      <c r="K47" s="169" t="s">
        <v>60</v>
      </c>
      <c r="L47" s="169"/>
      <c r="M47" s="169"/>
      <c r="N47" s="169"/>
      <c r="O47" s="169"/>
      <c r="P47" s="19"/>
    </row>
    <row r="48" spans="2:17" ht="15.6" customHeight="1">
      <c r="B48" s="18"/>
      <c r="C48" s="177"/>
      <c r="D48" s="177"/>
      <c r="E48" s="177"/>
      <c r="F48" s="177"/>
      <c r="G48" s="177"/>
      <c r="H48" s="177"/>
      <c r="I48" s="19"/>
      <c r="K48" s="169" t="s">
        <v>94</v>
      </c>
      <c r="L48" s="169"/>
      <c r="M48" s="169"/>
      <c r="N48" s="169"/>
      <c r="O48" s="169"/>
      <c r="P48" s="19"/>
    </row>
    <row r="49" spans="2:19" ht="15.6" customHeight="1">
      <c r="B49" s="18"/>
      <c r="C49" s="210" t="s">
        <v>63</v>
      </c>
      <c r="D49" s="210"/>
      <c r="E49" s="210"/>
      <c r="F49" s="210"/>
      <c r="G49" s="210"/>
      <c r="H49" s="210"/>
      <c r="I49" s="27"/>
      <c r="J49" s="12"/>
      <c r="K49" s="167" t="s">
        <v>62</v>
      </c>
      <c r="L49" s="167"/>
      <c r="M49" s="167"/>
      <c r="N49" s="167"/>
      <c r="O49" s="167"/>
      <c r="P49" s="19"/>
    </row>
    <row r="50" spans="2:19" ht="15.6" customHeight="1">
      <c r="B50" s="18"/>
      <c r="C50" s="168" t="s">
        <v>64</v>
      </c>
      <c r="D50" s="168"/>
      <c r="E50" s="168"/>
      <c r="F50" s="168"/>
      <c r="G50" s="168"/>
      <c r="H50" s="168"/>
      <c r="I50" s="27"/>
      <c r="J50" s="12"/>
      <c r="K50" s="167"/>
      <c r="L50" s="167"/>
      <c r="M50" s="167"/>
      <c r="N50" s="167"/>
      <c r="O50" s="167"/>
      <c r="P50" s="19"/>
    </row>
    <row r="51" spans="2:19" ht="15.6" customHeight="1">
      <c r="B51" s="18"/>
      <c r="C51" s="168" t="s">
        <v>65</v>
      </c>
      <c r="D51" s="168"/>
      <c r="E51" s="168"/>
      <c r="F51" s="168"/>
      <c r="G51" s="168"/>
      <c r="H51" s="168"/>
      <c r="I51" s="27"/>
      <c r="J51" s="12"/>
      <c r="K51" s="178"/>
      <c r="L51" s="178"/>
      <c r="M51" s="178"/>
      <c r="N51" s="178"/>
      <c r="O51" s="178"/>
      <c r="P51" s="19"/>
    </row>
    <row r="52" spans="2:19" ht="15.6" customHeight="1">
      <c r="B52" s="18"/>
      <c r="C52" s="168" t="s">
        <v>66</v>
      </c>
      <c r="D52" s="168"/>
      <c r="E52" s="168"/>
      <c r="F52" s="168"/>
      <c r="G52" s="168"/>
      <c r="H52" s="168"/>
      <c r="I52" s="27"/>
      <c r="J52" s="12"/>
      <c r="K52" s="178"/>
      <c r="L52" s="178"/>
      <c r="M52" s="178"/>
      <c r="N52" s="178"/>
      <c r="O52" s="178"/>
      <c r="P52" s="19"/>
    </row>
    <row r="53" spans="2:19" ht="15.6" customHeight="1">
      <c r="B53" s="18"/>
      <c r="C53" s="168" t="s">
        <v>68</v>
      </c>
      <c r="D53" s="168"/>
      <c r="E53" s="168"/>
      <c r="F53" s="168"/>
      <c r="G53" s="168"/>
      <c r="H53" s="168"/>
      <c r="I53" s="27"/>
      <c r="J53" s="12"/>
      <c r="K53" s="184" t="s">
        <v>67</v>
      </c>
      <c r="L53" s="184"/>
      <c r="M53" s="184"/>
      <c r="N53" s="184"/>
      <c r="O53" s="184"/>
      <c r="P53" s="19"/>
    </row>
    <row r="54" spans="2:19" ht="15.6" customHeight="1">
      <c r="B54" s="18"/>
      <c r="C54" s="196" t="s">
        <v>69</v>
      </c>
      <c r="D54" s="196"/>
      <c r="E54" s="196"/>
      <c r="F54" s="196"/>
      <c r="G54" s="196"/>
      <c r="H54" s="196"/>
      <c r="I54" s="27"/>
      <c r="J54" s="12"/>
      <c r="K54" s="37"/>
      <c r="L54" s="37"/>
      <c r="M54" s="37"/>
      <c r="N54" s="37"/>
      <c r="O54" s="37"/>
      <c r="P54" s="19"/>
    </row>
    <row r="55" spans="2:19" ht="15.6" customHeight="1">
      <c r="B55" s="18"/>
      <c r="C55" s="168" t="s">
        <v>70</v>
      </c>
      <c r="D55" s="168"/>
      <c r="E55" s="168"/>
      <c r="F55" s="168"/>
      <c r="G55" s="168"/>
      <c r="H55" s="168"/>
      <c r="I55" s="27"/>
      <c r="J55" s="12"/>
      <c r="K55" s="37"/>
      <c r="L55" s="37"/>
      <c r="M55" s="37"/>
      <c r="N55" s="37"/>
      <c r="O55" s="37"/>
      <c r="P55" s="19"/>
    </row>
    <row r="56" spans="2:19" ht="15.6" customHeight="1">
      <c r="B56" s="18"/>
      <c r="C56" s="168" t="s">
        <v>71</v>
      </c>
      <c r="D56" s="168"/>
      <c r="E56" s="168"/>
      <c r="F56" s="168"/>
      <c r="G56" s="168"/>
      <c r="H56" s="168"/>
      <c r="I56" s="27"/>
      <c r="J56" s="12"/>
      <c r="K56" s="178"/>
      <c r="L56" s="178"/>
      <c r="M56" s="178"/>
      <c r="N56" s="178"/>
      <c r="O56" s="178"/>
      <c r="P56" s="19"/>
    </row>
    <row r="57" spans="2:19" ht="15.6" customHeight="1">
      <c r="B57" s="18"/>
      <c r="C57" s="168" t="s">
        <v>74</v>
      </c>
      <c r="D57" s="168"/>
      <c r="E57" s="168"/>
      <c r="F57" s="168"/>
      <c r="G57" s="168"/>
      <c r="H57" s="168"/>
      <c r="I57" s="27"/>
      <c r="J57" s="12"/>
      <c r="K57" s="40" t="str">
        <f>"계약자         "&amp;G9</f>
        <v>계약자         박상철</v>
      </c>
      <c r="L57" s="59" t="s">
        <v>72</v>
      </c>
      <c r="M57" s="109" t="str">
        <f>"보증인         "&amp;IF($G$14=0,"",$G$14)</f>
        <v xml:space="preserve">보증인         </v>
      </c>
      <c r="N57" s="109"/>
      <c r="O57" s="60" t="s">
        <v>73</v>
      </c>
      <c r="P57" s="19"/>
    </row>
    <row r="58" spans="2:19" ht="15.6" customHeight="1">
      <c r="B58" s="18"/>
      <c r="C58" s="36" t="s">
        <v>75</v>
      </c>
      <c r="D58" s="36"/>
      <c r="E58" s="36"/>
      <c r="F58" s="36"/>
      <c r="G58" s="36"/>
      <c r="H58" s="36"/>
      <c r="I58" s="27"/>
      <c r="J58" s="12"/>
      <c r="K58" s="178"/>
      <c r="L58" s="178"/>
      <c r="M58" s="178"/>
      <c r="N58" s="178"/>
      <c r="O58" s="178"/>
      <c r="P58" s="19"/>
    </row>
    <row r="59" spans="2:19" ht="12" customHeight="1">
      <c r="B59" s="18"/>
      <c r="I59" s="19"/>
      <c r="K59" s="15"/>
      <c r="L59" s="16"/>
      <c r="M59" s="16"/>
      <c r="N59" s="16"/>
      <c r="O59" s="16"/>
      <c r="P59" s="19"/>
    </row>
    <row r="60" spans="2:19" ht="19.95" customHeight="1">
      <c r="B60" s="18"/>
      <c r="C60" s="31" t="s">
        <v>76</v>
      </c>
      <c r="D60" s="197" t="s">
        <v>77</v>
      </c>
      <c r="E60" s="198"/>
      <c r="F60" s="199"/>
      <c r="G60" s="170" t="s">
        <v>78</v>
      </c>
      <c r="H60" s="170"/>
      <c r="I60" s="28"/>
      <c r="J60" s="1"/>
      <c r="K60" s="178"/>
      <c r="L60" s="179"/>
      <c r="M60" s="179"/>
      <c r="N60" s="179"/>
      <c r="O60" s="179"/>
      <c r="P60" s="19"/>
    </row>
    <row r="61" spans="2:19" ht="19.95" customHeight="1" thickBot="1">
      <c r="B61" s="18"/>
      <c r="C61" s="14"/>
      <c r="D61" s="193"/>
      <c r="E61" s="194"/>
      <c r="F61" s="195"/>
      <c r="G61" s="193"/>
      <c r="H61" s="195"/>
      <c r="I61" s="19"/>
      <c r="K61" s="178"/>
      <c r="L61" s="179"/>
      <c r="M61" s="179"/>
      <c r="N61" s="179"/>
      <c r="O61" s="179"/>
      <c r="P61" s="19"/>
    </row>
    <row r="62" spans="2:19" ht="19.95" customHeight="1" thickTop="1">
      <c r="B62" s="18"/>
      <c r="C62" s="32" t="s">
        <v>79</v>
      </c>
      <c r="D62" s="190" t="s">
        <v>80</v>
      </c>
      <c r="E62" s="191"/>
      <c r="F62" s="192"/>
      <c r="G62" s="170" t="s">
        <v>81</v>
      </c>
      <c r="H62" s="170"/>
      <c r="I62" s="19"/>
      <c r="K62" s="178"/>
      <c r="L62" s="179"/>
      <c r="M62" s="179"/>
      <c r="N62" s="179"/>
      <c r="O62" s="179"/>
      <c r="P62" s="19"/>
      <c r="S62" t="s">
        <v>0</v>
      </c>
    </row>
    <row r="63" spans="2:19" ht="19.95" customHeight="1">
      <c r="B63" s="18"/>
      <c r="C63" s="13"/>
      <c r="D63" s="185"/>
      <c r="E63" s="186"/>
      <c r="F63" s="187"/>
      <c r="G63" s="188"/>
      <c r="H63" s="188"/>
      <c r="I63" s="19"/>
      <c r="K63" s="178"/>
      <c r="L63" s="179"/>
      <c r="M63" s="179"/>
      <c r="N63" s="179"/>
      <c r="O63" s="179"/>
      <c r="P63" s="19"/>
    </row>
    <row r="64" spans="2:19" ht="19.95" customHeight="1">
      <c r="B64" s="18"/>
      <c r="C64" s="180" t="s">
        <v>82</v>
      </c>
      <c r="D64" s="181"/>
      <c r="E64" s="181"/>
      <c r="F64" s="181"/>
      <c r="G64" s="181"/>
      <c r="H64" s="182"/>
      <c r="I64" s="19"/>
      <c r="K64" s="178"/>
      <c r="L64" s="179"/>
      <c r="M64" s="179"/>
      <c r="N64" s="179"/>
      <c r="O64" s="179"/>
      <c r="P64" s="19"/>
    </row>
    <row r="65" spans="2:16" ht="15.6" customHeight="1">
      <c r="B65" s="18"/>
      <c r="C65" s="17"/>
      <c r="D65" s="17"/>
      <c r="E65" s="17"/>
      <c r="F65" s="17"/>
      <c r="G65" s="17"/>
      <c r="H65" s="17"/>
      <c r="I65" s="19"/>
      <c r="K65" s="178"/>
      <c r="L65" s="179"/>
      <c r="M65" s="179"/>
      <c r="N65" s="179"/>
      <c r="O65" s="179"/>
      <c r="P65" s="19"/>
    </row>
    <row r="66" spans="2:16" ht="12" customHeight="1">
      <c r="B66" s="18"/>
      <c r="I66" s="19"/>
      <c r="K66" s="15"/>
      <c r="L66" s="16"/>
      <c r="M66" s="16"/>
      <c r="N66" s="16"/>
      <c r="O66" s="16"/>
      <c r="P66" s="19"/>
    </row>
    <row r="67" spans="2:16" ht="15.6" customHeight="1">
      <c r="B67" s="18"/>
      <c r="F67" s="183" t="s">
        <v>83</v>
      </c>
      <c r="G67" s="184"/>
      <c r="H67" s="184"/>
      <c r="I67" s="19"/>
      <c r="K67" s="178"/>
      <c r="L67" s="179"/>
      <c r="M67" s="179"/>
      <c r="N67" s="179"/>
      <c r="O67" s="179"/>
      <c r="P67" s="19"/>
    </row>
    <row r="68" spans="2:16" ht="12" customHeight="1">
      <c r="B68" s="18"/>
      <c r="I68" s="19"/>
      <c r="K68" s="178"/>
      <c r="L68" s="179"/>
      <c r="M68" s="179"/>
      <c r="N68" s="179"/>
      <c r="O68" s="179"/>
      <c r="P68" s="19"/>
    </row>
    <row r="69" spans="2:16" ht="15.6" customHeight="1">
      <c r="B69" s="18"/>
      <c r="C69" s="40" t="str">
        <f>"계약자       "&amp;G9</f>
        <v>계약자       박상철</v>
      </c>
      <c r="D69" s="189" t="s">
        <v>73</v>
      </c>
      <c r="E69" s="189"/>
      <c r="F69" s="109" t="str">
        <f>"보증인         "&amp;IF($G$14=0,"",$G$14)</f>
        <v xml:space="preserve">보증인         </v>
      </c>
      <c r="G69" s="109"/>
      <c r="H69" s="61" t="s">
        <v>84</v>
      </c>
      <c r="I69" s="19"/>
      <c r="K69" s="178"/>
      <c r="L69" s="179"/>
      <c r="M69" s="179"/>
      <c r="N69" s="179"/>
      <c r="O69" s="179"/>
      <c r="P69" s="19"/>
    </row>
    <row r="70" spans="2:16" ht="12" customHeight="1">
      <c r="B70" s="22"/>
      <c r="C70" s="23"/>
      <c r="D70" s="23"/>
      <c r="E70" s="23"/>
      <c r="F70" s="23"/>
      <c r="G70" s="23"/>
      <c r="H70" s="23"/>
      <c r="I70" s="24"/>
      <c r="J70" s="23"/>
      <c r="K70" s="23"/>
      <c r="L70" s="23"/>
      <c r="M70" s="23"/>
      <c r="N70" s="23"/>
      <c r="O70" s="23"/>
      <c r="P70" s="24"/>
    </row>
    <row r="71" spans="2:16" ht="19.5" customHeight="1">
      <c r="B71" t="s">
        <v>294</v>
      </c>
    </row>
    <row r="74" spans="2:16">
      <c r="B74" s="200"/>
      <c r="C74" s="200"/>
      <c r="D74" s="200"/>
      <c r="E74" s="200"/>
      <c r="F74" s="200"/>
      <c r="G74" s="200"/>
      <c r="H74" s="200"/>
    </row>
    <row r="75" spans="2:16">
      <c r="B75" s="200"/>
      <c r="C75" s="200"/>
      <c r="D75" s="200"/>
      <c r="E75" s="200"/>
      <c r="F75" s="200"/>
      <c r="G75" s="200"/>
      <c r="H75" s="200"/>
    </row>
    <row r="76" spans="2:16">
      <c r="B76" s="200"/>
      <c r="C76" s="200"/>
      <c r="D76" s="200"/>
      <c r="E76" s="200"/>
      <c r="F76" s="200"/>
      <c r="G76" s="200"/>
      <c r="H76" s="200"/>
    </row>
    <row r="77" spans="2:16">
      <c r="B77" s="200"/>
      <c r="C77" s="200"/>
      <c r="D77" s="200"/>
      <c r="E77" s="200"/>
      <c r="F77" s="200"/>
      <c r="G77" s="200"/>
      <c r="H77" s="200"/>
    </row>
    <row r="78" spans="2:16">
      <c r="B78" s="200"/>
      <c r="C78" s="200"/>
      <c r="D78" s="200"/>
      <c r="E78" s="200"/>
      <c r="F78" s="200"/>
      <c r="G78" s="200"/>
      <c r="H78" s="200"/>
    </row>
    <row r="79" spans="2:16">
      <c r="B79" s="200"/>
      <c r="C79" s="200"/>
      <c r="D79" s="200"/>
      <c r="E79" s="200"/>
      <c r="F79" s="200"/>
      <c r="G79" s="200"/>
      <c r="H79" s="200"/>
    </row>
    <row r="80" spans="2:16">
      <c r="B80" s="200"/>
      <c r="C80" s="200"/>
      <c r="D80" s="200"/>
      <c r="E80" s="200"/>
      <c r="F80" s="200"/>
      <c r="G80" s="200"/>
      <c r="H80" s="200"/>
    </row>
    <row r="81" spans="2:8">
      <c r="B81" s="200"/>
      <c r="C81" s="200"/>
      <c r="D81" s="200"/>
      <c r="E81" s="200"/>
      <c r="F81" s="200"/>
      <c r="G81" s="200"/>
      <c r="H81" s="200"/>
    </row>
    <row r="82" spans="2:8">
      <c r="B82" s="200"/>
      <c r="C82" s="200"/>
      <c r="D82" s="200"/>
      <c r="E82" s="200"/>
      <c r="F82" s="200"/>
      <c r="G82" s="200"/>
      <c r="H82" s="200"/>
    </row>
    <row r="83" spans="2:8">
      <c r="B83" s="200"/>
      <c r="C83" s="200"/>
      <c r="D83" s="200"/>
      <c r="E83" s="200"/>
      <c r="F83" s="200"/>
      <c r="G83" s="200"/>
      <c r="H83" s="200"/>
    </row>
    <row r="84" spans="2:8">
      <c r="B84" s="200"/>
      <c r="C84" s="200"/>
      <c r="D84" s="200"/>
      <c r="E84" s="200"/>
      <c r="F84" s="200"/>
      <c r="G84" s="200"/>
      <c r="H84" s="200"/>
    </row>
    <row r="85" spans="2:8">
      <c r="B85" s="200"/>
      <c r="C85" s="200"/>
      <c r="D85" s="200"/>
      <c r="E85" s="200"/>
      <c r="F85" s="200"/>
      <c r="G85" s="200"/>
      <c r="H85" s="200"/>
    </row>
    <row r="86" spans="2:8">
      <c r="B86" s="200"/>
      <c r="C86" s="200"/>
      <c r="D86" s="200"/>
      <c r="E86" s="200"/>
      <c r="F86" s="200"/>
      <c r="G86" s="200"/>
      <c r="H86" s="200"/>
    </row>
    <row r="87" spans="2:8">
      <c r="B87" s="200"/>
      <c r="C87" s="200"/>
      <c r="D87" s="200"/>
      <c r="E87" s="200"/>
      <c r="F87" s="200"/>
      <c r="G87" s="200"/>
      <c r="H87" s="200"/>
    </row>
    <row r="88" spans="2:8">
      <c r="B88" s="200"/>
      <c r="C88" s="200"/>
      <c r="D88" s="200"/>
      <c r="E88" s="200"/>
      <c r="F88" s="200"/>
      <c r="G88" s="200"/>
      <c r="H88" s="200"/>
    </row>
    <row r="89" spans="2:8">
      <c r="B89" s="200"/>
      <c r="C89" s="200"/>
      <c r="D89" s="200"/>
      <c r="E89" s="200"/>
      <c r="F89" s="200"/>
      <c r="G89" s="200"/>
      <c r="H89" s="200"/>
    </row>
    <row r="90" spans="2:8">
      <c r="B90" s="200"/>
      <c r="C90" s="200"/>
      <c r="D90" s="200"/>
      <c r="E90" s="200"/>
      <c r="F90" s="200"/>
      <c r="G90" s="200"/>
      <c r="H90" s="200"/>
    </row>
    <row r="91" spans="2:8">
      <c r="B91" s="200"/>
      <c r="C91" s="200"/>
      <c r="D91" s="200"/>
      <c r="E91" s="200"/>
      <c r="F91" s="200"/>
      <c r="G91" s="200"/>
      <c r="H91" s="200"/>
    </row>
  </sheetData>
  <mergeCells count="163">
    <mergeCell ref="B91:H91"/>
    <mergeCell ref="B3:O3"/>
    <mergeCell ref="B2:D2"/>
    <mergeCell ref="B84:H84"/>
    <mergeCell ref="B85:H85"/>
    <mergeCell ref="B86:H86"/>
    <mergeCell ref="B87:H87"/>
    <mergeCell ref="B88:H88"/>
    <mergeCell ref="B79:H79"/>
    <mergeCell ref="B80:H80"/>
    <mergeCell ref="B81:H81"/>
    <mergeCell ref="B82:H82"/>
    <mergeCell ref="B83:H83"/>
    <mergeCell ref="B74:H74"/>
    <mergeCell ref="B75:H75"/>
    <mergeCell ref="B76:H76"/>
    <mergeCell ref="B77:H77"/>
    <mergeCell ref="B78:H78"/>
    <mergeCell ref="H5:J6"/>
    <mergeCell ref="G9:J9"/>
    <mergeCell ref="G10:J10"/>
    <mergeCell ref="K47:O47"/>
    <mergeCell ref="K48:O48"/>
    <mergeCell ref="B89:H89"/>
    <mergeCell ref="B90:H90"/>
    <mergeCell ref="D28:P28"/>
    <mergeCell ref="L24:P24"/>
    <mergeCell ref="G22:J22"/>
    <mergeCell ref="G23:J23"/>
    <mergeCell ref="G24:J24"/>
    <mergeCell ref="K56:O56"/>
    <mergeCell ref="K53:O53"/>
    <mergeCell ref="K52:O52"/>
    <mergeCell ref="K51:O51"/>
    <mergeCell ref="K50:O50"/>
    <mergeCell ref="C37:H37"/>
    <mergeCell ref="K37:O37"/>
    <mergeCell ref="C43:H43"/>
    <mergeCell ref="C38:H38"/>
    <mergeCell ref="C52:H52"/>
    <mergeCell ref="C55:H55"/>
    <mergeCell ref="C53:H53"/>
    <mergeCell ref="B28:C29"/>
    <mergeCell ref="C51:H51"/>
    <mergeCell ref="C45:H45"/>
    <mergeCell ref="C46:H46"/>
    <mergeCell ref="C47:H47"/>
    <mergeCell ref="C49:H49"/>
    <mergeCell ref="D62:F62"/>
    <mergeCell ref="G62:H62"/>
    <mergeCell ref="C44:H44"/>
    <mergeCell ref="C56:H56"/>
    <mergeCell ref="C57:H57"/>
    <mergeCell ref="K68:O68"/>
    <mergeCell ref="K58:O58"/>
    <mergeCell ref="K60:O60"/>
    <mergeCell ref="K61:O61"/>
    <mergeCell ref="K62:O62"/>
    <mergeCell ref="D61:F61"/>
    <mergeCell ref="C54:H54"/>
    <mergeCell ref="G61:H61"/>
    <mergeCell ref="D60:F60"/>
    <mergeCell ref="K69:O69"/>
    <mergeCell ref="K63:O63"/>
    <mergeCell ref="K64:O64"/>
    <mergeCell ref="K65:O65"/>
    <mergeCell ref="K67:O67"/>
    <mergeCell ref="C64:H64"/>
    <mergeCell ref="F67:H67"/>
    <mergeCell ref="D63:F63"/>
    <mergeCell ref="G63:H63"/>
    <mergeCell ref="D69:E69"/>
    <mergeCell ref="F69:G69"/>
    <mergeCell ref="D29:P29"/>
    <mergeCell ref="K49:O49"/>
    <mergeCell ref="K38:O38"/>
    <mergeCell ref="K43:O43"/>
    <mergeCell ref="K44:O44"/>
    <mergeCell ref="K46:O46"/>
    <mergeCell ref="G60:H60"/>
    <mergeCell ref="C32:O32"/>
    <mergeCell ref="C33:O33"/>
    <mergeCell ref="C35:H35"/>
    <mergeCell ref="K35:O35"/>
    <mergeCell ref="C40:H40"/>
    <mergeCell ref="C41:H41"/>
    <mergeCell ref="C42:H42"/>
    <mergeCell ref="K36:O36"/>
    <mergeCell ref="K39:O39"/>
    <mergeCell ref="K40:O40"/>
    <mergeCell ref="K41:O41"/>
    <mergeCell ref="C31:O31"/>
    <mergeCell ref="C48:H48"/>
    <mergeCell ref="C36:H36"/>
    <mergeCell ref="C39:H39"/>
    <mergeCell ref="C50:H50"/>
    <mergeCell ref="K42:O42"/>
    <mergeCell ref="E12:F12"/>
    <mergeCell ref="E24:F24"/>
    <mergeCell ref="G11:J11"/>
    <mergeCell ref="G12:J12"/>
    <mergeCell ref="G14:J14"/>
    <mergeCell ref="G15:J15"/>
    <mergeCell ref="G16:J16"/>
    <mergeCell ref="G17:J17"/>
    <mergeCell ref="E16:F16"/>
    <mergeCell ref="E17:F17"/>
    <mergeCell ref="E18:P18"/>
    <mergeCell ref="E15:F15"/>
    <mergeCell ref="L23:P23"/>
    <mergeCell ref="L14:P14"/>
    <mergeCell ref="L15:P15"/>
    <mergeCell ref="L22:O22"/>
    <mergeCell ref="L21:M21"/>
    <mergeCell ref="N21:P21"/>
    <mergeCell ref="B6:D6"/>
    <mergeCell ref="B7:D7"/>
    <mergeCell ref="B9:D13"/>
    <mergeCell ref="B14:D18"/>
    <mergeCell ref="B19:D23"/>
    <mergeCell ref="B24:D26"/>
    <mergeCell ref="L9:P9"/>
    <mergeCell ref="L10:P10"/>
    <mergeCell ref="E13:P13"/>
    <mergeCell ref="K5:K6"/>
    <mergeCell ref="L11:P11"/>
    <mergeCell ref="L12:P12"/>
    <mergeCell ref="E26:F26"/>
    <mergeCell ref="E19:F19"/>
    <mergeCell ref="G25:J25"/>
    <mergeCell ref="E25:F25"/>
    <mergeCell ref="G19:J19"/>
    <mergeCell ref="G20:J20"/>
    <mergeCell ref="B5:D5"/>
    <mergeCell ref="G21:J21"/>
    <mergeCell ref="E7:K7"/>
    <mergeCell ref="E9:F9"/>
    <mergeCell ref="E10:F10"/>
    <mergeCell ref="E11:F11"/>
    <mergeCell ref="B27:I27"/>
    <mergeCell ref="J27:P27"/>
    <mergeCell ref="E5:G5"/>
    <mergeCell ref="E6:G6"/>
    <mergeCell ref="E2:F2"/>
    <mergeCell ref="M57:N57"/>
    <mergeCell ref="L5:M5"/>
    <mergeCell ref="L6:M6"/>
    <mergeCell ref="L7:M7"/>
    <mergeCell ref="N5:P5"/>
    <mergeCell ref="N6:P6"/>
    <mergeCell ref="N7:P7"/>
    <mergeCell ref="L16:P16"/>
    <mergeCell ref="L17:P17"/>
    <mergeCell ref="L19:P19"/>
    <mergeCell ref="L20:P20"/>
    <mergeCell ref="E20:F20"/>
    <mergeCell ref="E21:F21"/>
    <mergeCell ref="E22:F22"/>
    <mergeCell ref="E23:F23"/>
    <mergeCell ref="E14:F14"/>
    <mergeCell ref="L26:P26"/>
    <mergeCell ref="G26:J26"/>
    <mergeCell ref="M25:P25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53" orientation="portrait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Group Box 15">
              <controlPr defaultSize="0" autoFill="0" autoPict="0" macro="[0]!그룹상자15_Click">
                <anchor moveWithCells="1">
                  <from>
                    <xdr:col>17</xdr:col>
                    <xdr:colOff>274320</xdr:colOff>
                    <xdr:row>3</xdr:row>
                    <xdr:rowOff>22860</xdr:rowOff>
                  </from>
                  <to>
                    <xdr:col>21</xdr:col>
                    <xdr:colOff>533400</xdr:colOff>
                    <xdr:row>4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CC35A-98C0-464A-AB04-362E6C613B76}">
  <sheetPr codeName="Sheet1"/>
  <dimension ref="A1:S217"/>
  <sheetViews>
    <sheetView showGridLines="0" showZeros="0" tabSelected="1" topLeftCell="A17" zoomScaleNormal="100" zoomScaleSheetLayoutView="100" workbookViewId="0">
      <selection activeCell="I143" sqref="I143:N143"/>
    </sheetView>
  </sheetViews>
  <sheetFormatPr defaultColWidth="10.19921875" defaultRowHeight="17.399999999999999"/>
  <cols>
    <col min="1" max="1" width="4.59765625" customWidth="1"/>
    <col min="2" max="2" width="11.09765625" customWidth="1"/>
    <col min="3" max="3" width="22.8984375" customWidth="1"/>
    <col min="4" max="6" width="11.09765625" customWidth="1"/>
    <col min="7" max="7" width="12.8984375" customWidth="1"/>
    <col min="8" max="8" width="1.5" customWidth="1"/>
    <col min="9" max="9" width="6.5" customWidth="1"/>
    <col min="10" max="10" width="5.19921875" customWidth="1"/>
    <col min="11" max="13" width="11.09765625" customWidth="1"/>
    <col min="14" max="14" width="16.19921875" customWidth="1"/>
    <col min="15" max="15" width="4.59765625" customWidth="1"/>
    <col min="16" max="17" width="9" customWidth="1"/>
    <col min="18" max="18" width="13.5" customWidth="1"/>
  </cols>
  <sheetData>
    <row r="1" spans="1:19">
      <c r="A1" t="s">
        <v>0</v>
      </c>
    </row>
    <row r="2" spans="1:19" ht="27.75" customHeight="1">
      <c r="B2" s="232" t="s">
        <v>87</v>
      </c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</row>
    <row r="3" spans="1:19">
      <c r="B3" s="211"/>
      <c r="C3" s="211"/>
      <c r="D3" s="211"/>
      <c r="E3" s="211"/>
      <c r="F3" s="211"/>
      <c r="G3" s="211"/>
      <c r="H3" s="1"/>
      <c r="J3" s="1"/>
      <c r="K3" s="1"/>
      <c r="L3" s="1"/>
      <c r="M3" s="1"/>
      <c r="N3" s="1"/>
    </row>
    <row r="4" spans="1:19" ht="12.9" customHeight="1">
      <c r="B4" s="217" t="s">
        <v>85</v>
      </c>
      <c r="C4" s="217"/>
      <c r="D4" s="217"/>
      <c r="E4" s="217"/>
      <c r="F4" s="217"/>
      <c r="G4" s="217"/>
      <c r="H4" s="42"/>
      <c r="I4" s="217" t="s">
        <v>155</v>
      </c>
      <c r="J4" s="217"/>
      <c r="K4" s="217"/>
      <c r="L4" s="217"/>
      <c r="M4" s="217"/>
      <c r="N4" s="217"/>
    </row>
    <row r="5" spans="1:19" ht="12.9" customHeight="1">
      <c r="B5" s="177" t="s">
        <v>449</v>
      </c>
      <c r="C5" s="177"/>
      <c r="D5" s="177"/>
      <c r="E5" s="177"/>
      <c r="F5" s="177"/>
      <c r="G5" s="177"/>
      <c r="H5" s="41"/>
      <c r="I5" s="218" t="s">
        <v>156</v>
      </c>
      <c r="J5" s="218"/>
      <c r="K5" s="218"/>
      <c r="L5" s="218"/>
      <c r="M5" s="218"/>
      <c r="N5" s="218"/>
    </row>
    <row r="6" spans="1:19" ht="12.9" customHeight="1">
      <c r="B6" s="177"/>
      <c r="C6" s="177"/>
      <c r="D6" s="177"/>
      <c r="E6" s="177"/>
      <c r="F6" s="177"/>
      <c r="G6" s="177"/>
      <c r="H6" s="41"/>
      <c r="I6" s="231" t="s">
        <v>157</v>
      </c>
      <c r="J6" s="231"/>
      <c r="K6" s="231"/>
      <c r="L6" s="231"/>
      <c r="M6" s="231"/>
      <c r="N6" s="231"/>
    </row>
    <row r="7" spans="1:19" ht="12.9" customHeight="1">
      <c r="B7" s="217" t="s">
        <v>86</v>
      </c>
      <c r="C7" s="217"/>
      <c r="D7" s="217"/>
      <c r="E7" s="217"/>
      <c r="F7" s="217"/>
      <c r="G7" s="217"/>
      <c r="H7" s="41"/>
      <c r="I7" s="231" t="s">
        <v>302</v>
      </c>
      <c r="J7" s="231"/>
      <c r="K7" s="231"/>
      <c r="L7" s="231"/>
      <c r="M7" s="231"/>
      <c r="N7" s="231"/>
    </row>
    <row r="8" spans="1:19" ht="12.9" customHeight="1">
      <c r="B8" s="177" t="s">
        <v>99</v>
      </c>
      <c r="C8" s="177"/>
      <c r="D8" s="177"/>
      <c r="E8" s="177"/>
      <c r="F8" s="177"/>
      <c r="G8" s="177"/>
      <c r="H8" s="42"/>
      <c r="I8" s="231"/>
      <c r="J8" s="231"/>
      <c r="K8" s="231"/>
      <c r="L8" s="231"/>
      <c r="M8" s="231"/>
      <c r="N8" s="231"/>
    </row>
    <row r="9" spans="1:19" ht="12.9" customHeight="1">
      <c r="B9" s="177" t="s">
        <v>100</v>
      </c>
      <c r="C9" s="177"/>
      <c r="D9" s="177"/>
      <c r="E9" s="177"/>
      <c r="F9" s="177"/>
      <c r="G9" s="177"/>
      <c r="H9" s="41"/>
      <c r="I9" s="217" t="s">
        <v>158</v>
      </c>
      <c r="J9" s="217"/>
      <c r="K9" s="217"/>
      <c r="L9" s="217"/>
      <c r="M9" s="217"/>
      <c r="N9" s="217"/>
      <c r="O9" s="41"/>
      <c r="P9" s="41"/>
      <c r="Q9" t="s">
        <v>0</v>
      </c>
    </row>
    <row r="10" spans="1:19" ht="24.75" customHeight="1">
      <c r="B10" s="214" t="s">
        <v>101</v>
      </c>
      <c r="C10" s="216"/>
      <c r="D10" s="216"/>
      <c r="E10" s="214"/>
      <c r="F10" s="214"/>
      <c r="G10" s="214"/>
      <c r="H10" s="45"/>
      <c r="I10" s="218" t="s">
        <v>159</v>
      </c>
      <c r="J10" s="218"/>
      <c r="K10" s="218"/>
      <c r="L10" s="218"/>
      <c r="M10" s="218"/>
      <c r="N10" s="218"/>
      <c r="S10">
        <v>14</v>
      </c>
    </row>
    <row r="11" spans="1:19" ht="31.5" customHeight="1">
      <c r="B11" s="214" t="s">
        <v>102</v>
      </c>
      <c r="C11" s="216"/>
      <c r="D11" s="216"/>
      <c r="E11" s="214"/>
      <c r="F11" s="214"/>
      <c r="G11" s="214"/>
      <c r="H11" s="45"/>
      <c r="I11" s="218" t="s">
        <v>160</v>
      </c>
      <c r="J11" s="218"/>
      <c r="K11" s="218"/>
      <c r="L11" s="218"/>
      <c r="M11" s="218"/>
      <c r="N11" s="218"/>
      <c r="O11" s="101"/>
      <c r="P11" s="101"/>
    </row>
    <row r="12" spans="1:19" ht="12.9" customHeight="1">
      <c r="B12" s="177" t="s">
        <v>312</v>
      </c>
      <c r="C12" s="177"/>
      <c r="D12" s="177"/>
      <c r="E12" s="177"/>
      <c r="F12" s="177"/>
      <c r="G12" s="177"/>
      <c r="H12" s="45"/>
      <c r="I12" s="218" t="s">
        <v>161</v>
      </c>
      <c r="J12" s="218"/>
      <c r="K12" s="218"/>
      <c r="L12" s="218"/>
      <c r="M12" s="218"/>
      <c r="N12" s="218"/>
    </row>
    <row r="13" spans="1:19" ht="12.9" customHeight="1">
      <c r="B13" s="177" t="s">
        <v>103</v>
      </c>
      <c r="C13" s="177"/>
      <c r="D13" s="177"/>
      <c r="E13" s="177"/>
      <c r="F13" s="177"/>
      <c r="G13" s="177"/>
      <c r="H13" s="46"/>
      <c r="I13" s="218" t="s">
        <v>162</v>
      </c>
      <c r="J13" s="218"/>
      <c r="K13" s="218"/>
      <c r="L13" s="218"/>
      <c r="M13" s="218"/>
      <c r="N13" s="218"/>
    </row>
    <row r="14" spans="1:19" ht="12.9" customHeight="1">
      <c r="B14" s="177" t="s">
        <v>104</v>
      </c>
      <c r="C14" s="177"/>
      <c r="D14" s="177"/>
      <c r="E14" s="177"/>
      <c r="F14" s="177"/>
      <c r="G14" s="177"/>
      <c r="H14" s="45"/>
      <c r="I14" s="218" t="s">
        <v>313</v>
      </c>
      <c r="J14" s="218"/>
      <c r="K14" s="218"/>
      <c r="L14" s="218"/>
      <c r="M14" s="218"/>
      <c r="N14" s="218"/>
    </row>
    <row r="15" spans="1:19" ht="12.9" customHeight="1">
      <c r="B15" s="177" t="s">
        <v>105</v>
      </c>
      <c r="C15" s="177"/>
      <c r="D15" s="177"/>
      <c r="E15" s="177"/>
      <c r="F15" s="177"/>
      <c r="G15" s="177"/>
      <c r="H15" s="45"/>
      <c r="I15" s="218" t="s">
        <v>163</v>
      </c>
      <c r="J15" s="218"/>
      <c r="K15" s="218"/>
      <c r="L15" s="218"/>
      <c r="M15" s="218"/>
      <c r="N15" s="218"/>
    </row>
    <row r="16" spans="1:19" ht="12.9" customHeight="1">
      <c r="B16" s="177" t="s">
        <v>106</v>
      </c>
      <c r="C16" s="177"/>
      <c r="D16" s="177"/>
      <c r="E16" s="177"/>
      <c r="F16" s="177"/>
      <c r="G16" s="177"/>
      <c r="H16" s="46"/>
      <c r="I16" s="218"/>
      <c r="J16" s="218"/>
      <c r="K16" s="218"/>
      <c r="L16" s="218"/>
      <c r="M16" s="218"/>
      <c r="N16" s="218"/>
    </row>
    <row r="17" spans="2:19" ht="12.9" customHeight="1">
      <c r="B17" s="177" t="s">
        <v>107</v>
      </c>
      <c r="C17" s="177"/>
      <c r="D17" s="177"/>
      <c r="E17" s="177"/>
      <c r="F17" s="177"/>
      <c r="G17" s="177"/>
      <c r="H17" s="45"/>
      <c r="I17" s="217" t="s">
        <v>164</v>
      </c>
      <c r="J17" s="217"/>
      <c r="K17" s="217"/>
      <c r="L17" s="217"/>
      <c r="M17" s="217"/>
      <c r="N17" s="217"/>
    </row>
    <row r="18" spans="2:19" ht="12.9" customHeight="1">
      <c r="B18" s="177" t="s">
        <v>108</v>
      </c>
      <c r="C18" s="177"/>
      <c r="D18" s="177"/>
      <c r="E18" s="177"/>
      <c r="F18" s="177"/>
      <c r="G18" s="177"/>
      <c r="H18" s="46"/>
      <c r="I18" s="218" t="s">
        <v>314</v>
      </c>
      <c r="J18" s="218"/>
      <c r="K18" s="218"/>
      <c r="L18" s="218"/>
      <c r="M18" s="218"/>
      <c r="N18" s="218"/>
    </row>
    <row r="19" spans="2:19" ht="12.9" customHeight="1">
      <c r="B19" s="68" t="s">
        <v>109</v>
      </c>
      <c r="C19" s="50"/>
      <c r="D19" s="50"/>
      <c r="E19" s="68"/>
      <c r="F19" s="68"/>
      <c r="G19" s="68"/>
      <c r="H19" s="45"/>
      <c r="I19" s="220" t="s">
        <v>308</v>
      </c>
      <c r="J19" s="220"/>
      <c r="K19" s="220"/>
      <c r="L19" s="220"/>
      <c r="M19" s="220"/>
      <c r="N19" s="220"/>
    </row>
    <row r="20" spans="2:19" ht="12.9" customHeight="1">
      <c r="B20" s="68" t="s">
        <v>110</v>
      </c>
      <c r="C20" s="50"/>
      <c r="D20" s="50"/>
      <c r="E20" s="68"/>
      <c r="F20" s="68"/>
      <c r="G20" s="68"/>
      <c r="H20" s="46"/>
      <c r="I20" s="220" t="s">
        <v>315</v>
      </c>
      <c r="J20" s="220"/>
      <c r="K20" s="220"/>
      <c r="L20" s="220"/>
      <c r="M20" s="220"/>
      <c r="N20" s="220"/>
      <c r="S20" t="s">
        <v>419</v>
      </c>
    </row>
    <row r="21" spans="2:19" ht="12.9" customHeight="1">
      <c r="B21" s="214" t="s">
        <v>111</v>
      </c>
      <c r="C21" s="214"/>
      <c r="D21" s="214"/>
      <c r="E21" s="214"/>
      <c r="F21" s="214"/>
      <c r="G21" s="214"/>
      <c r="H21" s="45"/>
      <c r="I21" s="220" t="s">
        <v>165</v>
      </c>
      <c r="J21" s="220"/>
      <c r="K21" s="220"/>
      <c r="L21" s="220"/>
      <c r="M21" s="220"/>
      <c r="N21" s="220"/>
    </row>
    <row r="22" spans="2:19" ht="12.9" customHeight="1">
      <c r="B22" s="221" t="s">
        <v>112</v>
      </c>
      <c r="C22" s="222"/>
      <c r="D22" s="222"/>
      <c r="E22" s="222"/>
      <c r="F22" s="222"/>
      <c r="G22" s="222"/>
      <c r="H22" s="46"/>
      <c r="I22" s="220" t="s">
        <v>166</v>
      </c>
      <c r="J22" s="220"/>
      <c r="K22" s="220"/>
      <c r="L22" s="220"/>
      <c r="M22" s="220"/>
      <c r="N22" s="220"/>
    </row>
    <row r="23" spans="2:19" ht="12.9" customHeight="1">
      <c r="B23" s="221" t="s">
        <v>113</v>
      </c>
      <c r="C23" s="222"/>
      <c r="D23" s="222"/>
      <c r="E23" s="222"/>
      <c r="F23" s="222"/>
      <c r="G23" s="222"/>
      <c r="H23" s="45"/>
      <c r="I23" s="220" t="s">
        <v>316</v>
      </c>
      <c r="J23" s="220"/>
      <c r="K23" s="220"/>
      <c r="L23" s="220"/>
      <c r="M23" s="220"/>
      <c r="N23" s="220"/>
    </row>
    <row r="24" spans="2:19" ht="12.9" customHeight="1">
      <c r="B24" s="221" t="s">
        <v>114</v>
      </c>
      <c r="C24" s="221"/>
      <c r="D24" s="221"/>
      <c r="E24" s="221"/>
      <c r="F24" s="221"/>
      <c r="G24" s="221"/>
      <c r="H24" s="56"/>
      <c r="I24" s="220" t="s">
        <v>167</v>
      </c>
      <c r="J24" s="220"/>
      <c r="K24" s="220"/>
      <c r="L24" s="220"/>
      <c r="M24" s="220"/>
      <c r="N24" s="220"/>
      <c r="O24" s="46"/>
      <c r="P24" s="46"/>
    </row>
    <row r="25" spans="2:19" ht="12.9" customHeight="1">
      <c r="B25" s="221" t="s">
        <v>115</v>
      </c>
      <c r="C25" s="177"/>
      <c r="D25" s="177"/>
      <c r="E25" s="177"/>
      <c r="F25" s="177"/>
      <c r="G25" s="230"/>
      <c r="H25" s="56"/>
      <c r="I25" s="220" t="s">
        <v>168</v>
      </c>
      <c r="J25" s="220"/>
      <c r="K25" s="220"/>
      <c r="L25" s="220"/>
      <c r="M25" s="220"/>
      <c r="N25" s="220"/>
      <c r="O25" s="56"/>
      <c r="P25" s="56"/>
    </row>
    <row r="26" spans="2:19" ht="12.9" customHeight="1">
      <c r="B26" s="221" t="s">
        <v>116</v>
      </c>
      <c r="C26" s="221"/>
      <c r="D26" s="221"/>
      <c r="E26" s="221"/>
      <c r="F26" s="221"/>
      <c r="G26" s="221"/>
      <c r="H26" s="42"/>
      <c r="I26" s="220" t="s">
        <v>169</v>
      </c>
      <c r="J26" s="220"/>
      <c r="K26" s="220"/>
      <c r="L26" s="220"/>
      <c r="M26" s="220"/>
      <c r="N26" s="220"/>
      <c r="O26" s="57"/>
      <c r="P26" s="57"/>
    </row>
    <row r="27" spans="2:19" ht="12.9" customHeight="1">
      <c r="B27" s="221" t="s">
        <v>117</v>
      </c>
      <c r="C27" s="177"/>
      <c r="D27" s="177"/>
      <c r="E27" s="177"/>
      <c r="F27" s="177"/>
      <c r="G27" s="230"/>
      <c r="H27" s="56"/>
      <c r="I27" s="220" t="s">
        <v>317</v>
      </c>
      <c r="J27" s="220"/>
      <c r="K27" s="220"/>
      <c r="L27" s="220"/>
      <c r="M27" s="220"/>
      <c r="N27" s="220"/>
      <c r="O27" s="56"/>
      <c r="P27" s="56"/>
    </row>
    <row r="28" spans="2:19" ht="12.9" customHeight="1">
      <c r="B28" s="221" t="s">
        <v>118</v>
      </c>
      <c r="C28" s="221"/>
      <c r="D28" s="221"/>
      <c r="E28" s="221"/>
      <c r="F28" s="221"/>
      <c r="G28" s="221"/>
      <c r="H28" s="43"/>
      <c r="I28" s="220" t="s">
        <v>170</v>
      </c>
      <c r="J28" s="220"/>
      <c r="K28" s="220"/>
      <c r="L28" s="220"/>
      <c r="M28" s="220"/>
      <c r="N28" s="220"/>
    </row>
    <row r="29" spans="2:19" ht="12.9" customHeight="1">
      <c r="B29" s="221" t="s">
        <v>119</v>
      </c>
      <c r="C29" s="177"/>
      <c r="D29" s="177"/>
      <c r="E29" s="177"/>
      <c r="F29" s="177"/>
      <c r="G29" s="230"/>
      <c r="H29" s="43"/>
      <c r="I29" s="220"/>
      <c r="J29" s="220"/>
      <c r="K29" s="220"/>
      <c r="L29" s="220"/>
      <c r="M29" s="220"/>
      <c r="N29" s="220"/>
    </row>
    <row r="30" spans="2:19" ht="16.5" customHeight="1">
      <c r="B30" s="221" t="s">
        <v>318</v>
      </c>
      <c r="C30" s="221"/>
      <c r="D30" s="221"/>
      <c r="E30" s="221"/>
      <c r="F30" s="221"/>
      <c r="G30" s="221"/>
      <c r="H30" s="41"/>
      <c r="I30" s="215" t="s">
        <v>171</v>
      </c>
      <c r="J30" s="215"/>
      <c r="K30" s="215"/>
      <c r="L30" s="215"/>
      <c r="M30" s="215"/>
      <c r="N30" s="215"/>
    </row>
    <row r="31" spans="2:19" ht="12.9" customHeight="1">
      <c r="B31" s="220" t="s">
        <v>120</v>
      </c>
      <c r="C31" s="220"/>
      <c r="D31" s="220"/>
      <c r="E31" s="220"/>
      <c r="F31" s="220"/>
      <c r="G31" s="220"/>
      <c r="H31" s="41"/>
      <c r="I31" s="220" t="s">
        <v>319</v>
      </c>
      <c r="J31" s="220"/>
      <c r="K31" s="220"/>
      <c r="L31" s="220"/>
      <c r="M31" s="220"/>
      <c r="N31" s="220"/>
    </row>
    <row r="32" spans="2:19" ht="12.9" customHeight="1">
      <c r="B32" s="221" t="s">
        <v>121</v>
      </c>
      <c r="C32" s="221"/>
      <c r="D32" s="221"/>
      <c r="E32" s="221"/>
      <c r="F32" s="221"/>
      <c r="G32" s="221"/>
      <c r="H32" s="43"/>
      <c r="I32" s="220" t="s">
        <v>172</v>
      </c>
      <c r="J32" s="220"/>
      <c r="K32" s="220"/>
      <c r="L32" s="220"/>
      <c r="M32" s="220"/>
      <c r="N32" s="220"/>
    </row>
    <row r="33" spans="2:14" ht="12.9" customHeight="1">
      <c r="B33" s="214"/>
      <c r="C33" s="214"/>
      <c r="D33" s="214"/>
      <c r="E33" s="214"/>
      <c r="F33" s="214"/>
      <c r="G33" s="214"/>
      <c r="H33" s="43"/>
      <c r="I33" s="220" t="s">
        <v>320</v>
      </c>
      <c r="J33" s="220"/>
      <c r="K33" s="220"/>
      <c r="L33" s="220"/>
      <c r="M33" s="220"/>
      <c r="N33" s="220"/>
    </row>
    <row r="34" spans="2:14" ht="12.9" customHeight="1">
      <c r="B34" s="217" t="s">
        <v>295</v>
      </c>
      <c r="C34" s="217"/>
      <c r="D34" s="217"/>
      <c r="E34" s="217"/>
      <c r="F34" s="217"/>
      <c r="G34" s="217"/>
      <c r="H34" s="41"/>
      <c r="I34" s="220" t="s">
        <v>173</v>
      </c>
      <c r="J34" s="220"/>
      <c r="K34" s="220"/>
      <c r="L34" s="220"/>
      <c r="M34" s="220"/>
      <c r="N34" s="220"/>
    </row>
    <row r="35" spans="2:14" ht="12.9" customHeight="1">
      <c r="B35" s="177" t="s">
        <v>321</v>
      </c>
      <c r="C35" s="177"/>
      <c r="D35" s="177"/>
      <c r="E35" s="177"/>
      <c r="F35" s="177"/>
      <c r="G35" s="177"/>
      <c r="H35" s="43"/>
      <c r="I35" s="220" t="s">
        <v>322</v>
      </c>
      <c r="J35" s="220"/>
      <c r="K35" s="220"/>
      <c r="L35" s="220"/>
      <c r="M35" s="220"/>
      <c r="N35" s="220"/>
    </row>
    <row r="36" spans="2:14" ht="12.9" customHeight="1">
      <c r="B36" s="177" t="s">
        <v>122</v>
      </c>
      <c r="C36" s="177"/>
      <c r="D36" s="177"/>
      <c r="E36" s="177"/>
      <c r="F36" s="177"/>
      <c r="G36" s="177"/>
      <c r="H36" s="43"/>
      <c r="I36" s="220" t="s">
        <v>174</v>
      </c>
      <c r="J36" s="220"/>
      <c r="K36" s="220"/>
      <c r="L36" s="220"/>
      <c r="M36" s="220"/>
      <c r="N36" s="220"/>
    </row>
    <row r="37" spans="2:14" ht="12.9" customHeight="1">
      <c r="B37" s="177" t="s">
        <v>123</v>
      </c>
      <c r="C37" s="177"/>
      <c r="D37" s="177"/>
      <c r="E37" s="177"/>
      <c r="F37" s="177"/>
      <c r="G37" s="177"/>
      <c r="H37" s="41"/>
      <c r="I37" s="220" t="s">
        <v>154</v>
      </c>
      <c r="J37" s="220"/>
      <c r="K37" s="220"/>
      <c r="L37" s="220"/>
      <c r="M37" s="220"/>
      <c r="N37" s="220"/>
    </row>
    <row r="38" spans="2:14" ht="12.9" customHeight="1">
      <c r="B38" s="214"/>
      <c r="C38" s="214"/>
      <c r="D38" s="214"/>
      <c r="E38" s="214"/>
      <c r="F38" s="214"/>
      <c r="G38" s="214"/>
      <c r="H38" s="41"/>
      <c r="I38" s="220" t="s">
        <v>96</v>
      </c>
      <c r="J38" s="220"/>
      <c r="K38" s="220"/>
      <c r="L38" s="220"/>
      <c r="M38" s="220"/>
      <c r="N38" s="220"/>
    </row>
    <row r="39" spans="2:14" ht="12.9" customHeight="1">
      <c r="B39" s="217" t="s">
        <v>124</v>
      </c>
      <c r="C39" s="217"/>
      <c r="D39" s="217"/>
      <c r="E39" s="217"/>
      <c r="F39" s="217"/>
      <c r="G39" s="217"/>
      <c r="H39" s="42"/>
      <c r="I39" s="220" t="s">
        <v>323</v>
      </c>
      <c r="J39" s="220"/>
      <c r="K39" s="220"/>
      <c r="L39" s="220"/>
      <c r="M39" s="220"/>
      <c r="N39" s="220"/>
    </row>
    <row r="40" spans="2:14" ht="12.9" customHeight="1">
      <c r="B40" s="177" t="s">
        <v>324</v>
      </c>
      <c r="C40" s="177"/>
      <c r="D40" s="177"/>
      <c r="E40" s="177"/>
      <c r="F40" s="177"/>
      <c r="G40" s="177"/>
      <c r="H40" s="43"/>
      <c r="I40" s="220" t="s">
        <v>175</v>
      </c>
      <c r="J40" s="220"/>
      <c r="K40" s="220"/>
      <c r="L40" s="220"/>
      <c r="M40" s="220"/>
      <c r="N40" s="220"/>
    </row>
    <row r="41" spans="2:14" ht="12.9" customHeight="1">
      <c r="B41" s="177" t="s">
        <v>125</v>
      </c>
      <c r="C41" s="177"/>
      <c r="D41" s="177"/>
      <c r="E41" s="177"/>
      <c r="F41" s="177"/>
      <c r="G41" s="177"/>
      <c r="H41" s="41"/>
      <c r="I41" s="220" t="s">
        <v>325</v>
      </c>
      <c r="J41" s="220"/>
      <c r="K41" s="220"/>
      <c r="L41" s="220"/>
      <c r="M41" s="220"/>
      <c r="N41" s="220"/>
    </row>
    <row r="42" spans="2:14" ht="12.9" customHeight="1">
      <c r="B42" s="220" t="s">
        <v>126</v>
      </c>
      <c r="C42" s="220"/>
      <c r="D42" s="220"/>
      <c r="E42" s="220"/>
      <c r="F42" s="220"/>
      <c r="G42" s="220"/>
      <c r="H42" s="41"/>
      <c r="I42" s="42"/>
    </row>
    <row r="43" spans="2:14" ht="12.9" customHeight="1">
      <c r="B43" s="220"/>
      <c r="C43" s="220"/>
      <c r="D43" s="220"/>
      <c r="E43" s="220"/>
      <c r="F43" s="220"/>
      <c r="G43" s="220"/>
      <c r="H43" s="42"/>
      <c r="I43" s="42" t="s">
        <v>176</v>
      </c>
      <c r="J43" s="47"/>
      <c r="K43" s="47"/>
      <c r="L43" s="47"/>
      <c r="M43" s="47"/>
      <c r="N43" s="47"/>
    </row>
    <row r="44" spans="2:14" ht="12.9" customHeight="1">
      <c r="B44" s="217" t="s">
        <v>127</v>
      </c>
      <c r="C44" s="217"/>
      <c r="D44" s="217"/>
      <c r="E44" s="217"/>
      <c r="F44" s="217"/>
      <c r="G44" s="217"/>
      <c r="H44" s="43"/>
      <c r="I44" s="220" t="s">
        <v>326</v>
      </c>
      <c r="J44" s="220"/>
      <c r="K44" s="220"/>
      <c r="L44" s="220"/>
      <c r="M44" s="220"/>
      <c r="N44" s="220"/>
    </row>
    <row r="45" spans="2:14" ht="12.9" customHeight="1">
      <c r="B45" s="221" t="s">
        <v>327</v>
      </c>
      <c r="C45" s="221"/>
      <c r="D45" s="221"/>
      <c r="E45" s="221"/>
      <c r="F45" s="221"/>
      <c r="G45" s="221"/>
      <c r="H45" s="41"/>
      <c r="I45" s="220" t="s">
        <v>177</v>
      </c>
      <c r="J45" s="220"/>
      <c r="K45" s="220"/>
      <c r="L45" s="220"/>
      <c r="M45" s="220"/>
      <c r="N45" s="220"/>
    </row>
    <row r="46" spans="2:14" ht="12.9" customHeight="1">
      <c r="B46" s="214" t="s">
        <v>128</v>
      </c>
      <c r="C46" s="214"/>
      <c r="D46" s="214"/>
      <c r="E46" s="214"/>
      <c r="F46" s="214"/>
      <c r="G46" s="214"/>
      <c r="H46" s="43"/>
      <c r="I46" s="220"/>
      <c r="J46" s="220"/>
      <c r="K46" s="220"/>
      <c r="L46" s="220"/>
      <c r="M46" s="220"/>
      <c r="N46" s="220"/>
    </row>
    <row r="47" spans="2:14" ht="12.9" customHeight="1">
      <c r="B47" s="177" t="s">
        <v>328</v>
      </c>
      <c r="C47" s="177"/>
      <c r="D47" s="177"/>
      <c r="E47" s="177"/>
      <c r="F47" s="177"/>
      <c r="G47" s="177"/>
      <c r="H47" s="41"/>
      <c r="I47" s="42" t="s">
        <v>178</v>
      </c>
      <c r="J47" s="47"/>
      <c r="K47" s="47"/>
      <c r="L47" s="47"/>
      <c r="M47" s="47"/>
      <c r="N47" s="47"/>
    </row>
    <row r="48" spans="2:14" ht="12.9" customHeight="1">
      <c r="B48" s="177" t="s">
        <v>329</v>
      </c>
      <c r="C48" s="177"/>
      <c r="D48" s="177"/>
      <c r="E48" s="177"/>
      <c r="F48" s="177"/>
      <c r="G48" s="177"/>
      <c r="H48" s="41"/>
      <c r="I48" s="220" t="s">
        <v>179</v>
      </c>
      <c r="J48" s="220"/>
      <c r="K48" s="220"/>
      <c r="L48" s="220"/>
      <c r="M48" s="220"/>
      <c r="N48" s="220"/>
    </row>
    <row r="49" spans="2:14" ht="12.9" customHeight="1">
      <c r="B49" s="177" t="s">
        <v>129</v>
      </c>
      <c r="C49" s="177"/>
      <c r="D49" s="177"/>
      <c r="E49" s="177"/>
      <c r="F49" s="177"/>
      <c r="G49" s="177"/>
      <c r="H49" s="41"/>
      <c r="I49" s="220" t="s">
        <v>180</v>
      </c>
      <c r="J49" s="220"/>
      <c r="K49" s="220"/>
      <c r="L49" s="220"/>
      <c r="M49" s="220"/>
      <c r="N49" s="220"/>
    </row>
    <row r="50" spans="2:14" ht="12.9" customHeight="1">
      <c r="B50" s="177" t="s">
        <v>130</v>
      </c>
      <c r="C50" s="177"/>
      <c r="D50" s="177"/>
      <c r="E50" s="177"/>
      <c r="F50" s="177"/>
      <c r="G50" s="177"/>
      <c r="H50" s="41"/>
      <c r="I50" s="220" t="s">
        <v>181</v>
      </c>
      <c r="J50" s="220"/>
      <c r="K50" s="220"/>
      <c r="L50" s="220"/>
      <c r="M50" s="220"/>
      <c r="N50" s="220"/>
    </row>
    <row r="51" spans="2:14" ht="12.9" customHeight="1">
      <c r="B51" s="177" t="s">
        <v>330</v>
      </c>
      <c r="C51" s="177"/>
      <c r="D51" s="177"/>
      <c r="E51" s="177"/>
      <c r="F51" s="177"/>
      <c r="G51" s="177"/>
      <c r="H51" s="41"/>
      <c r="I51" s="220" t="s">
        <v>182</v>
      </c>
      <c r="J51" s="220"/>
      <c r="K51" s="220"/>
      <c r="L51" s="220"/>
      <c r="M51" s="220"/>
      <c r="N51" s="220"/>
    </row>
    <row r="52" spans="2:14" ht="12.9" customHeight="1">
      <c r="B52" s="214" t="s">
        <v>296</v>
      </c>
      <c r="C52" s="214"/>
      <c r="D52" s="214"/>
      <c r="E52" s="214"/>
      <c r="F52" s="214"/>
      <c r="G52" s="214"/>
      <c r="H52" s="41"/>
      <c r="I52" s="220" t="s">
        <v>183</v>
      </c>
      <c r="J52" s="220"/>
      <c r="K52" s="220"/>
      <c r="L52" s="220"/>
      <c r="M52" s="220"/>
      <c r="N52" s="220"/>
    </row>
    <row r="53" spans="2:14" ht="12.9" customHeight="1">
      <c r="B53" s="214" t="s">
        <v>297</v>
      </c>
      <c r="C53" s="214"/>
      <c r="D53" s="214"/>
      <c r="E53" s="214"/>
      <c r="F53" s="214"/>
      <c r="G53" s="214"/>
      <c r="H53" s="41"/>
      <c r="I53" s="220" t="s">
        <v>331</v>
      </c>
      <c r="J53" s="220"/>
      <c r="K53" s="220"/>
      <c r="L53" s="220"/>
      <c r="M53" s="220"/>
      <c r="N53" s="220"/>
    </row>
    <row r="54" spans="2:14" ht="12.9" customHeight="1">
      <c r="B54" s="41"/>
      <c r="C54" s="41"/>
      <c r="D54" s="41"/>
      <c r="E54" s="41"/>
      <c r="F54" s="41"/>
      <c r="G54" s="41"/>
      <c r="H54" s="41"/>
      <c r="I54" s="220" t="s">
        <v>184</v>
      </c>
      <c r="J54" s="220"/>
      <c r="K54" s="220"/>
      <c r="L54" s="220"/>
      <c r="M54" s="220"/>
      <c r="N54" s="220"/>
    </row>
    <row r="55" spans="2:14" ht="12.9" customHeight="1">
      <c r="B55" s="217" t="s">
        <v>131</v>
      </c>
      <c r="C55" s="217"/>
      <c r="D55" s="217"/>
      <c r="E55" s="217"/>
      <c r="F55" s="217"/>
      <c r="G55" s="217"/>
      <c r="H55" s="41"/>
      <c r="I55" s="220" t="s">
        <v>185</v>
      </c>
      <c r="J55" s="220"/>
      <c r="K55" s="220"/>
      <c r="L55" s="220"/>
      <c r="M55" s="220"/>
      <c r="N55" s="220"/>
    </row>
    <row r="56" spans="2:14" ht="12.9" customHeight="1">
      <c r="B56" s="214" t="s">
        <v>332</v>
      </c>
      <c r="C56" s="214"/>
      <c r="D56" s="214"/>
      <c r="E56" s="214"/>
      <c r="F56" s="214"/>
      <c r="G56" s="214"/>
      <c r="H56" s="43"/>
      <c r="I56" s="220" t="s">
        <v>186</v>
      </c>
      <c r="J56" s="220"/>
      <c r="K56" s="220"/>
      <c r="L56" s="220"/>
      <c r="M56" s="220"/>
      <c r="N56" s="220"/>
    </row>
    <row r="57" spans="2:14" ht="12.9" customHeight="1">
      <c r="B57" s="214" t="s">
        <v>133</v>
      </c>
      <c r="C57" s="214"/>
      <c r="D57" s="214"/>
      <c r="E57" s="214"/>
      <c r="F57" s="214"/>
      <c r="G57" s="214"/>
      <c r="H57" s="41"/>
      <c r="I57" s="220" t="s">
        <v>333</v>
      </c>
      <c r="J57" s="220"/>
      <c r="K57" s="220"/>
      <c r="L57" s="220"/>
      <c r="M57" s="220"/>
      <c r="N57" s="220"/>
    </row>
    <row r="58" spans="2:14" ht="12.9" customHeight="1">
      <c r="B58" s="214" t="s">
        <v>132</v>
      </c>
      <c r="C58" s="214"/>
      <c r="D58" s="214"/>
      <c r="E58" s="214"/>
      <c r="F58" s="214"/>
      <c r="G58" s="214"/>
      <c r="H58" s="41"/>
      <c r="I58" s="220" t="s">
        <v>334</v>
      </c>
      <c r="J58" s="220"/>
      <c r="K58" s="220"/>
      <c r="L58" s="220"/>
      <c r="M58" s="220"/>
      <c r="N58" s="220"/>
    </row>
    <row r="59" spans="2:14" ht="12.9" customHeight="1">
      <c r="B59" s="177" t="s">
        <v>298</v>
      </c>
      <c r="C59" s="177"/>
      <c r="D59" s="177"/>
      <c r="E59" s="177"/>
      <c r="F59" s="177"/>
      <c r="G59" s="177"/>
      <c r="H59" s="42"/>
      <c r="I59" s="220" t="s">
        <v>187</v>
      </c>
      <c r="J59" s="220"/>
      <c r="K59" s="220"/>
      <c r="L59" s="220"/>
      <c r="M59" s="220"/>
      <c r="N59" s="220"/>
    </row>
    <row r="60" spans="2:14" ht="12.9" customHeight="1">
      <c r="B60" s="177" t="s">
        <v>299</v>
      </c>
      <c r="C60" s="177"/>
      <c r="D60" s="177"/>
      <c r="E60" s="177"/>
      <c r="F60" s="177"/>
      <c r="G60" s="177"/>
      <c r="H60" s="43"/>
      <c r="I60" s="220" t="s">
        <v>188</v>
      </c>
      <c r="J60" s="220"/>
      <c r="K60" s="220"/>
      <c r="L60" s="220"/>
      <c r="M60" s="220"/>
      <c r="N60" s="220"/>
    </row>
    <row r="61" spans="2:14" ht="12.9" customHeight="1">
      <c r="B61" s="177" t="s">
        <v>300</v>
      </c>
      <c r="C61" s="177"/>
      <c r="D61" s="177"/>
      <c r="E61" s="177"/>
      <c r="F61" s="177"/>
      <c r="G61" s="177"/>
      <c r="H61" s="41"/>
      <c r="I61" s="220" t="s">
        <v>189</v>
      </c>
      <c r="J61" s="220"/>
      <c r="K61" s="220"/>
      <c r="L61" s="220"/>
      <c r="M61" s="220"/>
      <c r="N61" s="220"/>
    </row>
    <row r="62" spans="2:14" ht="12.9" customHeight="1">
      <c r="B62" s="220" t="s">
        <v>335</v>
      </c>
      <c r="C62" s="220"/>
      <c r="D62" s="220"/>
      <c r="E62" s="220"/>
      <c r="F62" s="220"/>
      <c r="G62" s="220"/>
      <c r="H62" s="43"/>
      <c r="I62" s="220" t="s">
        <v>190</v>
      </c>
      <c r="J62" s="220"/>
      <c r="K62" s="220"/>
      <c r="L62" s="220"/>
      <c r="M62" s="220"/>
      <c r="N62" s="220"/>
    </row>
    <row r="63" spans="2:14" ht="12.9" customHeight="1">
      <c r="B63" s="220" t="s">
        <v>301</v>
      </c>
      <c r="C63" s="220"/>
      <c r="D63" s="220"/>
      <c r="E63" s="220"/>
      <c r="F63" s="220"/>
      <c r="G63" s="220"/>
      <c r="H63" s="41"/>
      <c r="I63" s="220" t="s">
        <v>336</v>
      </c>
      <c r="J63" s="220"/>
      <c r="K63" s="220"/>
      <c r="L63" s="220"/>
      <c r="M63" s="220"/>
      <c r="N63" s="220"/>
    </row>
    <row r="64" spans="2:14" ht="12.9" customHeight="1">
      <c r="B64" s="220" t="s">
        <v>134</v>
      </c>
      <c r="C64" s="220"/>
      <c r="D64" s="220"/>
      <c r="E64" s="220"/>
      <c r="F64" s="220"/>
      <c r="G64" s="220"/>
      <c r="H64" s="43"/>
      <c r="I64" s="220" t="s">
        <v>337</v>
      </c>
      <c r="J64" s="220"/>
      <c r="K64" s="220"/>
      <c r="L64" s="220"/>
      <c r="M64" s="220"/>
      <c r="N64" s="220"/>
    </row>
    <row r="65" spans="2:14" ht="12.9" customHeight="1">
      <c r="B65" s="220" t="s">
        <v>135</v>
      </c>
      <c r="C65" s="220"/>
      <c r="D65" s="220"/>
      <c r="E65" s="220"/>
      <c r="F65" s="220"/>
      <c r="G65" s="220"/>
      <c r="H65" s="41"/>
      <c r="I65" s="220" t="s">
        <v>338</v>
      </c>
      <c r="J65" s="220"/>
      <c r="K65" s="220"/>
      <c r="L65" s="220"/>
      <c r="M65" s="220"/>
      <c r="N65" s="220"/>
    </row>
    <row r="66" spans="2:14" ht="12.9" customHeight="1">
      <c r="B66" s="220" t="s">
        <v>136</v>
      </c>
      <c r="C66" s="220"/>
      <c r="D66" s="220"/>
      <c r="E66" s="220"/>
      <c r="F66" s="220"/>
      <c r="G66" s="220"/>
      <c r="H66" s="41"/>
      <c r="I66" s="220" t="s">
        <v>191</v>
      </c>
      <c r="J66" s="220"/>
      <c r="K66" s="220"/>
      <c r="L66" s="220"/>
      <c r="M66" s="220"/>
      <c r="N66" s="220"/>
    </row>
    <row r="67" spans="2:14" ht="12.9" customHeight="1">
      <c r="B67" s="221"/>
      <c r="C67" s="221"/>
      <c r="D67" s="221"/>
      <c r="E67" s="221"/>
      <c r="F67" s="221"/>
      <c r="G67" s="221"/>
      <c r="H67" s="41"/>
      <c r="I67" s="70"/>
      <c r="J67" s="70"/>
      <c r="K67" s="70"/>
      <c r="L67" s="70"/>
      <c r="M67" s="70"/>
      <c r="N67" s="70"/>
    </row>
    <row r="68" spans="2:14" ht="12.9" customHeight="1">
      <c r="B68" s="217" t="s">
        <v>137</v>
      </c>
      <c r="C68" s="217"/>
      <c r="D68" s="217"/>
      <c r="E68" s="217"/>
      <c r="F68" s="217"/>
      <c r="G68" s="217"/>
      <c r="H68" s="41"/>
      <c r="I68" s="42" t="s">
        <v>192</v>
      </c>
      <c r="J68" s="70"/>
      <c r="K68" s="70"/>
      <c r="L68" s="70"/>
      <c r="M68" s="70"/>
      <c r="N68" s="70"/>
    </row>
    <row r="69" spans="2:14" ht="12.9" customHeight="1">
      <c r="B69" s="220" t="s">
        <v>339</v>
      </c>
      <c r="C69" s="220"/>
      <c r="D69" s="220"/>
      <c r="E69" s="220"/>
      <c r="F69" s="220"/>
      <c r="G69" s="220"/>
      <c r="H69" s="41"/>
      <c r="I69" s="220" t="s">
        <v>340</v>
      </c>
      <c r="J69" s="220"/>
      <c r="K69" s="220"/>
      <c r="L69" s="220"/>
      <c r="M69" s="220"/>
      <c r="N69" s="220"/>
    </row>
    <row r="70" spans="2:14" ht="12.9" customHeight="1">
      <c r="B70" s="214" t="s">
        <v>138</v>
      </c>
      <c r="C70" s="214"/>
      <c r="D70" s="214"/>
      <c r="E70" s="214"/>
      <c r="F70" s="214"/>
      <c r="G70" s="214"/>
      <c r="H70" s="42"/>
      <c r="I70" s="220" t="s">
        <v>341</v>
      </c>
      <c r="J70" s="220"/>
      <c r="K70" s="220"/>
      <c r="L70" s="220"/>
      <c r="M70" s="220"/>
      <c r="N70" s="220"/>
    </row>
    <row r="71" spans="2:14" ht="12.9" customHeight="1">
      <c r="B71" s="214" t="s">
        <v>342</v>
      </c>
      <c r="C71" s="214"/>
      <c r="D71" s="214"/>
      <c r="E71" s="214"/>
      <c r="F71" s="214"/>
      <c r="G71" s="214"/>
      <c r="H71" s="44"/>
      <c r="I71" s="220" t="s">
        <v>193</v>
      </c>
      <c r="J71" s="220"/>
      <c r="K71" s="220"/>
      <c r="L71" s="220"/>
      <c r="M71" s="220"/>
      <c r="N71" s="220"/>
    </row>
    <row r="72" spans="2:14" ht="12.9" customHeight="1">
      <c r="B72" s="214" t="s">
        <v>139</v>
      </c>
      <c r="C72" s="214"/>
      <c r="D72" s="214"/>
      <c r="E72" s="214"/>
      <c r="F72" s="214"/>
      <c r="G72" s="214"/>
      <c r="H72" s="44"/>
      <c r="I72" s="214" t="s">
        <v>343</v>
      </c>
      <c r="J72" s="214"/>
      <c r="K72" s="214"/>
      <c r="L72" s="214"/>
      <c r="M72" s="214"/>
      <c r="N72" s="214"/>
    </row>
    <row r="73" spans="2:14" ht="12.9" customHeight="1">
      <c r="B73" s="214" t="s">
        <v>140</v>
      </c>
      <c r="C73" s="214"/>
      <c r="D73" s="214"/>
      <c r="E73" s="214"/>
      <c r="F73" s="214"/>
      <c r="G73" s="214"/>
      <c r="H73" s="47"/>
      <c r="I73" s="214" t="s">
        <v>344</v>
      </c>
      <c r="J73" s="214"/>
      <c r="K73" s="214"/>
      <c r="L73" s="214"/>
      <c r="M73" s="214"/>
      <c r="N73" s="214"/>
    </row>
    <row r="74" spans="2:14" ht="12.9" customHeight="1">
      <c r="B74" s="214" t="s">
        <v>141</v>
      </c>
      <c r="C74" s="214"/>
      <c r="D74" s="214"/>
      <c r="E74" s="214"/>
      <c r="F74" s="214"/>
      <c r="G74" s="214"/>
      <c r="H74" s="44"/>
      <c r="I74" s="220" t="s">
        <v>194</v>
      </c>
      <c r="J74" s="220"/>
      <c r="K74" s="220"/>
      <c r="L74" s="220"/>
      <c r="M74" s="220"/>
      <c r="N74" s="220"/>
    </row>
    <row r="75" spans="2:14" ht="12.9" customHeight="1">
      <c r="B75" s="220" t="s">
        <v>345</v>
      </c>
      <c r="C75" s="220"/>
      <c r="D75" s="220"/>
      <c r="E75" s="220"/>
      <c r="F75" s="220"/>
      <c r="G75" s="220"/>
      <c r="H75" s="47"/>
      <c r="I75" s="220" t="s">
        <v>195</v>
      </c>
      <c r="J75" s="220"/>
      <c r="K75" s="220"/>
      <c r="L75" s="220"/>
      <c r="M75" s="220"/>
      <c r="N75" s="220"/>
    </row>
    <row r="76" spans="2:14" ht="12.9" customHeight="1">
      <c r="B76" s="221" t="s">
        <v>142</v>
      </c>
      <c r="C76" s="221"/>
      <c r="D76" s="221"/>
      <c r="E76" s="221"/>
      <c r="F76" s="221"/>
      <c r="G76" s="221"/>
      <c r="H76" s="44"/>
      <c r="I76" s="220" t="s">
        <v>196</v>
      </c>
      <c r="J76" s="220"/>
      <c r="K76" s="220"/>
      <c r="L76" s="220"/>
      <c r="M76" s="220"/>
      <c r="N76" s="220"/>
    </row>
    <row r="77" spans="2:14" ht="12.9" customHeight="1">
      <c r="B77" s="220" t="s">
        <v>143</v>
      </c>
      <c r="C77" s="220"/>
      <c r="D77" s="220"/>
      <c r="E77" s="220"/>
      <c r="F77" s="220"/>
      <c r="G77" s="220"/>
      <c r="H77" s="48"/>
      <c r="I77" s="220"/>
      <c r="J77" s="220"/>
      <c r="K77" s="220"/>
      <c r="L77" s="220"/>
      <c r="M77" s="220"/>
      <c r="N77" s="220"/>
    </row>
    <row r="78" spans="2:14" ht="12.9" customHeight="1">
      <c r="B78" s="220" t="s">
        <v>144</v>
      </c>
      <c r="C78" s="220"/>
      <c r="D78" s="220"/>
      <c r="E78" s="220"/>
      <c r="F78" s="220"/>
      <c r="G78" s="220"/>
      <c r="H78" s="48"/>
      <c r="I78" s="42" t="s">
        <v>197</v>
      </c>
      <c r="J78" s="47"/>
      <c r="K78" s="47"/>
      <c r="L78" s="47"/>
      <c r="M78" s="47"/>
      <c r="N78" s="47"/>
    </row>
    <row r="79" spans="2:14" ht="12.9" customHeight="1">
      <c r="B79" s="219" t="s">
        <v>346</v>
      </c>
      <c r="C79" s="219"/>
      <c r="D79" s="219"/>
      <c r="E79" s="219"/>
      <c r="F79" s="219"/>
      <c r="G79" s="219"/>
      <c r="H79" s="48"/>
      <c r="I79" s="220" t="s">
        <v>198</v>
      </c>
      <c r="J79" s="220"/>
      <c r="K79" s="220"/>
      <c r="L79" s="220"/>
      <c r="M79" s="220"/>
      <c r="N79" s="220"/>
    </row>
    <row r="80" spans="2:14" ht="12.9" customHeight="1">
      <c r="B80" s="219" t="s">
        <v>347</v>
      </c>
      <c r="C80" s="219"/>
      <c r="D80" s="219"/>
      <c r="E80" s="219"/>
      <c r="F80" s="219"/>
      <c r="G80" s="219"/>
      <c r="H80" s="48"/>
      <c r="I80" s="220" t="s">
        <v>348</v>
      </c>
      <c r="J80" s="220"/>
      <c r="K80" s="220"/>
      <c r="L80" s="220"/>
      <c r="M80" s="220"/>
      <c r="N80" s="220"/>
    </row>
    <row r="81" spans="2:14" ht="12.9" customHeight="1">
      <c r="B81" s="219" t="s">
        <v>349</v>
      </c>
      <c r="C81" s="219"/>
      <c r="D81" s="219"/>
      <c r="E81" s="219"/>
      <c r="F81" s="219"/>
      <c r="G81" s="219"/>
      <c r="H81" s="48"/>
      <c r="I81" s="220" t="s">
        <v>199</v>
      </c>
      <c r="J81" s="220"/>
      <c r="K81" s="220"/>
      <c r="L81" s="220"/>
      <c r="M81" s="220"/>
      <c r="N81" s="220"/>
    </row>
    <row r="82" spans="2:14" ht="12.9" customHeight="1">
      <c r="B82" s="219" t="s">
        <v>145</v>
      </c>
      <c r="C82" s="219"/>
      <c r="D82" s="219"/>
      <c r="E82" s="219"/>
      <c r="F82" s="219"/>
      <c r="G82" s="219"/>
      <c r="H82" s="48"/>
      <c r="I82" s="220" t="s">
        <v>200</v>
      </c>
      <c r="J82" s="220"/>
      <c r="K82" s="220"/>
      <c r="L82" s="220"/>
      <c r="M82" s="220"/>
      <c r="N82" s="220"/>
    </row>
    <row r="83" spans="2:14" ht="12.9" customHeight="1">
      <c r="B83" s="219" t="s">
        <v>146</v>
      </c>
      <c r="C83" s="219"/>
      <c r="D83" s="219"/>
      <c r="E83" s="219"/>
      <c r="F83" s="219"/>
      <c r="G83" s="219"/>
      <c r="H83" s="48"/>
      <c r="I83" s="220" t="s">
        <v>201</v>
      </c>
      <c r="J83" s="220"/>
      <c r="K83" s="220"/>
      <c r="L83" s="220"/>
      <c r="M83" s="220"/>
      <c r="N83" s="220"/>
    </row>
    <row r="84" spans="2:14" ht="12.9" customHeight="1">
      <c r="B84" s="218" t="s">
        <v>147</v>
      </c>
      <c r="C84" s="218"/>
      <c r="D84" s="218"/>
      <c r="E84" s="218"/>
      <c r="F84" s="218"/>
      <c r="G84" s="218"/>
      <c r="H84" s="49"/>
      <c r="I84" s="220" t="s">
        <v>350</v>
      </c>
      <c r="J84" s="220"/>
      <c r="K84" s="220"/>
      <c r="L84" s="220"/>
      <c r="M84" s="220"/>
      <c r="N84" s="220"/>
    </row>
    <row r="85" spans="2:14" ht="12.9" customHeight="1">
      <c r="B85" s="218" t="s">
        <v>148</v>
      </c>
      <c r="C85" s="218"/>
      <c r="D85" s="218"/>
      <c r="E85" s="218"/>
      <c r="F85" s="218"/>
      <c r="G85" s="218"/>
      <c r="H85" s="48"/>
      <c r="I85" s="220" t="s">
        <v>202</v>
      </c>
      <c r="J85" s="220"/>
      <c r="K85" s="220"/>
      <c r="L85" s="220"/>
      <c r="M85" s="220"/>
      <c r="N85" s="220"/>
    </row>
    <row r="86" spans="2:14" ht="12.9" customHeight="1">
      <c r="B86" s="218" t="s">
        <v>309</v>
      </c>
      <c r="C86" s="218"/>
      <c r="D86" s="218"/>
      <c r="E86" s="218"/>
      <c r="F86" s="218"/>
      <c r="G86" s="218"/>
      <c r="H86" s="48"/>
      <c r="I86" s="220" t="s">
        <v>351</v>
      </c>
      <c r="J86" s="220"/>
      <c r="K86" s="220"/>
      <c r="L86" s="220"/>
      <c r="M86" s="220"/>
      <c r="N86" s="220"/>
    </row>
    <row r="87" spans="2:14" ht="12.9" customHeight="1">
      <c r="B87" s="218" t="s">
        <v>149</v>
      </c>
      <c r="C87" s="218"/>
      <c r="D87" s="218"/>
      <c r="E87" s="218"/>
      <c r="F87" s="218"/>
      <c r="G87" s="218"/>
      <c r="H87" s="48"/>
      <c r="I87" s="220" t="s">
        <v>203</v>
      </c>
      <c r="J87" s="220"/>
      <c r="K87" s="220"/>
      <c r="L87" s="220"/>
      <c r="M87" s="220"/>
      <c r="N87" s="220"/>
    </row>
    <row r="88" spans="2:14" ht="12.9" customHeight="1">
      <c r="B88" s="218" t="s">
        <v>150</v>
      </c>
      <c r="C88" s="218"/>
      <c r="D88" s="218"/>
      <c r="E88" s="218"/>
      <c r="F88" s="218"/>
      <c r="G88" s="218"/>
      <c r="H88" s="49"/>
      <c r="I88" s="220" t="s">
        <v>204</v>
      </c>
      <c r="J88" s="220"/>
      <c r="K88" s="220"/>
      <c r="L88" s="220"/>
      <c r="M88" s="220"/>
      <c r="N88" s="220"/>
    </row>
    <row r="89" spans="2:14" ht="12.9" customHeight="1">
      <c r="B89" s="41" t="s">
        <v>311</v>
      </c>
      <c r="H89" s="49"/>
      <c r="I89" s="220" t="s">
        <v>307</v>
      </c>
      <c r="J89" s="220"/>
      <c r="K89" s="220"/>
      <c r="L89" s="220"/>
      <c r="M89" s="220"/>
      <c r="N89" s="220"/>
    </row>
    <row r="90" spans="2:14" ht="12.9" customHeight="1">
      <c r="B90" s="219" t="s">
        <v>151</v>
      </c>
      <c r="C90" s="219"/>
      <c r="D90" s="219"/>
      <c r="E90" s="219"/>
      <c r="F90" s="219"/>
      <c r="G90" s="219"/>
      <c r="H90" s="42"/>
      <c r="I90" s="220" t="s">
        <v>303</v>
      </c>
      <c r="J90" s="220"/>
      <c r="K90" s="220"/>
      <c r="L90" s="220"/>
      <c r="M90" s="220"/>
      <c r="N90" s="220"/>
    </row>
    <row r="91" spans="2:14" ht="12.9" customHeight="1">
      <c r="B91" s="218" t="s">
        <v>152</v>
      </c>
      <c r="C91" s="218"/>
      <c r="D91" s="218"/>
      <c r="E91" s="218"/>
      <c r="F91" s="218"/>
      <c r="G91" s="218"/>
      <c r="H91" s="48"/>
      <c r="I91" s="220" t="s">
        <v>304</v>
      </c>
      <c r="J91" s="220"/>
      <c r="K91" s="220"/>
      <c r="L91" s="220"/>
      <c r="M91" s="220"/>
      <c r="N91" s="220"/>
    </row>
    <row r="92" spans="2:14" ht="12.9" customHeight="1">
      <c r="B92" s="218" t="s">
        <v>153</v>
      </c>
      <c r="C92" s="218"/>
      <c r="D92" s="218"/>
      <c r="E92" s="218"/>
      <c r="F92" s="218"/>
      <c r="G92" s="218"/>
      <c r="H92" s="48"/>
      <c r="I92" s="220" t="s">
        <v>205</v>
      </c>
      <c r="J92" s="220"/>
      <c r="K92" s="220"/>
      <c r="L92" s="220"/>
      <c r="M92" s="220"/>
      <c r="N92" s="220"/>
    </row>
    <row r="93" spans="2:14" ht="12.9" customHeight="1">
      <c r="B93" s="219" t="s">
        <v>154</v>
      </c>
      <c r="C93" s="219"/>
      <c r="D93" s="219"/>
      <c r="E93" s="219"/>
      <c r="F93" s="219"/>
      <c r="G93" s="219"/>
      <c r="H93" s="48"/>
      <c r="I93" s="229" t="s">
        <v>206</v>
      </c>
      <c r="J93" s="229"/>
      <c r="K93" s="229"/>
      <c r="L93" s="229"/>
      <c r="M93" s="229"/>
      <c r="N93" s="229"/>
    </row>
    <row r="94" spans="2:14" ht="12.9" customHeight="1">
      <c r="H94" s="48"/>
      <c r="I94" s="220"/>
      <c r="J94" s="220"/>
      <c r="K94" s="220"/>
      <c r="L94" s="220"/>
      <c r="M94" s="220"/>
      <c r="N94" s="220"/>
    </row>
    <row r="95" spans="2:14" ht="12.9" customHeight="1">
      <c r="H95" s="48"/>
      <c r="I95" s="220"/>
      <c r="J95" s="220"/>
      <c r="K95" s="220"/>
      <c r="L95" s="220"/>
      <c r="M95" s="220"/>
      <c r="N95" s="220"/>
    </row>
    <row r="96" spans="2:14" ht="12.9" customHeight="1">
      <c r="H96" s="48"/>
      <c r="I96" s="228"/>
      <c r="J96" s="228"/>
      <c r="K96" s="228"/>
      <c r="L96" s="228"/>
      <c r="M96" s="228"/>
      <c r="N96" s="228"/>
    </row>
    <row r="97" spans="2:14" ht="12.9" customHeight="1">
      <c r="H97" s="48"/>
      <c r="I97" s="220"/>
      <c r="J97" s="220"/>
      <c r="K97" s="220"/>
      <c r="L97" s="220"/>
      <c r="M97" s="220"/>
      <c r="N97" s="220"/>
    </row>
    <row r="98" spans="2:14" ht="12.9" customHeight="1">
      <c r="H98" s="48"/>
      <c r="I98" s="47"/>
      <c r="J98" s="44"/>
      <c r="K98" s="44"/>
      <c r="L98" s="44"/>
      <c r="M98" s="44"/>
      <c r="N98" s="44"/>
    </row>
    <row r="99" spans="2:14" ht="12.9" customHeight="1">
      <c r="H99" s="48"/>
      <c r="I99" s="47"/>
      <c r="J99" s="44"/>
      <c r="K99" s="44"/>
      <c r="L99" s="44"/>
      <c r="M99" s="44"/>
      <c r="N99" s="44"/>
    </row>
    <row r="100" spans="2:14" ht="12.9" customHeight="1">
      <c r="H100" s="48"/>
      <c r="I100" s="47"/>
      <c r="J100" s="44"/>
      <c r="K100" s="44"/>
      <c r="L100" s="44"/>
      <c r="M100" s="44"/>
      <c r="N100" s="44"/>
    </row>
    <row r="101" spans="2:14" ht="12.75" customHeight="1">
      <c r="H101" s="48"/>
      <c r="I101" s="47"/>
      <c r="J101" s="44"/>
      <c r="K101" s="44"/>
      <c r="L101" s="44"/>
      <c r="M101" s="44"/>
      <c r="N101" s="44"/>
    </row>
    <row r="102" spans="2:14" ht="12.75" customHeight="1">
      <c r="H102" s="48"/>
      <c r="I102" s="47"/>
      <c r="J102" s="44"/>
      <c r="K102" s="44"/>
      <c r="L102" s="44"/>
      <c r="M102" s="44"/>
      <c r="N102" s="44"/>
    </row>
    <row r="103" spans="2:14" ht="12.75" customHeight="1">
      <c r="H103" s="48"/>
      <c r="I103" s="47"/>
      <c r="J103" s="44"/>
      <c r="K103" s="44"/>
      <c r="L103" s="44"/>
      <c r="M103" s="44"/>
      <c r="N103" s="44"/>
    </row>
    <row r="104" spans="2:14" ht="12.75" customHeight="1">
      <c r="B104" s="217" t="s">
        <v>207</v>
      </c>
      <c r="C104" s="217"/>
      <c r="D104" s="217"/>
      <c r="E104" s="217"/>
      <c r="F104" s="217"/>
      <c r="G104" s="217"/>
      <c r="H104" s="48"/>
      <c r="I104" s="217" t="s">
        <v>260</v>
      </c>
      <c r="J104" s="217"/>
      <c r="K104" s="217"/>
      <c r="L104" s="217"/>
      <c r="M104" s="217"/>
      <c r="N104" s="217"/>
    </row>
    <row r="105" spans="2:14" ht="12.75" customHeight="1">
      <c r="B105" s="219" t="s">
        <v>208</v>
      </c>
      <c r="C105" s="219"/>
      <c r="D105" s="219"/>
      <c r="E105" s="219"/>
      <c r="F105" s="219"/>
      <c r="G105" s="219"/>
      <c r="H105" s="49"/>
      <c r="I105" s="219" t="s">
        <v>352</v>
      </c>
      <c r="J105" s="219"/>
      <c r="K105" s="219"/>
      <c r="L105" s="219"/>
      <c r="M105" s="219"/>
      <c r="N105" s="219"/>
    </row>
    <row r="106" spans="2:14" ht="12.75" customHeight="1">
      <c r="B106" s="219" t="s">
        <v>209</v>
      </c>
      <c r="C106" s="219"/>
      <c r="D106" s="219"/>
      <c r="E106" s="219"/>
      <c r="F106" s="219"/>
      <c r="G106" s="219"/>
      <c r="H106" s="48"/>
      <c r="I106" s="219" t="s">
        <v>187</v>
      </c>
      <c r="J106" s="219"/>
      <c r="K106" s="219"/>
      <c r="L106" s="219"/>
      <c r="M106" s="219"/>
      <c r="N106" s="219"/>
    </row>
    <row r="107" spans="2:14" ht="12.75" customHeight="1">
      <c r="B107" s="219" t="s">
        <v>210</v>
      </c>
      <c r="C107" s="219"/>
      <c r="D107" s="219"/>
      <c r="E107" s="219"/>
      <c r="F107" s="219"/>
      <c r="G107" s="219"/>
      <c r="H107" s="49"/>
      <c r="I107" s="219" t="s">
        <v>353</v>
      </c>
      <c r="J107" s="219"/>
      <c r="K107" s="219"/>
      <c r="L107" s="219"/>
      <c r="M107" s="219"/>
      <c r="N107" s="219"/>
    </row>
    <row r="108" spans="2:14" ht="12.75" customHeight="1">
      <c r="B108" s="219" t="s">
        <v>354</v>
      </c>
      <c r="C108" s="219"/>
      <c r="D108" s="219"/>
      <c r="E108" s="219"/>
      <c r="F108" s="219"/>
      <c r="G108" s="219"/>
      <c r="H108" s="48"/>
      <c r="I108" s="219" t="s">
        <v>261</v>
      </c>
      <c r="J108" s="219"/>
      <c r="K108" s="219"/>
      <c r="L108" s="219"/>
      <c r="M108" s="219"/>
      <c r="N108" s="219"/>
    </row>
    <row r="109" spans="2:14" ht="12.75" customHeight="1">
      <c r="B109" s="219" t="s">
        <v>355</v>
      </c>
      <c r="C109" s="219"/>
      <c r="D109" s="219"/>
      <c r="E109" s="219"/>
      <c r="F109" s="219"/>
      <c r="G109" s="219"/>
      <c r="H109" s="48"/>
      <c r="I109" s="219" t="s">
        <v>262</v>
      </c>
      <c r="J109" s="219"/>
      <c r="K109" s="219"/>
      <c r="L109" s="219"/>
      <c r="M109" s="219"/>
      <c r="N109" s="219"/>
    </row>
    <row r="110" spans="2:14" ht="12.75" customHeight="1">
      <c r="B110" s="219" t="s">
        <v>356</v>
      </c>
      <c r="C110" s="219"/>
      <c r="D110" s="219"/>
      <c r="E110" s="219"/>
      <c r="F110" s="219"/>
      <c r="G110" s="219"/>
      <c r="H110" s="48"/>
      <c r="I110" s="219" t="s">
        <v>357</v>
      </c>
      <c r="J110" s="219"/>
      <c r="K110" s="219"/>
      <c r="L110" s="219"/>
      <c r="M110" s="219"/>
      <c r="N110" s="219"/>
    </row>
    <row r="111" spans="2:14" ht="12.75" customHeight="1">
      <c r="B111" s="219" t="s">
        <v>211</v>
      </c>
      <c r="C111" s="219"/>
      <c r="D111" s="219"/>
      <c r="E111" s="219"/>
      <c r="F111" s="219"/>
      <c r="G111" s="219"/>
      <c r="H111" s="49"/>
      <c r="I111" s="219" t="s">
        <v>187</v>
      </c>
      <c r="J111" s="219"/>
      <c r="K111" s="219"/>
      <c r="L111" s="219"/>
      <c r="M111" s="219"/>
      <c r="N111" s="219"/>
    </row>
    <row r="112" spans="2:14" ht="12.75" customHeight="1">
      <c r="B112" s="219"/>
      <c r="C112" s="219"/>
      <c r="D112" s="219"/>
      <c r="E112" s="219"/>
      <c r="F112" s="219"/>
      <c r="G112" s="219"/>
      <c r="H112" s="48"/>
      <c r="I112" s="41"/>
      <c r="J112" s="41"/>
      <c r="K112" s="41"/>
      <c r="L112" s="41"/>
      <c r="M112" s="41"/>
      <c r="N112" s="41"/>
    </row>
    <row r="113" spans="2:14" ht="12.75" customHeight="1">
      <c r="B113" s="217" t="s">
        <v>212</v>
      </c>
      <c r="C113" s="217"/>
      <c r="D113" s="217"/>
      <c r="E113" s="217"/>
      <c r="F113" s="217"/>
      <c r="G113" s="217"/>
      <c r="H113" s="48"/>
      <c r="I113" s="217" t="s">
        <v>263</v>
      </c>
      <c r="J113" s="217"/>
      <c r="K113" s="217"/>
      <c r="L113" s="217"/>
      <c r="M113" s="217"/>
      <c r="N113" s="217"/>
    </row>
    <row r="114" spans="2:14" ht="12.75" customHeight="1">
      <c r="B114" s="219" t="s">
        <v>213</v>
      </c>
      <c r="C114" s="219"/>
      <c r="D114" s="219"/>
      <c r="E114" s="219"/>
      <c r="F114" s="219"/>
      <c r="G114" s="219"/>
      <c r="H114" s="48"/>
      <c r="I114" s="214" t="s">
        <v>264</v>
      </c>
      <c r="J114" s="214"/>
      <c r="K114" s="214"/>
      <c r="L114" s="214"/>
      <c r="M114" s="214"/>
      <c r="N114" s="214"/>
    </row>
    <row r="115" spans="2:14" ht="12.75" customHeight="1">
      <c r="B115" s="219" t="s">
        <v>214</v>
      </c>
      <c r="C115" s="219"/>
      <c r="D115" s="219"/>
      <c r="E115" s="219"/>
      <c r="F115" s="219"/>
      <c r="G115" s="219"/>
      <c r="H115" s="49"/>
      <c r="I115" s="214" t="s">
        <v>358</v>
      </c>
      <c r="J115" s="214"/>
      <c r="K115" s="214"/>
      <c r="L115" s="214"/>
      <c r="M115" s="214"/>
      <c r="N115" s="214"/>
    </row>
    <row r="116" spans="2:14" ht="12.75" customHeight="1">
      <c r="B116" s="219" t="s">
        <v>215</v>
      </c>
      <c r="C116" s="219"/>
      <c r="D116" s="219"/>
      <c r="E116" s="219"/>
      <c r="F116" s="219"/>
      <c r="G116" s="219"/>
      <c r="I116" s="214" t="s">
        <v>359</v>
      </c>
      <c r="J116" s="214"/>
      <c r="K116" s="214"/>
      <c r="L116" s="214"/>
      <c r="M116" s="214"/>
      <c r="N116" s="214"/>
    </row>
    <row r="117" spans="2:14" ht="12.75" customHeight="1">
      <c r="B117" s="218" t="s">
        <v>360</v>
      </c>
      <c r="C117" s="218"/>
      <c r="D117" s="218"/>
      <c r="E117" s="218"/>
      <c r="F117" s="218"/>
      <c r="G117" s="218"/>
      <c r="I117" s="214" t="s">
        <v>265</v>
      </c>
      <c r="J117" s="214"/>
      <c r="K117" s="214"/>
      <c r="L117" s="214"/>
      <c r="M117" s="214"/>
      <c r="N117" s="214"/>
    </row>
    <row r="118" spans="2:14" ht="12.75" customHeight="1">
      <c r="B118" s="218" t="s">
        <v>310</v>
      </c>
      <c r="C118" s="218"/>
      <c r="D118" s="218"/>
      <c r="E118" s="218"/>
      <c r="F118" s="218"/>
      <c r="G118" s="218"/>
      <c r="I118" s="214" t="s">
        <v>266</v>
      </c>
      <c r="J118" s="214"/>
      <c r="K118" s="214"/>
      <c r="L118" s="214"/>
      <c r="M118" s="214"/>
      <c r="N118" s="214"/>
    </row>
    <row r="119" spans="2:14" ht="12.75" customHeight="1">
      <c r="B119" s="217"/>
      <c r="C119" s="217"/>
      <c r="D119" s="217"/>
      <c r="E119" s="217"/>
      <c r="F119" s="217"/>
      <c r="G119" s="217"/>
      <c r="H119" s="42"/>
      <c r="I119" s="214" t="s">
        <v>361</v>
      </c>
      <c r="J119" s="214"/>
      <c r="K119" s="214"/>
      <c r="L119" s="214"/>
      <c r="M119" s="214"/>
      <c r="N119" s="214"/>
    </row>
    <row r="120" spans="2:14" ht="12.75" customHeight="1">
      <c r="B120" s="217" t="s">
        <v>216</v>
      </c>
      <c r="C120" s="217"/>
      <c r="D120" s="217"/>
      <c r="E120" s="217"/>
      <c r="F120" s="217"/>
      <c r="G120" s="217"/>
      <c r="H120" s="48"/>
      <c r="I120" s="220" t="s">
        <v>362</v>
      </c>
      <c r="J120" s="220"/>
      <c r="K120" s="220"/>
      <c r="L120" s="220"/>
      <c r="M120" s="220"/>
      <c r="N120" s="220"/>
    </row>
    <row r="121" spans="2:14" ht="12.75" customHeight="1">
      <c r="B121" s="219" t="s">
        <v>217</v>
      </c>
      <c r="C121" s="219"/>
      <c r="D121" s="219"/>
      <c r="E121" s="219"/>
      <c r="F121" s="219"/>
      <c r="G121" s="219"/>
      <c r="H121" s="49"/>
      <c r="I121" s="220" t="s">
        <v>267</v>
      </c>
      <c r="J121" s="220"/>
      <c r="K121" s="220"/>
      <c r="L121" s="220"/>
      <c r="M121" s="220"/>
      <c r="N121" s="220"/>
    </row>
    <row r="122" spans="2:14" ht="12.75" customHeight="1">
      <c r="B122" s="219" t="s">
        <v>363</v>
      </c>
      <c r="C122" s="219"/>
      <c r="D122" s="219"/>
      <c r="E122" s="219"/>
      <c r="F122" s="219"/>
      <c r="G122" s="219"/>
      <c r="H122" s="48"/>
      <c r="I122" s="220" t="s">
        <v>268</v>
      </c>
      <c r="J122" s="220"/>
      <c r="K122" s="220"/>
      <c r="L122" s="220"/>
      <c r="M122" s="220"/>
      <c r="N122" s="220"/>
    </row>
    <row r="123" spans="2:14" ht="12.75" customHeight="1">
      <c r="B123" s="219" t="s">
        <v>218</v>
      </c>
      <c r="C123" s="219"/>
      <c r="D123" s="219"/>
      <c r="E123" s="219"/>
      <c r="F123" s="219"/>
      <c r="G123" s="219"/>
      <c r="H123" s="48"/>
      <c r="I123" s="221" t="s">
        <v>364</v>
      </c>
      <c r="J123" s="221"/>
      <c r="K123" s="221"/>
      <c r="L123" s="221"/>
      <c r="M123" s="221"/>
      <c r="N123" s="221"/>
    </row>
    <row r="124" spans="2:14" ht="12.75" customHeight="1">
      <c r="B124" s="218" t="s">
        <v>219</v>
      </c>
      <c r="C124" s="218"/>
      <c r="D124" s="218"/>
      <c r="E124" s="218"/>
      <c r="F124" s="218"/>
      <c r="G124" s="218"/>
      <c r="H124" s="49"/>
      <c r="I124" s="221" t="s">
        <v>365</v>
      </c>
      <c r="J124" s="221"/>
      <c r="K124" s="221"/>
      <c r="L124" s="221"/>
      <c r="M124" s="221"/>
      <c r="N124" s="221"/>
    </row>
    <row r="125" spans="2:14" ht="12.75" customHeight="1">
      <c r="B125" s="218" t="s">
        <v>220</v>
      </c>
      <c r="C125" s="218"/>
      <c r="D125" s="218"/>
      <c r="E125" s="218"/>
      <c r="F125" s="218"/>
      <c r="G125" s="218"/>
      <c r="H125" s="48"/>
      <c r="I125" s="221" t="s">
        <v>269</v>
      </c>
      <c r="J125" s="221"/>
      <c r="K125" s="221"/>
      <c r="L125" s="221"/>
      <c r="M125" s="221"/>
      <c r="N125" s="221"/>
    </row>
    <row r="126" spans="2:14" ht="12.75" customHeight="1">
      <c r="B126" s="218" t="s">
        <v>306</v>
      </c>
      <c r="C126" s="218"/>
      <c r="D126" s="218"/>
      <c r="E126" s="218"/>
      <c r="F126" s="218"/>
      <c r="G126" s="218"/>
      <c r="H126" s="49"/>
      <c r="I126" s="228" t="s">
        <v>366</v>
      </c>
      <c r="J126" s="228"/>
      <c r="K126" s="228"/>
      <c r="L126" s="228"/>
      <c r="M126" s="228"/>
      <c r="N126" s="228"/>
    </row>
    <row r="127" spans="2:14" ht="12.75" customHeight="1">
      <c r="B127" s="218" t="s">
        <v>221</v>
      </c>
      <c r="C127" s="218"/>
      <c r="D127" s="218"/>
      <c r="E127" s="218"/>
      <c r="F127" s="218"/>
      <c r="G127" s="218"/>
      <c r="H127" s="48"/>
      <c r="I127" s="221" t="s">
        <v>270</v>
      </c>
      <c r="J127" s="221"/>
      <c r="K127" s="221"/>
      <c r="L127" s="221"/>
      <c r="M127" s="221"/>
      <c r="N127" s="221"/>
    </row>
    <row r="128" spans="2:14" ht="12.75" customHeight="1">
      <c r="B128" s="218"/>
      <c r="C128" s="218"/>
      <c r="D128" s="218"/>
      <c r="E128" s="218"/>
      <c r="F128" s="218"/>
      <c r="G128" s="218"/>
      <c r="H128" s="49"/>
      <c r="I128" s="220" t="s">
        <v>367</v>
      </c>
      <c r="J128" s="220"/>
      <c r="K128" s="220"/>
      <c r="L128" s="220"/>
      <c r="M128" s="220"/>
      <c r="N128" s="220"/>
    </row>
    <row r="129" spans="2:14" ht="12.75" customHeight="1">
      <c r="B129" s="217" t="s">
        <v>222</v>
      </c>
      <c r="C129" s="217"/>
      <c r="D129" s="217"/>
      <c r="E129" s="217"/>
      <c r="F129" s="217"/>
      <c r="G129" s="217"/>
      <c r="H129" s="48"/>
      <c r="I129" s="220" t="s">
        <v>368</v>
      </c>
      <c r="J129" s="220"/>
      <c r="K129" s="220"/>
      <c r="L129" s="220"/>
      <c r="M129" s="220"/>
      <c r="N129" s="220"/>
    </row>
    <row r="130" spans="2:14" ht="12.75" customHeight="1">
      <c r="B130" s="227" t="s">
        <v>369</v>
      </c>
      <c r="C130" s="227"/>
      <c r="D130" s="227"/>
      <c r="E130" s="227"/>
      <c r="F130" s="227"/>
      <c r="G130" s="227"/>
      <c r="H130" s="49"/>
      <c r="I130" s="220" t="s">
        <v>271</v>
      </c>
      <c r="J130" s="220"/>
      <c r="K130" s="220"/>
      <c r="L130" s="220"/>
      <c r="M130" s="220"/>
      <c r="N130" s="220"/>
    </row>
    <row r="131" spans="2:14" ht="12.75" customHeight="1">
      <c r="B131" s="218" t="s">
        <v>223</v>
      </c>
      <c r="C131" s="218"/>
      <c r="D131" s="218"/>
      <c r="E131" s="218"/>
      <c r="F131" s="218"/>
      <c r="G131" s="218"/>
      <c r="H131" s="49"/>
      <c r="I131" s="220" t="s">
        <v>272</v>
      </c>
      <c r="J131" s="220"/>
      <c r="K131" s="220"/>
      <c r="L131" s="220"/>
      <c r="M131" s="220"/>
      <c r="N131" s="220"/>
    </row>
    <row r="132" spans="2:14" ht="12.75" customHeight="1">
      <c r="B132" s="218" t="s">
        <v>224</v>
      </c>
      <c r="C132" s="218"/>
      <c r="D132" s="218"/>
      <c r="E132" s="218"/>
      <c r="F132" s="218"/>
      <c r="G132" s="218"/>
      <c r="H132" s="42"/>
      <c r="I132" s="220" t="s">
        <v>273</v>
      </c>
      <c r="J132" s="220"/>
      <c r="K132" s="220"/>
      <c r="L132" s="220"/>
      <c r="M132" s="220"/>
      <c r="N132" s="220"/>
    </row>
    <row r="133" spans="2:14" ht="12.75" customHeight="1">
      <c r="B133" s="218" t="s">
        <v>370</v>
      </c>
      <c r="C133" s="218"/>
      <c r="D133" s="218"/>
      <c r="E133" s="218"/>
      <c r="F133" s="218"/>
      <c r="G133" s="218"/>
      <c r="H133" s="48"/>
      <c r="I133" s="214" t="s">
        <v>274</v>
      </c>
      <c r="J133" s="214"/>
      <c r="K133" s="214"/>
      <c r="L133" s="214"/>
      <c r="M133" s="214"/>
      <c r="N133" s="214"/>
    </row>
    <row r="134" spans="2:14" ht="12.75" customHeight="1">
      <c r="B134" s="218" t="s">
        <v>225</v>
      </c>
      <c r="C134" s="218"/>
      <c r="D134" s="218"/>
      <c r="E134" s="218"/>
      <c r="F134" s="218"/>
      <c r="G134" s="218"/>
      <c r="H134" s="46"/>
      <c r="I134" s="177"/>
      <c r="J134" s="177"/>
      <c r="K134" s="177"/>
      <c r="L134" s="177"/>
      <c r="M134" s="177"/>
      <c r="N134" s="177"/>
    </row>
    <row r="135" spans="2:14" ht="12.75" customHeight="1">
      <c r="B135" s="218" t="s">
        <v>226</v>
      </c>
      <c r="C135" s="218"/>
      <c r="D135" s="218"/>
      <c r="E135" s="218"/>
      <c r="F135" s="218"/>
      <c r="G135" s="218"/>
      <c r="H135" s="48"/>
      <c r="I135" s="217" t="s">
        <v>279</v>
      </c>
      <c r="J135" s="217"/>
      <c r="K135" s="217"/>
      <c r="L135" s="217"/>
      <c r="M135" s="217"/>
      <c r="N135" s="217"/>
    </row>
    <row r="136" spans="2:14" ht="12.75" customHeight="1">
      <c r="B136" s="218" t="s">
        <v>227</v>
      </c>
      <c r="C136" s="218"/>
      <c r="D136" s="218"/>
      <c r="E136" s="218"/>
      <c r="F136" s="218"/>
      <c r="G136" s="218"/>
      <c r="H136" s="46"/>
      <c r="I136" s="177" t="s">
        <v>275</v>
      </c>
      <c r="J136" s="177"/>
      <c r="K136" s="177"/>
      <c r="L136" s="177"/>
      <c r="M136" s="177"/>
      <c r="N136" s="177"/>
    </row>
    <row r="137" spans="2:14" ht="12.75" customHeight="1">
      <c r="B137" s="218" t="s">
        <v>228</v>
      </c>
      <c r="C137" s="218"/>
      <c r="D137" s="218"/>
      <c r="E137" s="218"/>
      <c r="F137" s="218"/>
      <c r="G137" s="218"/>
      <c r="H137" s="48"/>
      <c r="I137" s="177" t="s">
        <v>276</v>
      </c>
      <c r="J137" s="177"/>
      <c r="K137" s="177"/>
      <c r="L137" s="177"/>
      <c r="M137" s="177"/>
      <c r="N137" s="177"/>
    </row>
    <row r="138" spans="2:14" ht="12.75" customHeight="1">
      <c r="B138" s="218" t="s">
        <v>229</v>
      </c>
      <c r="C138" s="218"/>
      <c r="D138" s="218"/>
      <c r="E138" s="218"/>
      <c r="F138" s="218"/>
      <c r="G138" s="218"/>
      <c r="H138" s="46"/>
      <c r="I138" s="222" t="s">
        <v>277</v>
      </c>
      <c r="J138" s="222"/>
      <c r="K138" s="222"/>
      <c r="L138" s="222"/>
      <c r="M138" s="222"/>
      <c r="N138" s="222"/>
    </row>
    <row r="139" spans="2:14" ht="12.75" customHeight="1">
      <c r="B139" s="218" t="s">
        <v>230</v>
      </c>
      <c r="C139" s="218"/>
      <c r="D139" s="218"/>
      <c r="E139" s="218"/>
      <c r="F139" s="218"/>
      <c r="G139" s="218"/>
      <c r="H139" s="45"/>
      <c r="I139" s="222" t="s">
        <v>371</v>
      </c>
      <c r="J139" s="222"/>
      <c r="K139" s="222"/>
      <c r="L139" s="222"/>
      <c r="M139" s="222"/>
      <c r="N139" s="222"/>
    </row>
    <row r="140" spans="2:14" ht="12.75" customHeight="1">
      <c r="B140" s="218" t="s">
        <v>231</v>
      </c>
      <c r="C140" s="218"/>
      <c r="D140" s="218"/>
      <c r="E140" s="218"/>
      <c r="F140" s="218"/>
      <c r="G140" s="218"/>
      <c r="H140" s="46"/>
      <c r="I140" s="222" t="s">
        <v>278</v>
      </c>
      <c r="J140" s="222"/>
      <c r="K140" s="222"/>
      <c r="L140" s="222"/>
      <c r="M140" s="222"/>
      <c r="N140" s="222"/>
    </row>
    <row r="141" spans="2:14" ht="12.75" customHeight="1">
      <c r="B141" s="218" t="s">
        <v>232</v>
      </c>
      <c r="C141" s="218"/>
      <c r="D141" s="218"/>
      <c r="E141" s="218"/>
      <c r="F141" s="218"/>
      <c r="G141" s="218"/>
      <c r="H141" s="45"/>
      <c r="I141" s="222"/>
      <c r="J141" s="222"/>
      <c r="K141" s="222"/>
      <c r="L141" s="222"/>
      <c r="M141" s="222"/>
      <c r="N141" s="222"/>
    </row>
    <row r="142" spans="2:14" ht="12.75" customHeight="1">
      <c r="B142" s="218" t="s">
        <v>233</v>
      </c>
      <c r="C142" s="218"/>
      <c r="D142" s="218"/>
      <c r="E142" s="218"/>
      <c r="F142" s="218"/>
      <c r="G142" s="218"/>
      <c r="H142" s="45"/>
      <c r="I142" s="217" t="s">
        <v>280</v>
      </c>
      <c r="J142" s="217"/>
      <c r="K142" s="217"/>
      <c r="L142" s="217"/>
      <c r="M142" s="217"/>
      <c r="N142" s="217"/>
    </row>
    <row r="143" spans="2:14" ht="12.75" customHeight="1">
      <c r="B143" s="218" t="s">
        <v>234</v>
      </c>
      <c r="C143" s="218"/>
      <c r="D143" s="218"/>
      <c r="E143" s="218"/>
      <c r="F143" s="218"/>
      <c r="G143" s="218"/>
      <c r="H143" s="46"/>
      <c r="I143" s="222" t="s">
        <v>281</v>
      </c>
      <c r="J143" s="222"/>
      <c r="K143" s="222"/>
      <c r="L143" s="222"/>
      <c r="M143" s="222"/>
      <c r="N143" s="222"/>
    </row>
    <row r="144" spans="2:14" ht="12.75" customHeight="1">
      <c r="B144" s="218" t="s">
        <v>235</v>
      </c>
      <c r="C144" s="218"/>
      <c r="D144" s="218"/>
      <c r="E144" s="218"/>
      <c r="F144" s="218"/>
      <c r="G144" s="218"/>
      <c r="H144" s="46"/>
      <c r="I144" s="218" t="s">
        <v>372</v>
      </c>
      <c r="J144" s="218"/>
      <c r="K144" s="218"/>
      <c r="L144" s="218"/>
      <c r="M144" s="218"/>
      <c r="N144" s="218"/>
    </row>
    <row r="145" spans="2:14" ht="12.75" customHeight="1">
      <c r="B145" s="218"/>
      <c r="C145" s="218"/>
      <c r="D145" s="218"/>
      <c r="E145" s="218"/>
      <c r="F145" s="218"/>
      <c r="G145" s="218"/>
      <c r="H145" s="46"/>
      <c r="I145" s="225"/>
      <c r="J145" s="225"/>
      <c r="K145" s="225"/>
      <c r="L145" s="225"/>
      <c r="M145" s="225"/>
      <c r="N145" s="225"/>
    </row>
    <row r="146" spans="2:14" ht="12.75" customHeight="1">
      <c r="B146" s="217" t="s">
        <v>236</v>
      </c>
      <c r="C146" s="217"/>
      <c r="D146" s="217"/>
      <c r="E146" s="217"/>
      <c r="F146" s="217"/>
      <c r="G146" s="217"/>
      <c r="H146" s="42"/>
      <c r="I146" s="217" t="s">
        <v>282</v>
      </c>
      <c r="J146" s="217"/>
      <c r="K146" s="217"/>
      <c r="L146" s="217"/>
      <c r="M146" s="217"/>
      <c r="N146" s="217"/>
    </row>
    <row r="147" spans="2:14" ht="12.75" customHeight="1">
      <c r="B147" s="218" t="s">
        <v>237</v>
      </c>
      <c r="C147" s="218"/>
      <c r="D147" s="218"/>
      <c r="E147" s="218"/>
      <c r="F147" s="218"/>
      <c r="G147" s="218"/>
      <c r="H147" s="46"/>
      <c r="I147" s="222" t="s">
        <v>283</v>
      </c>
      <c r="J147" s="222"/>
      <c r="K147" s="222"/>
      <c r="L147" s="222"/>
      <c r="M147" s="222"/>
      <c r="N147" s="222"/>
    </row>
    <row r="148" spans="2:14" ht="12.75" customHeight="1">
      <c r="B148" s="218" t="s">
        <v>373</v>
      </c>
      <c r="C148" s="218"/>
      <c r="D148" s="218"/>
      <c r="E148" s="218"/>
      <c r="F148" s="218"/>
      <c r="G148" s="218"/>
      <c r="H148" s="45"/>
      <c r="I148" s="222" t="s">
        <v>374</v>
      </c>
      <c r="J148" s="222"/>
      <c r="K148" s="222"/>
      <c r="L148" s="222"/>
      <c r="M148" s="222"/>
      <c r="N148" s="222"/>
    </row>
    <row r="149" spans="2:14" ht="12.75" customHeight="1">
      <c r="B149" s="226" t="s">
        <v>375</v>
      </c>
      <c r="C149" s="226"/>
      <c r="D149" s="226"/>
      <c r="E149" s="226"/>
      <c r="F149" s="226"/>
      <c r="G149" s="226"/>
      <c r="H149" s="45"/>
      <c r="I149" s="217"/>
      <c r="J149" s="217"/>
      <c r="K149" s="217"/>
      <c r="L149" s="217"/>
      <c r="M149" s="217"/>
      <c r="N149" s="217"/>
    </row>
    <row r="150" spans="2:14" ht="12.75" customHeight="1">
      <c r="B150" s="218" t="s">
        <v>376</v>
      </c>
      <c r="C150" s="218"/>
      <c r="D150" s="218"/>
      <c r="E150" s="218"/>
      <c r="F150" s="218"/>
      <c r="G150" s="218"/>
      <c r="H150" s="45"/>
      <c r="I150" s="217" t="s">
        <v>284</v>
      </c>
      <c r="J150" s="217"/>
      <c r="K150" s="217"/>
      <c r="L150" s="217"/>
      <c r="M150" s="217"/>
      <c r="N150" s="217"/>
    </row>
    <row r="151" spans="2:14" ht="12.75" customHeight="1">
      <c r="B151" s="218" t="s">
        <v>377</v>
      </c>
      <c r="C151" s="218"/>
      <c r="D151" s="218"/>
      <c r="E151" s="218"/>
      <c r="F151" s="218"/>
      <c r="G151" s="218"/>
      <c r="H151" s="45"/>
      <c r="I151" s="221" t="s">
        <v>378</v>
      </c>
      <c r="J151" s="221"/>
      <c r="K151" s="221"/>
      <c r="L151" s="221"/>
      <c r="M151" s="221"/>
      <c r="N151" s="221"/>
    </row>
    <row r="152" spans="2:14" ht="12.75" customHeight="1">
      <c r="B152" s="218" t="s">
        <v>238</v>
      </c>
      <c r="C152" s="218"/>
      <c r="D152" s="218"/>
      <c r="E152" s="218"/>
      <c r="F152" s="218"/>
      <c r="G152" s="218"/>
      <c r="H152" s="46"/>
      <c r="I152" s="177" t="s">
        <v>379</v>
      </c>
      <c r="J152" s="177"/>
      <c r="K152" s="177"/>
      <c r="L152" s="177"/>
      <c r="M152" s="177"/>
      <c r="N152" s="177"/>
    </row>
    <row r="153" spans="2:14" ht="12.75" customHeight="1">
      <c r="B153" s="218" t="s">
        <v>380</v>
      </c>
      <c r="C153" s="218"/>
      <c r="D153" s="218"/>
      <c r="E153" s="218"/>
      <c r="F153" s="218"/>
      <c r="G153" s="218"/>
      <c r="H153" s="46"/>
      <c r="I153" s="177" t="s">
        <v>285</v>
      </c>
      <c r="J153" s="177"/>
      <c r="K153" s="177"/>
      <c r="L153" s="177"/>
      <c r="M153" s="177"/>
      <c r="N153" s="177"/>
    </row>
    <row r="154" spans="2:14" ht="12.75" customHeight="1">
      <c r="B154" s="218" t="s">
        <v>381</v>
      </c>
      <c r="C154" s="218"/>
      <c r="D154" s="218"/>
      <c r="E154" s="218"/>
      <c r="F154" s="218"/>
      <c r="G154" s="218"/>
      <c r="H154" s="46"/>
      <c r="I154" s="217"/>
      <c r="J154" s="217"/>
      <c r="K154" s="217"/>
      <c r="L154" s="217"/>
      <c r="M154" s="217"/>
      <c r="N154" s="217"/>
    </row>
    <row r="155" spans="2:14" ht="12.75" customHeight="1">
      <c r="B155" s="218" t="s">
        <v>382</v>
      </c>
      <c r="C155" s="218"/>
      <c r="D155" s="218"/>
      <c r="E155" s="218"/>
      <c r="F155" s="218"/>
      <c r="G155" s="218"/>
      <c r="H155" s="46"/>
      <c r="I155" s="217" t="s">
        <v>286</v>
      </c>
      <c r="J155" s="217"/>
      <c r="K155" s="217"/>
      <c r="L155" s="217"/>
      <c r="M155" s="217"/>
      <c r="N155" s="217"/>
    </row>
    <row r="156" spans="2:14" ht="12.75" customHeight="1">
      <c r="B156" s="218" t="s">
        <v>383</v>
      </c>
      <c r="C156" s="218"/>
      <c r="D156" s="218"/>
      <c r="E156" s="218"/>
      <c r="F156" s="218"/>
      <c r="G156" s="218"/>
      <c r="H156" s="46"/>
      <c r="I156" s="177" t="s">
        <v>287</v>
      </c>
      <c r="J156" s="177"/>
      <c r="K156" s="177"/>
      <c r="L156" s="177"/>
      <c r="M156" s="177"/>
      <c r="N156" s="177"/>
    </row>
    <row r="157" spans="2:14" ht="12.75" customHeight="1">
      <c r="B157" s="49"/>
      <c r="C157" s="49"/>
      <c r="D157" s="49"/>
      <c r="E157" s="49"/>
      <c r="F157" s="49"/>
      <c r="G157" s="49"/>
      <c r="H157" s="46"/>
      <c r="I157" s="177" t="s">
        <v>288</v>
      </c>
      <c r="J157" s="177"/>
      <c r="K157" s="177"/>
      <c r="L157" s="177"/>
      <c r="M157" s="177"/>
      <c r="N157" s="177"/>
    </row>
    <row r="158" spans="2:14" ht="12.75" customHeight="1">
      <c r="B158" s="217" t="s">
        <v>239</v>
      </c>
      <c r="C158" s="217"/>
      <c r="D158" s="217"/>
      <c r="E158" s="217"/>
      <c r="F158" s="217"/>
      <c r="G158" s="217"/>
      <c r="H158" s="45"/>
      <c r="I158" s="177" t="s">
        <v>289</v>
      </c>
      <c r="J158" s="177"/>
      <c r="K158" s="177"/>
      <c r="L158" s="177"/>
      <c r="M158" s="177"/>
      <c r="N158" s="177"/>
    </row>
    <row r="159" spans="2:14" ht="12.75" customHeight="1">
      <c r="B159" s="222" t="s">
        <v>384</v>
      </c>
      <c r="C159" s="222"/>
      <c r="D159" s="222"/>
      <c r="E159" s="222"/>
      <c r="F159" s="222"/>
      <c r="G159" s="222"/>
      <c r="H159" s="46"/>
      <c r="I159" s="177"/>
      <c r="J159" s="177"/>
      <c r="K159" s="177"/>
      <c r="L159" s="177"/>
      <c r="M159" s="177"/>
      <c r="N159" s="177"/>
    </row>
    <row r="160" spans="2:14" ht="12.75" customHeight="1">
      <c r="B160" s="222" t="s">
        <v>187</v>
      </c>
      <c r="C160" s="222"/>
      <c r="D160" s="222"/>
      <c r="E160" s="222"/>
      <c r="F160" s="222"/>
      <c r="G160" s="222"/>
      <c r="H160" s="46"/>
      <c r="I160" s="217" t="s">
        <v>290</v>
      </c>
      <c r="J160" s="217"/>
      <c r="K160" s="217"/>
      <c r="L160" s="217"/>
      <c r="M160" s="217"/>
      <c r="N160" s="217"/>
    </row>
    <row r="161" spans="2:14" ht="12.75" customHeight="1">
      <c r="B161" s="222" t="s">
        <v>385</v>
      </c>
      <c r="C161" s="222"/>
      <c r="D161" s="222"/>
      <c r="E161" s="222"/>
      <c r="F161" s="222"/>
      <c r="G161" s="222"/>
      <c r="H161" s="46"/>
      <c r="I161" s="177" t="s">
        <v>386</v>
      </c>
      <c r="J161" s="177"/>
      <c r="K161" s="177"/>
      <c r="L161" s="177"/>
      <c r="M161" s="177"/>
      <c r="N161" s="177"/>
    </row>
    <row r="162" spans="2:14" ht="12.75" customHeight="1">
      <c r="B162" s="216" t="s">
        <v>240</v>
      </c>
      <c r="C162" s="216"/>
      <c r="D162" s="216"/>
      <c r="E162" s="216"/>
      <c r="F162" s="216"/>
      <c r="G162" s="216"/>
      <c r="H162" s="45"/>
      <c r="I162" s="177"/>
      <c r="J162" s="177"/>
      <c r="K162" s="177"/>
      <c r="L162" s="177"/>
      <c r="M162" s="177"/>
      <c r="N162" s="177"/>
    </row>
    <row r="163" spans="2:14" ht="12.75" customHeight="1">
      <c r="B163" s="222" t="s">
        <v>387</v>
      </c>
      <c r="C163" s="222"/>
      <c r="D163" s="222"/>
      <c r="E163" s="222"/>
      <c r="F163" s="222"/>
      <c r="G163" s="222"/>
      <c r="H163" s="46"/>
      <c r="I163" s="41"/>
      <c r="J163" s="41"/>
      <c r="K163" s="41"/>
      <c r="L163" s="41"/>
      <c r="M163" s="41"/>
      <c r="N163" s="41"/>
    </row>
    <row r="164" spans="2:14" ht="12.75" customHeight="1">
      <c r="B164" s="218" t="s">
        <v>241</v>
      </c>
      <c r="C164" s="218"/>
      <c r="D164" s="218"/>
      <c r="E164" s="218"/>
      <c r="F164" s="218"/>
      <c r="G164" s="218"/>
      <c r="H164" s="46"/>
      <c r="I164" s="223" t="s">
        <v>293</v>
      </c>
      <c r="J164" s="223"/>
      <c r="K164" s="223"/>
      <c r="L164" s="223"/>
      <c r="M164" s="223"/>
      <c r="N164" s="223"/>
    </row>
    <row r="165" spans="2:14" ht="12.75" customHeight="1">
      <c r="B165" s="218" t="s">
        <v>388</v>
      </c>
      <c r="C165" s="218"/>
      <c r="D165" s="218"/>
      <c r="E165" s="218"/>
      <c r="F165" s="218"/>
      <c r="G165" s="218"/>
      <c r="H165" s="42"/>
      <c r="I165" s="41"/>
      <c r="J165" s="41"/>
      <c r="K165" s="41"/>
      <c r="L165" s="41"/>
      <c r="M165" s="41"/>
      <c r="N165" s="41"/>
    </row>
    <row r="166" spans="2:14" ht="12.75" customHeight="1">
      <c r="B166" s="218" t="s">
        <v>242</v>
      </c>
      <c r="C166" s="218"/>
      <c r="D166" s="218"/>
      <c r="E166" s="218"/>
      <c r="F166" s="218"/>
      <c r="G166" s="218"/>
      <c r="H166" s="45"/>
      <c r="I166" s="41"/>
      <c r="J166" s="41"/>
      <c r="K166" s="41"/>
      <c r="L166" s="41"/>
      <c r="M166" s="41"/>
      <c r="N166" s="71" t="s">
        <v>72</v>
      </c>
    </row>
    <row r="167" spans="2:14" ht="12.75" customHeight="1">
      <c r="B167" s="218" t="s">
        <v>243</v>
      </c>
      <c r="C167" s="218"/>
      <c r="D167" s="218"/>
      <c r="E167" s="218"/>
      <c r="F167" s="218"/>
      <c r="G167" s="218"/>
      <c r="H167" s="46"/>
      <c r="I167" s="41"/>
      <c r="J167" s="41"/>
      <c r="K167" s="41"/>
      <c r="L167" s="41"/>
      <c r="M167" s="41"/>
      <c r="N167" s="41"/>
    </row>
    <row r="168" spans="2:14" ht="12.75" customHeight="1">
      <c r="B168" s="218" t="s">
        <v>244</v>
      </c>
      <c r="C168" s="218"/>
      <c r="D168" s="218"/>
      <c r="E168" s="218"/>
      <c r="F168" s="218"/>
      <c r="G168" s="218"/>
      <c r="H168" s="45"/>
      <c r="I168" s="224" t="s">
        <v>444</v>
      </c>
      <c r="J168" s="224"/>
      <c r="K168" s="224"/>
      <c r="L168" s="224"/>
      <c r="M168" s="224"/>
      <c r="N168" s="224"/>
    </row>
    <row r="169" spans="2:14" ht="12.75" customHeight="1">
      <c r="B169" s="218"/>
      <c r="C169" s="218"/>
      <c r="D169" s="218"/>
      <c r="E169" s="218"/>
      <c r="F169" s="218"/>
      <c r="G169" s="218"/>
      <c r="H169" s="45"/>
      <c r="I169" s="41"/>
      <c r="J169" s="41"/>
      <c r="K169" s="41"/>
      <c r="L169" s="41"/>
      <c r="M169" s="41"/>
      <c r="N169" s="41"/>
    </row>
    <row r="170" spans="2:14" ht="12.75" customHeight="1">
      <c r="B170" s="217" t="s">
        <v>245</v>
      </c>
      <c r="C170" s="217"/>
      <c r="D170" s="217"/>
      <c r="E170" s="217"/>
      <c r="F170" s="217"/>
      <c r="G170" s="217"/>
      <c r="H170" s="45"/>
      <c r="I170" s="41"/>
      <c r="J170" s="41"/>
      <c r="K170" s="41"/>
      <c r="L170" s="41"/>
      <c r="M170" s="41"/>
      <c r="N170" s="41"/>
    </row>
    <row r="171" spans="2:14" ht="12.75" customHeight="1">
      <c r="B171" s="218" t="s">
        <v>389</v>
      </c>
      <c r="C171" s="218"/>
      <c r="D171" s="218"/>
      <c r="E171" s="218"/>
      <c r="F171" s="218"/>
      <c r="G171" s="218"/>
      <c r="H171" s="46"/>
      <c r="I171" s="41"/>
      <c r="J171" s="41"/>
      <c r="K171" s="41"/>
      <c r="L171" s="41"/>
      <c r="M171" s="41"/>
      <c r="N171" s="41"/>
    </row>
    <row r="172" spans="2:14" ht="12.75" customHeight="1">
      <c r="B172" s="218" t="s">
        <v>305</v>
      </c>
      <c r="C172" s="218"/>
      <c r="D172" s="218"/>
      <c r="E172" s="218"/>
      <c r="F172" s="218"/>
      <c r="G172" s="218"/>
      <c r="H172" s="45"/>
      <c r="I172" s="41"/>
      <c r="J172" s="41"/>
      <c r="K172" s="41"/>
      <c r="L172" s="41"/>
      <c r="M172" s="41"/>
      <c r="N172" s="41"/>
    </row>
    <row r="173" spans="2:14" ht="12.75" customHeight="1">
      <c r="B173" s="218" t="s">
        <v>246</v>
      </c>
      <c r="C173" s="218"/>
      <c r="D173" s="218"/>
      <c r="E173" s="218"/>
      <c r="F173" s="218"/>
      <c r="G173" s="218"/>
      <c r="H173" s="45"/>
      <c r="I173" s="41"/>
      <c r="J173" s="41"/>
      <c r="K173" s="41"/>
      <c r="L173" s="41"/>
      <c r="M173" s="41"/>
      <c r="N173" s="41"/>
    </row>
    <row r="174" spans="2:14" ht="12.75" customHeight="1">
      <c r="B174" s="218" t="s">
        <v>247</v>
      </c>
      <c r="C174" s="218"/>
      <c r="D174" s="218"/>
      <c r="E174" s="218"/>
      <c r="F174" s="218"/>
      <c r="G174" s="218"/>
      <c r="H174" s="45"/>
      <c r="I174" s="41"/>
      <c r="J174" s="41"/>
      <c r="K174" s="41"/>
      <c r="L174" s="41"/>
      <c r="M174" s="41"/>
      <c r="N174" s="41"/>
    </row>
    <row r="175" spans="2:14" ht="12.75" customHeight="1">
      <c r="B175" s="218" t="s">
        <v>248</v>
      </c>
      <c r="C175" s="218"/>
      <c r="D175" s="218"/>
      <c r="E175" s="218"/>
      <c r="F175" s="218"/>
      <c r="G175" s="218"/>
      <c r="H175" s="45"/>
      <c r="I175" s="41"/>
      <c r="J175" s="41"/>
      <c r="K175" s="41"/>
      <c r="L175" s="41"/>
      <c r="M175" s="41"/>
      <c r="N175" s="41"/>
    </row>
    <row r="176" spans="2:14" ht="12.75" customHeight="1">
      <c r="B176" s="218" t="s">
        <v>249</v>
      </c>
      <c r="C176" s="218"/>
      <c r="D176" s="218"/>
      <c r="E176" s="218"/>
      <c r="F176" s="218"/>
      <c r="G176" s="218"/>
      <c r="H176" s="46"/>
      <c r="I176" s="41"/>
      <c r="J176" s="41"/>
      <c r="K176" s="41"/>
      <c r="L176" s="41"/>
      <c r="M176" s="41"/>
      <c r="N176" s="41"/>
    </row>
    <row r="177" spans="2:14" ht="12.75" customHeight="1">
      <c r="B177" s="218" t="s">
        <v>390</v>
      </c>
      <c r="C177" s="218"/>
      <c r="D177" s="218"/>
      <c r="E177" s="218"/>
      <c r="F177" s="218"/>
      <c r="G177" s="218"/>
      <c r="H177" s="46"/>
      <c r="I177" s="41"/>
      <c r="J177" s="41"/>
      <c r="K177" s="41"/>
      <c r="L177" s="41"/>
      <c r="M177" s="41"/>
      <c r="N177" s="41"/>
    </row>
    <row r="178" spans="2:14" ht="12.75" customHeight="1">
      <c r="B178" s="218" t="s">
        <v>391</v>
      </c>
      <c r="C178" s="218"/>
      <c r="D178" s="218"/>
      <c r="E178" s="218"/>
      <c r="F178" s="218"/>
      <c r="G178" s="218"/>
      <c r="H178" s="46"/>
      <c r="I178" s="41"/>
      <c r="J178" s="41"/>
      <c r="K178" s="41"/>
      <c r="L178" s="41"/>
      <c r="M178" s="41"/>
      <c r="N178" s="41"/>
    </row>
    <row r="179" spans="2:14" ht="12.75" customHeight="1">
      <c r="B179" s="218" t="s">
        <v>250</v>
      </c>
      <c r="C179" s="218"/>
      <c r="D179" s="218"/>
      <c r="E179" s="218"/>
      <c r="F179" s="218"/>
      <c r="G179" s="218"/>
      <c r="H179" s="45"/>
      <c r="I179" s="41"/>
      <c r="J179" s="41"/>
      <c r="K179" s="41"/>
      <c r="L179" s="41"/>
      <c r="M179" s="41"/>
      <c r="N179" s="41"/>
    </row>
    <row r="180" spans="2:14" ht="12.75" customHeight="1">
      <c r="B180" s="218" t="s">
        <v>392</v>
      </c>
      <c r="C180" s="218"/>
      <c r="D180" s="218"/>
      <c r="E180" s="218"/>
      <c r="F180" s="218"/>
      <c r="G180" s="218"/>
      <c r="H180" s="46"/>
      <c r="I180" s="41"/>
      <c r="J180" s="41"/>
      <c r="K180" s="41"/>
      <c r="L180" s="41"/>
      <c r="M180" s="41"/>
      <c r="N180" s="41"/>
    </row>
    <row r="181" spans="2:14" ht="12.75" customHeight="1">
      <c r="B181" s="218" t="s">
        <v>251</v>
      </c>
      <c r="C181" s="218"/>
      <c r="D181" s="218"/>
      <c r="E181" s="218"/>
      <c r="F181" s="218"/>
      <c r="G181" s="218"/>
      <c r="H181" s="42"/>
      <c r="I181" s="41"/>
      <c r="J181" s="41"/>
      <c r="K181" s="41"/>
      <c r="L181" s="41"/>
      <c r="M181" s="41"/>
      <c r="N181" s="41"/>
    </row>
    <row r="182" spans="2:14" ht="12.75" customHeight="1">
      <c r="B182" s="218" t="s">
        <v>252</v>
      </c>
      <c r="C182" s="218"/>
      <c r="D182" s="218"/>
      <c r="E182" s="218"/>
      <c r="F182" s="218"/>
      <c r="G182" s="218"/>
      <c r="H182" s="42"/>
      <c r="I182" s="41"/>
      <c r="J182" s="41"/>
      <c r="K182" s="41"/>
      <c r="L182" s="41"/>
      <c r="M182" s="41"/>
      <c r="N182" s="41"/>
    </row>
    <row r="183" spans="2:14" ht="12.75" customHeight="1">
      <c r="B183" s="218" t="s">
        <v>253</v>
      </c>
      <c r="C183" s="218"/>
      <c r="D183" s="218"/>
      <c r="E183" s="218"/>
      <c r="F183" s="218"/>
      <c r="G183" s="218"/>
      <c r="H183" s="45"/>
      <c r="I183" s="41"/>
      <c r="J183" s="41"/>
      <c r="K183" s="41"/>
      <c r="L183" s="41"/>
      <c r="M183" s="41"/>
      <c r="N183" s="41"/>
    </row>
    <row r="184" spans="2:14" ht="12.75" customHeight="1">
      <c r="B184" s="218" t="s">
        <v>254</v>
      </c>
      <c r="C184" s="218"/>
      <c r="D184" s="218"/>
      <c r="E184" s="218"/>
      <c r="F184" s="218"/>
      <c r="G184" s="218"/>
      <c r="H184" s="46"/>
      <c r="I184" s="41"/>
      <c r="J184" s="41"/>
      <c r="K184" s="41"/>
      <c r="L184" s="41"/>
      <c r="M184" s="41"/>
      <c r="N184" s="41"/>
    </row>
    <row r="185" spans="2:14" ht="12.75" customHeight="1">
      <c r="B185" s="45"/>
      <c r="C185" s="45"/>
      <c r="D185" s="45"/>
      <c r="E185" s="45"/>
      <c r="F185" s="45"/>
      <c r="G185" s="45"/>
      <c r="H185" s="45"/>
      <c r="I185" s="41"/>
      <c r="J185" s="41"/>
      <c r="K185" s="41"/>
      <c r="L185" s="41"/>
      <c r="M185" s="41"/>
      <c r="N185" s="41"/>
    </row>
    <row r="186" spans="2:14" ht="12.75" customHeight="1">
      <c r="B186" s="42" t="s">
        <v>255</v>
      </c>
      <c r="C186" s="42"/>
      <c r="D186" s="42"/>
      <c r="E186" s="42"/>
      <c r="F186" s="42"/>
      <c r="G186" s="42"/>
      <c r="H186" s="45"/>
      <c r="I186" s="41"/>
      <c r="J186" s="41"/>
      <c r="K186" s="41"/>
      <c r="L186" s="41"/>
      <c r="M186" s="41"/>
      <c r="N186" s="41"/>
    </row>
    <row r="187" spans="2:14" ht="12.75" customHeight="1">
      <c r="B187" s="216" t="s">
        <v>256</v>
      </c>
      <c r="C187" s="216"/>
      <c r="D187" s="216"/>
      <c r="E187" s="216"/>
      <c r="F187" s="216"/>
      <c r="G187" s="216"/>
      <c r="H187" s="45"/>
      <c r="I187" s="41"/>
      <c r="J187" s="41"/>
      <c r="K187" s="41"/>
      <c r="L187" s="41"/>
      <c r="M187" s="41"/>
      <c r="N187" s="41"/>
    </row>
    <row r="188" spans="2:14" ht="12.75" customHeight="1">
      <c r="B188" s="216" t="s">
        <v>393</v>
      </c>
      <c r="C188" s="216"/>
      <c r="D188" s="216"/>
      <c r="E188" s="216"/>
      <c r="F188" s="216"/>
      <c r="G188" s="216"/>
      <c r="H188" s="46"/>
      <c r="I188" s="41"/>
      <c r="J188" s="41"/>
      <c r="K188" s="41"/>
      <c r="L188" s="41"/>
      <c r="M188" s="41"/>
      <c r="N188" s="41"/>
    </row>
    <row r="189" spans="2:14" ht="12.75" customHeight="1">
      <c r="B189" s="216" t="s">
        <v>257</v>
      </c>
      <c r="C189" s="216"/>
      <c r="D189" s="216"/>
      <c r="E189" s="216"/>
      <c r="F189" s="216"/>
      <c r="G189" s="216"/>
      <c r="H189" s="45"/>
      <c r="I189" s="41"/>
      <c r="J189" s="41"/>
      <c r="K189" s="41"/>
      <c r="L189" s="41"/>
      <c r="M189" s="41"/>
      <c r="N189" s="41"/>
    </row>
    <row r="190" spans="2:14" ht="12.75" customHeight="1">
      <c r="B190" s="216" t="s">
        <v>258</v>
      </c>
      <c r="C190" s="216"/>
      <c r="D190" s="216"/>
      <c r="E190" s="216"/>
      <c r="F190" s="216"/>
      <c r="G190" s="216"/>
      <c r="H190" s="46"/>
      <c r="I190" s="41"/>
      <c r="J190" s="41"/>
      <c r="K190" s="41"/>
      <c r="L190" s="41"/>
      <c r="M190" s="41"/>
      <c r="N190" s="41"/>
    </row>
    <row r="191" spans="2:14" ht="12.75" customHeight="1">
      <c r="B191" s="216" t="s">
        <v>394</v>
      </c>
      <c r="C191" s="216"/>
      <c r="D191" s="216"/>
      <c r="E191" s="216"/>
      <c r="F191" s="216"/>
      <c r="G191" s="216"/>
      <c r="H191" s="46"/>
      <c r="I191" s="41"/>
      <c r="J191" s="41"/>
      <c r="K191" s="41"/>
      <c r="L191" s="41"/>
      <c r="M191" s="41"/>
      <c r="N191" s="41"/>
    </row>
    <row r="192" spans="2:14" ht="12.75" customHeight="1">
      <c r="B192" s="222" t="s">
        <v>259</v>
      </c>
      <c r="C192" s="222"/>
      <c r="D192" s="222"/>
      <c r="E192" s="222"/>
      <c r="F192" s="222"/>
      <c r="G192" s="222"/>
      <c r="H192" s="42"/>
      <c r="I192" s="41"/>
      <c r="J192" s="41"/>
      <c r="K192" s="41"/>
      <c r="L192" s="41"/>
      <c r="M192" s="41"/>
      <c r="N192" s="41"/>
    </row>
    <row r="193" spans="2:14" ht="12.75" customHeight="1">
      <c r="B193" s="222"/>
      <c r="C193" s="222"/>
      <c r="D193" s="222"/>
      <c r="E193" s="222"/>
      <c r="F193" s="222"/>
      <c r="G193" s="222"/>
      <c r="H193" s="45"/>
      <c r="I193" s="41"/>
      <c r="J193" s="41"/>
      <c r="K193" s="41"/>
      <c r="L193" s="41"/>
      <c r="M193" s="41"/>
      <c r="N193" s="41"/>
    </row>
    <row r="194" spans="2:14" ht="12.75" customHeight="1">
      <c r="B194" s="217"/>
      <c r="C194" s="217"/>
      <c r="D194" s="217"/>
      <c r="E194" s="217"/>
      <c r="F194" s="217"/>
      <c r="G194" s="217"/>
      <c r="H194" s="45"/>
      <c r="I194" s="41"/>
      <c r="J194" s="41"/>
      <c r="K194" s="41"/>
      <c r="L194" s="41"/>
      <c r="M194" s="41"/>
      <c r="N194" s="41"/>
    </row>
    <row r="195" spans="2:14" ht="12.75" customHeight="1">
      <c r="B195" s="225"/>
      <c r="C195" s="225"/>
      <c r="D195" s="225"/>
      <c r="E195" s="225"/>
      <c r="F195" s="225"/>
      <c r="G195" s="225"/>
      <c r="H195" s="46"/>
      <c r="I195" s="177"/>
      <c r="J195" s="177"/>
      <c r="K195" s="177"/>
      <c r="L195" s="177"/>
      <c r="M195" s="177"/>
      <c r="N195" s="177"/>
    </row>
    <row r="196" spans="2:14" ht="12.75" customHeight="1">
      <c r="B196" s="225"/>
      <c r="C196" s="225"/>
      <c r="D196" s="225"/>
      <c r="E196" s="225"/>
      <c r="F196" s="225"/>
      <c r="G196" s="225"/>
      <c r="H196" s="45"/>
      <c r="I196" s="177"/>
      <c r="J196" s="177"/>
      <c r="K196" s="177"/>
      <c r="L196" s="177"/>
      <c r="M196" s="177"/>
      <c r="N196" s="177"/>
    </row>
    <row r="197" spans="2:14" ht="12.75" customHeight="1">
      <c r="B197" s="219"/>
      <c r="C197" s="219"/>
      <c r="D197" s="219"/>
      <c r="E197" s="219"/>
      <c r="F197" s="219"/>
      <c r="G197" s="219"/>
      <c r="H197" s="45"/>
      <c r="I197" s="224"/>
      <c r="J197" s="224"/>
      <c r="K197" s="224"/>
      <c r="L197" s="224"/>
      <c r="M197" s="224"/>
      <c r="N197" s="224"/>
    </row>
    <row r="198" spans="2:14" ht="12.75" customHeight="1">
      <c r="B198" s="225"/>
      <c r="C198" s="225"/>
      <c r="D198" s="225"/>
      <c r="E198" s="225"/>
      <c r="F198" s="225"/>
      <c r="G198" s="225"/>
      <c r="H198" s="46"/>
    </row>
    <row r="199" spans="2:14" ht="12.9" customHeight="1">
      <c r="B199" s="216"/>
      <c r="C199" s="216"/>
      <c r="D199" s="216"/>
      <c r="E199" s="216"/>
      <c r="F199" s="216"/>
      <c r="G199" s="216"/>
      <c r="H199" s="46"/>
    </row>
    <row r="200" spans="2:14" ht="12.9" customHeight="1">
      <c r="B200" s="225"/>
      <c r="C200" s="225"/>
      <c r="D200" s="225"/>
      <c r="E200" s="225"/>
      <c r="F200" s="225"/>
      <c r="G200" s="225"/>
      <c r="H200" s="42"/>
    </row>
    <row r="201" spans="2:14" ht="12.9" customHeight="1">
      <c r="B201" s="219"/>
      <c r="C201" s="219"/>
      <c r="D201" s="219"/>
      <c r="E201" s="219"/>
      <c r="F201" s="219"/>
      <c r="G201" s="219"/>
      <c r="H201" s="45"/>
      <c r="J201" s="62"/>
      <c r="K201" s="62"/>
      <c r="L201" s="62"/>
      <c r="M201" s="62"/>
      <c r="N201" s="62"/>
    </row>
    <row r="202" spans="2:14" ht="12.9" customHeight="1">
      <c r="B202" s="219"/>
      <c r="C202" s="219"/>
      <c r="D202" s="219"/>
      <c r="E202" s="219"/>
      <c r="F202" s="219"/>
      <c r="G202" s="219"/>
      <c r="H202" s="45"/>
    </row>
    <row r="203" spans="2:14" ht="12.9" customHeight="1">
      <c r="B203" s="225"/>
      <c r="C203" s="225"/>
      <c r="D203" s="225"/>
      <c r="E203" s="225"/>
      <c r="F203" s="225"/>
      <c r="G203" s="225"/>
      <c r="H203" s="50"/>
    </row>
    <row r="204" spans="2:14" ht="12.9" customHeight="1">
      <c r="B204" s="216"/>
      <c r="C204" s="216"/>
      <c r="D204" s="216"/>
      <c r="E204" s="216"/>
      <c r="F204" s="216"/>
      <c r="G204" s="216"/>
      <c r="H204" s="45"/>
    </row>
    <row r="205" spans="2:14" ht="12.9" customHeight="1">
      <c r="B205" s="216"/>
      <c r="C205" s="216"/>
      <c r="D205" s="216"/>
      <c r="E205" s="216"/>
      <c r="F205" s="216"/>
      <c r="G205" s="216"/>
      <c r="H205" s="50"/>
    </row>
    <row r="206" spans="2:14" ht="12.9" customHeight="1">
      <c r="H206" s="45"/>
    </row>
    <row r="207" spans="2:14" ht="12.9" customHeight="1">
      <c r="H207" s="50"/>
    </row>
    <row r="208" spans="2:14" ht="12.9" customHeight="1">
      <c r="H208" s="50"/>
    </row>
    <row r="209" spans="8:15" ht="12.9" customHeight="1">
      <c r="H209" s="45"/>
    </row>
    <row r="210" spans="8:15" ht="12.9" customHeight="1">
      <c r="H210" s="50"/>
    </row>
    <row r="211" spans="8:15" ht="12.9" customHeight="1">
      <c r="H211" s="50"/>
    </row>
    <row r="212" spans="8:15" ht="12.9" customHeight="1"/>
    <row r="213" spans="8:15" ht="12.9" customHeight="1"/>
    <row r="214" spans="8:15" ht="12.9" customHeight="1"/>
    <row r="215" spans="8:15" ht="12.9" customHeight="1"/>
    <row r="217" spans="8:15">
      <c r="O217" s="62"/>
    </row>
  </sheetData>
  <mergeCells count="338">
    <mergeCell ref="B6:G6"/>
    <mergeCell ref="I6:N6"/>
    <mergeCell ref="B7:G7"/>
    <mergeCell ref="I7:N7"/>
    <mergeCell ref="B8:G8"/>
    <mergeCell ref="I8:N8"/>
    <mergeCell ref="B2:N2"/>
    <mergeCell ref="B3:G3"/>
    <mergeCell ref="B4:G4"/>
    <mergeCell ref="I4:N4"/>
    <mergeCell ref="B5:G5"/>
    <mergeCell ref="I5:N5"/>
    <mergeCell ref="I12:N12"/>
    <mergeCell ref="I13:N13"/>
    <mergeCell ref="I14:N14"/>
    <mergeCell ref="I15:N15"/>
    <mergeCell ref="I16:N16"/>
    <mergeCell ref="I19:N19"/>
    <mergeCell ref="I9:N9"/>
    <mergeCell ref="I10:N10"/>
    <mergeCell ref="I11:N11"/>
    <mergeCell ref="I17:N17"/>
    <mergeCell ref="I18:N18"/>
    <mergeCell ref="I24:N24"/>
    <mergeCell ref="B25:G25"/>
    <mergeCell ref="I25:N25"/>
    <mergeCell ref="B26:G26"/>
    <mergeCell ref="I26:N26"/>
    <mergeCell ref="I20:N20"/>
    <mergeCell ref="I21:N21"/>
    <mergeCell ref="B22:G22"/>
    <mergeCell ref="I22:N22"/>
    <mergeCell ref="B23:G23"/>
    <mergeCell ref="I23:N23"/>
    <mergeCell ref="B21:G21"/>
    <mergeCell ref="I31:N31"/>
    <mergeCell ref="B32:G32"/>
    <mergeCell ref="I32:N32"/>
    <mergeCell ref="B33:G33"/>
    <mergeCell ref="I33:N33"/>
    <mergeCell ref="B27:G27"/>
    <mergeCell ref="I27:N27"/>
    <mergeCell ref="I28:N28"/>
    <mergeCell ref="I29:N29"/>
    <mergeCell ref="B30:G30"/>
    <mergeCell ref="B28:G28"/>
    <mergeCell ref="B29:G29"/>
    <mergeCell ref="I37:N37"/>
    <mergeCell ref="B38:G38"/>
    <mergeCell ref="I38:N38"/>
    <mergeCell ref="B39:G39"/>
    <mergeCell ref="I39:N39"/>
    <mergeCell ref="B34:G34"/>
    <mergeCell ref="I34:N34"/>
    <mergeCell ref="B35:G35"/>
    <mergeCell ref="I35:N35"/>
    <mergeCell ref="B36:G36"/>
    <mergeCell ref="I36:N36"/>
    <mergeCell ref="I44:N44"/>
    <mergeCell ref="B45:G45"/>
    <mergeCell ref="I45:N45"/>
    <mergeCell ref="B46:G46"/>
    <mergeCell ref="I46:N46"/>
    <mergeCell ref="B40:G40"/>
    <mergeCell ref="I40:N40"/>
    <mergeCell ref="B41:G41"/>
    <mergeCell ref="B42:G42"/>
    <mergeCell ref="B43:G43"/>
    <mergeCell ref="I41:N41"/>
    <mergeCell ref="I53:N53"/>
    <mergeCell ref="I54:N54"/>
    <mergeCell ref="I55:N55"/>
    <mergeCell ref="I56:N56"/>
    <mergeCell ref="I57:N57"/>
    <mergeCell ref="I58:N58"/>
    <mergeCell ref="I48:N48"/>
    <mergeCell ref="I49:N49"/>
    <mergeCell ref="I50:N50"/>
    <mergeCell ref="I51:N51"/>
    <mergeCell ref="I52:N52"/>
    <mergeCell ref="B63:G63"/>
    <mergeCell ref="I63:N63"/>
    <mergeCell ref="B64:G64"/>
    <mergeCell ref="I64:N64"/>
    <mergeCell ref="B65:G65"/>
    <mergeCell ref="I65:N65"/>
    <mergeCell ref="I59:N59"/>
    <mergeCell ref="B60:G60"/>
    <mergeCell ref="I60:N60"/>
    <mergeCell ref="B61:G61"/>
    <mergeCell ref="I61:N61"/>
    <mergeCell ref="B62:G62"/>
    <mergeCell ref="I62:N62"/>
    <mergeCell ref="B59:G59"/>
    <mergeCell ref="B69:G69"/>
    <mergeCell ref="I69:N69"/>
    <mergeCell ref="B70:G70"/>
    <mergeCell ref="I70:N70"/>
    <mergeCell ref="B71:G71"/>
    <mergeCell ref="I71:N71"/>
    <mergeCell ref="B66:G66"/>
    <mergeCell ref="I66:N66"/>
    <mergeCell ref="B67:G67"/>
    <mergeCell ref="B68:G68"/>
    <mergeCell ref="B75:G75"/>
    <mergeCell ref="I75:N75"/>
    <mergeCell ref="B76:G76"/>
    <mergeCell ref="I76:N76"/>
    <mergeCell ref="B77:G77"/>
    <mergeCell ref="I77:N77"/>
    <mergeCell ref="B72:G72"/>
    <mergeCell ref="I72:N72"/>
    <mergeCell ref="B73:G73"/>
    <mergeCell ref="I73:N73"/>
    <mergeCell ref="B74:G74"/>
    <mergeCell ref="I74:N74"/>
    <mergeCell ref="B81:G81"/>
    <mergeCell ref="I81:N81"/>
    <mergeCell ref="B82:G82"/>
    <mergeCell ref="I82:N82"/>
    <mergeCell ref="B83:G83"/>
    <mergeCell ref="I83:N83"/>
    <mergeCell ref="B78:G78"/>
    <mergeCell ref="B79:G79"/>
    <mergeCell ref="I79:N79"/>
    <mergeCell ref="B80:G80"/>
    <mergeCell ref="I80:N80"/>
    <mergeCell ref="B87:G87"/>
    <mergeCell ref="I87:N87"/>
    <mergeCell ref="B88:G88"/>
    <mergeCell ref="I88:N88"/>
    <mergeCell ref="B90:G90"/>
    <mergeCell ref="I89:N89"/>
    <mergeCell ref="B84:G84"/>
    <mergeCell ref="I84:N84"/>
    <mergeCell ref="B85:G85"/>
    <mergeCell ref="I85:N85"/>
    <mergeCell ref="B86:G86"/>
    <mergeCell ref="I86:N86"/>
    <mergeCell ref="I93:N93"/>
    <mergeCell ref="I94:N94"/>
    <mergeCell ref="I95:N95"/>
    <mergeCell ref="B91:G91"/>
    <mergeCell ref="I90:N90"/>
    <mergeCell ref="B92:G92"/>
    <mergeCell ref="I91:N91"/>
    <mergeCell ref="B93:G93"/>
    <mergeCell ref="I92:N92"/>
    <mergeCell ref="B110:G110"/>
    <mergeCell ref="B111:G111"/>
    <mergeCell ref="B108:G108"/>
    <mergeCell ref="B109:G109"/>
    <mergeCell ref="I96:N96"/>
    <mergeCell ref="I97:N97"/>
    <mergeCell ref="B104:G104"/>
    <mergeCell ref="B105:G105"/>
    <mergeCell ref="B106:G106"/>
    <mergeCell ref="B107:G107"/>
    <mergeCell ref="I107:N107"/>
    <mergeCell ref="B116:G116"/>
    <mergeCell ref="I116:N116"/>
    <mergeCell ref="B117:G117"/>
    <mergeCell ref="I117:N117"/>
    <mergeCell ref="B118:G118"/>
    <mergeCell ref="I118:N118"/>
    <mergeCell ref="B112:G112"/>
    <mergeCell ref="B113:G113"/>
    <mergeCell ref="I113:N113"/>
    <mergeCell ref="B114:G114"/>
    <mergeCell ref="I114:N114"/>
    <mergeCell ref="B115:G115"/>
    <mergeCell ref="I115:N115"/>
    <mergeCell ref="B122:G122"/>
    <mergeCell ref="I122:N122"/>
    <mergeCell ref="B123:G123"/>
    <mergeCell ref="I123:N123"/>
    <mergeCell ref="B124:G124"/>
    <mergeCell ref="I124:N124"/>
    <mergeCell ref="B119:G119"/>
    <mergeCell ref="I119:N119"/>
    <mergeCell ref="B120:G120"/>
    <mergeCell ref="I120:N120"/>
    <mergeCell ref="B121:G121"/>
    <mergeCell ref="I121:N121"/>
    <mergeCell ref="B129:G129"/>
    <mergeCell ref="I128:N128"/>
    <mergeCell ref="B130:G130"/>
    <mergeCell ref="I129:N129"/>
    <mergeCell ref="B131:G131"/>
    <mergeCell ref="I130:N130"/>
    <mergeCell ref="B125:G125"/>
    <mergeCell ref="I125:N125"/>
    <mergeCell ref="B127:G127"/>
    <mergeCell ref="I126:N126"/>
    <mergeCell ref="B128:G128"/>
    <mergeCell ref="I127:N127"/>
    <mergeCell ref="B126:G126"/>
    <mergeCell ref="B135:G135"/>
    <mergeCell ref="I134:N134"/>
    <mergeCell ref="B136:G136"/>
    <mergeCell ref="I135:N135"/>
    <mergeCell ref="B137:G137"/>
    <mergeCell ref="I136:N136"/>
    <mergeCell ref="B132:G132"/>
    <mergeCell ref="I131:N131"/>
    <mergeCell ref="B133:G133"/>
    <mergeCell ref="I132:N132"/>
    <mergeCell ref="B134:G134"/>
    <mergeCell ref="I133:N133"/>
    <mergeCell ref="I137:N137"/>
    <mergeCell ref="B142:G142"/>
    <mergeCell ref="I141:N141"/>
    <mergeCell ref="B143:G143"/>
    <mergeCell ref="I142:N142"/>
    <mergeCell ref="B144:G144"/>
    <mergeCell ref="I143:N143"/>
    <mergeCell ref="B138:G138"/>
    <mergeCell ref="B139:G139"/>
    <mergeCell ref="I138:N138"/>
    <mergeCell ref="B140:G140"/>
    <mergeCell ref="I139:N139"/>
    <mergeCell ref="B141:G141"/>
    <mergeCell ref="I140:N140"/>
    <mergeCell ref="B148:G148"/>
    <mergeCell ref="I147:N147"/>
    <mergeCell ref="B149:G149"/>
    <mergeCell ref="I148:N148"/>
    <mergeCell ref="B150:G150"/>
    <mergeCell ref="I149:N149"/>
    <mergeCell ref="B145:G145"/>
    <mergeCell ref="I144:N144"/>
    <mergeCell ref="B146:G146"/>
    <mergeCell ref="I145:N145"/>
    <mergeCell ref="B147:G147"/>
    <mergeCell ref="I146:N146"/>
    <mergeCell ref="B154:G154"/>
    <mergeCell ref="I153:N153"/>
    <mergeCell ref="B155:G155"/>
    <mergeCell ref="I154:N154"/>
    <mergeCell ref="B156:G156"/>
    <mergeCell ref="I155:N155"/>
    <mergeCell ref="B151:G151"/>
    <mergeCell ref="I150:N150"/>
    <mergeCell ref="B152:G152"/>
    <mergeCell ref="I151:N151"/>
    <mergeCell ref="B153:G153"/>
    <mergeCell ref="I152:N152"/>
    <mergeCell ref="B192:G192"/>
    <mergeCell ref="B193:G193"/>
    <mergeCell ref="B194:G194"/>
    <mergeCell ref="B195:G195"/>
    <mergeCell ref="B172:G172"/>
    <mergeCell ref="B173:G173"/>
    <mergeCell ref="B174:G174"/>
    <mergeCell ref="B175:G175"/>
    <mergeCell ref="B176:G176"/>
    <mergeCell ref="B177:G177"/>
    <mergeCell ref="B191:G191"/>
    <mergeCell ref="B205:G205"/>
    <mergeCell ref="B199:G199"/>
    <mergeCell ref="B200:G200"/>
    <mergeCell ref="B201:G201"/>
    <mergeCell ref="B202:G202"/>
    <mergeCell ref="B203:G203"/>
    <mergeCell ref="B204:G204"/>
    <mergeCell ref="B196:G196"/>
    <mergeCell ref="I195:N195"/>
    <mergeCell ref="B197:G197"/>
    <mergeCell ref="I196:N196"/>
    <mergeCell ref="B198:G198"/>
    <mergeCell ref="I197:N197"/>
    <mergeCell ref="I168:N168"/>
    <mergeCell ref="B178:G178"/>
    <mergeCell ref="B179:G179"/>
    <mergeCell ref="B165:G165"/>
    <mergeCell ref="B166:G166"/>
    <mergeCell ref="B167:G167"/>
    <mergeCell ref="B168:G168"/>
    <mergeCell ref="B169:G169"/>
    <mergeCell ref="B170:G170"/>
    <mergeCell ref="I159:N159"/>
    <mergeCell ref="B161:G161"/>
    <mergeCell ref="B163:G163"/>
    <mergeCell ref="B164:G164"/>
    <mergeCell ref="I156:N156"/>
    <mergeCell ref="B158:G158"/>
    <mergeCell ref="I157:N157"/>
    <mergeCell ref="B159:G159"/>
    <mergeCell ref="I158:N158"/>
    <mergeCell ref="I160:N160"/>
    <mergeCell ref="I161:N161"/>
    <mergeCell ref="I162:N162"/>
    <mergeCell ref="I164:N164"/>
    <mergeCell ref="B160:G160"/>
    <mergeCell ref="B11:G11"/>
    <mergeCell ref="B10:G10"/>
    <mergeCell ref="B9:G9"/>
    <mergeCell ref="B51:G51"/>
    <mergeCell ref="B50:G50"/>
    <mergeCell ref="B49:G49"/>
    <mergeCell ref="B48:G48"/>
    <mergeCell ref="B47:G47"/>
    <mergeCell ref="B52:G52"/>
    <mergeCell ref="B18:G18"/>
    <mergeCell ref="B17:G17"/>
    <mergeCell ref="B16:G16"/>
    <mergeCell ref="B15:G15"/>
    <mergeCell ref="B14:G14"/>
    <mergeCell ref="B13:G13"/>
    <mergeCell ref="B12:G12"/>
    <mergeCell ref="B44:G44"/>
    <mergeCell ref="B37:G37"/>
    <mergeCell ref="B31:G31"/>
    <mergeCell ref="B24:G24"/>
    <mergeCell ref="B56:G56"/>
    <mergeCell ref="B57:G57"/>
    <mergeCell ref="B58:G58"/>
    <mergeCell ref="I30:N30"/>
    <mergeCell ref="B162:G162"/>
    <mergeCell ref="B187:G187"/>
    <mergeCell ref="B188:G188"/>
    <mergeCell ref="B189:G189"/>
    <mergeCell ref="B190:G190"/>
    <mergeCell ref="B55:G55"/>
    <mergeCell ref="B53:G53"/>
    <mergeCell ref="B171:G171"/>
    <mergeCell ref="B180:G180"/>
    <mergeCell ref="B181:G181"/>
    <mergeCell ref="B182:G182"/>
    <mergeCell ref="B183:G183"/>
    <mergeCell ref="B184:G184"/>
    <mergeCell ref="I104:N104"/>
    <mergeCell ref="I105:N105"/>
    <mergeCell ref="I106:N106"/>
    <mergeCell ref="I108:N108"/>
    <mergeCell ref="I109:N109"/>
    <mergeCell ref="I110:N110"/>
    <mergeCell ref="I111:N111"/>
  </mergeCells>
  <phoneticPr fontId="1" type="noConversion"/>
  <printOptions horizontalCentered="1" verticalCentered="1"/>
  <pageMargins left="0.19685039370078741" right="0.19685039370078741" top="0.39370078740157483" bottom="0.39370078740157483" header="0" footer="0"/>
  <pageSetup paperSize="9" scale="56" fitToHeight="0" orientation="portrait" r:id="rId1"/>
  <rowBreaks count="2" manualBreakCount="2">
    <brk id="100" max="14" man="1"/>
    <brk id="206" max="1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차량별사용료</vt:lpstr>
      <vt:lpstr>계약리스트</vt:lpstr>
      <vt:lpstr>계약서</vt:lpstr>
      <vt:lpstr>이용약관</vt:lpstr>
      <vt:lpstr>계약서!Print_Area</vt:lpstr>
      <vt:lpstr>이용약관!Print_Area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HWANG</dc:creator>
  <cp:keywords/>
  <dc:description/>
  <cp:lastModifiedBy>유주 박</cp:lastModifiedBy>
  <cp:revision/>
  <cp:lastPrinted>2025-12-09T05:31:20Z</cp:lastPrinted>
  <dcterms:created xsi:type="dcterms:W3CDTF">2022-02-09T13:46:00Z</dcterms:created>
  <dcterms:modified xsi:type="dcterms:W3CDTF">2026-02-19T09:16:19Z</dcterms:modified>
  <cp:category/>
  <cp:contentStatus/>
</cp:coreProperties>
</file>