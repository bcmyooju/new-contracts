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  <sheet name="별지_구상금" sheetId="4" state="visible" r:id="rId6"/>
  </sheets>
  <definedNames>
    <definedName function="false" hidden="false" localSheetId="2" name="_xlnm.Print_Area" vbProcedure="false">이용약관!$A$1:$D$153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<sst xmlns="http://schemas.openxmlformats.org/spreadsheetml/2006/main" count="434" uniqueCount="403">
  <si>
    <t xml:space="preserve">계약번호</t>
  </si>
  <si>
    <t xml:space="preserve">출고일자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</si>
  <si>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</si>
  <si>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</si>
  <si>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</si>
  <si>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</si>
  <si>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정비여부</t>
  </si>
  <si>
    <t xml:space="preserve">보험연령</t>
  </si>
  <si>
    <t xml:space="preserve">일사용료</t>
  </si>
  <si>
    <t xml:space="preserve">사용일수</t>
  </si>
  <si>
    <t xml:space="preserve">보증금</t>
  </si>
  <si>
    <t xml:space="preserve">계약자명</t>
  </si>
  <si>
    <t xml:space="preserve">주민번호</t>
  </si>
  <si>
    <t xml:space="preserve">주소</t>
  </si>
  <si>
    <t xml:space="preserve">연락처</t>
  </si>
  <si>
    <t xml:space="preserve">계약유형</t>
  </si>
  <si>
    <t xml:space="preserve">상품유형</t>
  </si>
  <si>
    <t xml:space="preserve">요금결제일</t>
  </si>
  <si>
    <t xml:space="preserve">2026-04-24</t>
  </si>
  <si>
    <t xml:space="preserve">UHR150</t>
  </si>
  <si>
    <t xml:space="preserve">LWMTDKH95THJ00467</t>
  </si>
  <si>
    <r>
      <rPr>
        <sz val="10"/>
        <color rgb="FF000000"/>
        <rFont val="맑은 고딕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나</t>
    </r>
    <r>
      <rPr>
        <sz val="10"/>
        <color rgb="FF000000"/>
        <rFont val="맑은 고딕"/>
        <family val="3"/>
        <charset val="129"/>
      </rPr>
      <t xml:space="preserve">88370</t>
    </r>
  </si>
  <si>
    <t xml:space="preserve">화이트</t>
  </si>
  <si>
    <t xml:space="preserve">비포함</t>
  </si>
  <si>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DejaVu Sans"/>
        <family val="2"/>
        <charset val="1"/>
      </rPr>
      <t xml:space="preserve">30</t>
    </r>
    <r>
      <rPr>
        <sz val="10"/>
        <color rgb="FF000000"/>
        <rFont val="DejaVu Sans"/>
        <family val="2"/>
      </rPr>
      <t xml:space="preserve">세</t>
    </r>
  </si>
  <si>
    <t xml:space="preserve">안종식</t>
  </si>
  <si>
    <t xml:space="preserve"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</si>
  <si>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 xml:space="preserve">77, 1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궐동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</si>
  <si>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010-5813-7336</t>
  </si>
  <si>
    <t xml:space="preserve">렌트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</si>
  <si>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</si>
  <si>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</si>
  <si>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</si>
  <si>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</si>
  <si>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책임렌트 계약서</t>
  </si>
  <si>
    <t xml:space="preserve">한국모터사이클리스 유한회사</t>
  </si>
  <si>
    <t xml:space="preserve">■ 차량 정보</t>
  </si>
  <si>
    <t xml:space="preserve">계약일자</t>
  </si>
  <si>
    <r>
      <rPr>
        <b val="true"/>
        <sz val="8"/>
        <color rgb="FFC00000"/>
        <rFont val="DejaVu Sans"/>
        <family val="2"/>
      </rPr>
      <t xml:space="preserve">※ 본 차량은 위 보험연령 이상의 운전자만 운행 가능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미달자 운전 사고 시 발생하는 모든 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구상금은 계약자가 전적으로 책임집니다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</si>
  <si>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■ 계약자</t>
  </si>
  <si>
    <t xml:space="preserve">성명</t>
  </si>
  <si>
    <t xml:space="preserve">주민등록번호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</si>
  <si>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신분증 사본</t>
    </r>
  </si>
  <si>
    <t xml:space="preserve">■ 계약 조건</t>
  </si>
  <si>
    <t xml:space="preserve">렌트 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</si>
  <si>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</si>
  <si>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납입방법</t>
  </si>
  <si>
    <t xml:space="preserve">청구시작일</t>
  </si>
  <si>
    <t xml:space="preserve">납입계좌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</si>
  <si>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 xml:space="preserve">포어스바이크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DejaVu Sans"/>
        <family val="2"/>
        <charset val="1"/>
      </rPr>
      <t xml:space="preserve">)</t>
    </r>
  </si>
  <si>
    <t xml:space="preserve">■ 회사 정보</t>
  </si>
  <si>
    <t xml:space="preserve">상호</t>
  </si>
  <si>
    <t xml:space="preserve">사업자번호</t>
  </si>
  <si>
    <t xml:space="preserve">647-86-03800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</si>
  <si>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</si>
  <si>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</si>
  <si>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경기도 수원시 권선구 입북로</t>
    </r>
    <r>
      <rPr>
        <sz val="10"/>
        <color rgb="FF000000"/>
        <rFont val="DejaVu Sans"/>
        <family val="2"/>
        <charset val="1"/>
      </rPr>
      <t xml:space="preserve"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2"/>
        <charset val="1"/>
      </rPr>
      <t xml:space="preserve">15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</si>
  <si>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</si>
  <si>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</si>
  <si>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</si>
  <si>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운행자성</t>
  </si>
  <si>
    <r>
      <rPr>
        <b val="true"/>
        <sz val="8"/>
        <color rgb="FFC00000"/>
        <rFont val="DejaVu Sans"/>
        <family val="2"/>
      </rPr>
      <t xml:space="preserve">회사는 본 차량의 소유자이나 자동차손해배상보장법상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운행자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가 아니며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운행지배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운행이익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은 전적으로 계약자에게 있습니다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따라서 운행 중 발생하는 모든 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손해의 운행자 책임은 계약자가 부담하며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이로 인해 보험사가 회사에 청구하는 구상금도 계약자가 전액 부담합니다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</si>
  <si>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사고 즉시 고지 의무</t>
  </si>
  <si>
    <r>
      <rPr>
        <b val="true"/>
        <sz val="8"/>
        <color rgb="FFC00000"/>
        <rFont val="DejaVu Sans"/>
        <family val="2"/>
      </rPr>
      <t xml:space="preserve">회사는 운행자가 아니므로 사고 발생 사실을 직접 인지할 수 없습니다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사고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단독사고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차량 파손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도난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멸실 등 일체</t>
    </r>
    <r>
      <rPr>
        <b val="true"/>
        <sz val="8"/>
        <color rgb="FFC00000"/>
        <rFont val="DejaVu Sans"/>
        <family val="2"/>
        <charset val="1"/>
      </rPr>
      <t xml:space="preserve">) </t>
    </r>
    <r>
      <rPr>
        <b val="true"/>
        <sz val="8"/>
        <color rgb="FFC00000"/>
        <rFont val="DejaVu Sans"/>
        <family val="2"/>
      </rPr>
      <t xml:space="preserve">발생 시 계약자는 즉시 회사에 고지하여야 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지연 고지로 발생하는 모든 손해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보험 미보장분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회사에 청구되는 구상금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 추가 부담 비용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는 계약자가 전적으로 책임지며 회사는 본 계약을 즉시 해지하고 차량을 회수할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</si>
  <si>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보험연령 미달자 운전</t>
  </si>
  <si>
    <r>
      <rPr>
        <b val="true"/>
        <sz val="8"/>
        <color rgb="FFC00000"/>
        <rFont val="DejaVu Sans"/>
        <family val="2"/>
      </rPr>
      <t xml:space="preserve">본 차량은 보험연령 이상의 운전자만이 운행해야 합니다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보험연령 미달자가 운행하여 발생한 사고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회사의 라이더 신원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관계없이 계약자가 전적으로 책임지며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회사가 보험사로부터 구상금을 청구받는 경우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</si>
  <si>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b val="true"/>
        <sz val="9"/>
        <color rgb="FFC00000"/>
        <rFont val="맑은 고딕"/>
        <family val="3"/>
        <charset val="129"/>
      </rPr>
      <t xml:space="preserve">12</t>
    </r>
    <r>
      <rPr>
        <b val="true"/>
        <sz val="9"/>
        <color rgb="FFC00000"/>
        <rFont val="DejaVu Sans"/>
        <family val="2"/>
      </rPr>
      <t xml:space="preserve">대 중과실</t>
    </r>
    <r>
      <rPr>
        <b val="true"/>
        <sz val="9"/>
        <color rgb="FFC00000"/>
        <rFont val="맑은 고딕"/>
        <family val="3"/>
        <charset val="129"/>
      </rPr>
      <t xml:space="preserve">·</t>
    </r>
    <r>
      <rPr>
        <b val="true"/>
        <sz val="9"/>
        <color rgb="FFC00000"/>
        <rFont val="DejaVu Sans"/>
        <family val="2"/>
      </rPr>
      <t xml:space="preserve">면책사고</t>
    </r>
  </si>
  <si>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중앙선침범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</t>
    </r>
    <r>
      <rPr>
        <b val="true"/>
        <sz val="8"/>
        <color rgb="FFC00000"/>
        <rFont val="DejaVu Sans"/>
        <family val="2"/>
        <charset val="1"/>
      </rPr>
      <t xml:space="preserve">12</t>
    </r>
    <r>
      <rPr>
        <b val="true"/>
        <sz val="8"/>
        <color rgb="FFC00000"/>
        <rFont val="DejaVu Sans"/>
        <family val="2"/>
      </rPr>
      <t xml:space="preserve">대 중과실 또는 보험약관상 면책사항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운행자 범위 외 운전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도난중 운행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사고로 회사에 보험사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</si>
  <si>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구상금</t>
  </si>
  <si>
    <r>
      <rPr>
        <b val="true"/>
        <sz val="8"/>
        <color rgb="FFC00000"/>
        <rFont val="DejaVu Sans"/>
        <family val="2"/>
      </rPr>
      <t xml:space="preserve">본 약관상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구상금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이란 본 계약 차량 운행 중 발생한 사고로 보험사 또는 제</t>
    </r>
    <r>
      <rPr>
        <b val="true"/>
        <sz val="8"/>
        <color rgb="FFC00000"/>
        <rFont val="DejaVu Sans"/>
        <family val="2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자가 회사에 청구하는 금액 일체를 말합니다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사고 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보험연령 미달자 운전</t>
    </r>
    <r>
      <rPr>
        <b val="true"/>
        <sz val="8"/>
        <color rgb="FFC00000"/>
        <rFont val="DejaVu Sans"/>
        <family val="2"/>
        <charset val="1"/>
      </rPr>
      <t xml:space="preserve">·12</t>
    </r>
    <r>
      <rPr>
        <b val="true"/>
        <sz val="8"/>
        <color rgb="FFC00000"/>
        <rFont val="DejaVu Sans"/>
        <family val="2"/>
      </rPr>
      <t xml:space="preserve">대 중과실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면책사고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보장 한도 초과 손해 등 어떠한 사유로든 회사에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통보일로부터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구상금 전액 및 회사가 그와 관련하여 지출한 변호사비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소송비 일체를 회사에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</si>
  <si>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미변제 시 즉시 처리</t>
  </si>
  <si>
    <r>
      <rPr>
        <b val="true"/>
        <sz val="8"/>
        <color rgb="FFC00000"/>
        <rFont val="DejaVu Sans"/>
        <family val="2"/>
      </rPr>
      <t xml:space="preserve">위 구상금 또는 본 계약상 모든 채무를 기한 내 변제하지 아니하는 경우 본 계약은 사전 통지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최고 없이 자동 해지되며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</t>
    </r>
    <r>
      <rPr>
        <b val="true"/>
        <sz val="8"/>
        <color rgb="FFC00000"/>
        <rFont val="DejaVu Sans"/>
        <family val="2"/>
        <charset val="1"/>
      </rPr>
      <t xml:space="preserve">(1) </t>
    </r>
    <r>
      <rPr>
        <b val="true"/>
        <sz val="8"/>
        <color rgb="FFC00000"/>
        <rFont val="DejaVu Sans"/>
        <family val="2"/>
      </rPr>
      <t xml:space="preserve">차량을 즉시 임의 회수하고 회수에 소요된 일체의 비용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출장비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운송비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원상복구비 포함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을 계약자에게 청구하며</t>
    </r>
    <r>
      <rPr>
        <b val="true"/>
        <sz val="8"/>
        <color rgb="FFC00000"/>
        <rFont val="DejaVu Sans"/>
        <family val="2"/>
        <charset val="1"/>
      </rPr>
      <t xml:space="preserve">, (2) </t>
    </r>
    <r>
      <rPr>
        <b val="true"/>
        <sz val="8"/>
        <color rgb="FFC00000"/>
        <rFont val="DejaVu Sans"/>
        <family val="2"/>
      </rPr>
      <t xml:space="preserve">보증금은 어떠한 사유로도 반환하지 아니하고</t>
    </r>
    <r>
      <rPr>
        <b val="true"/>
        <sz val="8"/>
        <color rgb="FFC00000"/>
        <rFont val="DejaVu Sans"/>
        <family val="2"/>
        <charset val="1"/>
      </rPr>
      <t xml:space="preserve">, (3) 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DejaVu Sans"/>
        <family val="2"/>
        <charset val="1"/>
      </rPr>
      <t xml:space="preserve">[</t>
    </r>
    <r>
      <rPr>
        <b val="true"/>
        <sz val="8"/>
        <color rgb="FFC00000"/>
        <rFont val="DejaVu Sans"/>
        <family val="2"/>
      </rPr>
      <t xml:space="preserve">보증금 </t>
    </r>
    <r>
      <rPr>
        <b val="true"/>
        <sz val="8"/>
        <color rgb="FFC00000"/>
        <rFont val="DejaVu Sans"/>
        <family val="2"/>
        <charset val="1"/>
      </rPr>
      <t xml:space="preserve">+ </t>
    </r>
    <r>
      <rPr>
        <b val="true"/>
        <sz val="8"/>
        <color rgb="FFC00000"/>
        <rFont val="DejaVu Sans"/>
        <family val="2"/>
      </rPr>
      <t xml:space="preserve">잔여기간 총 렌트료의 </t>
    </r>
    <r>
      <rPr>
        <b val="true"/>
        <sz val="8"/>
        <color rgb="FFC00000"/>
        <rFont val="DejaVu Sans"/>
        <family val="2"/>
        <charset val="1"/>
      </rPr>
      <t xml:space="preserve">20%] </t>
    </r>
    <r>
      <rPr>
        <b val="true"/>
        <sz val="8"/>
        <color rgb="FFC00000"/>
        <rFont val="DejaVu Sans"/>
        <family val="2"/>
      </rPr>
      <t xml:space="preserve">및 손해배상금을 별도 청구하며</t>
    </r>
    <r>
      <rPr>
        <b val="true"/>
        <sz val="8"/>
        <color rgb="FFC00000"/>
        <rFont val="DejaVu Sans"/>
        <family val="2"/>
        <charset val="1"/>
      </rPr>
      <t xml:space="preserve">, (4) </t>
    </r>
    <r>
      <rPr>
        <b val="true"/>
        <sz val="8"/>
        <color rgb="FFC00000"/>
        <rFont val="DejaVu Sans"/>
        <family val="2"/>
      </rPr>
      <t xml:space="preserve">미변제 금액에 대하여 연 </t>
    </r>
    <r>
      <rPr>
        <b val="true"/>
        <sz val="8"/>
        <color rgb="FFC00000"/>
        <rFont val="DejaVu Sans"/>
        <family val="2"/>
        <charset val="1"/>
      </rPr>
      <t xml:space="preserve">15%</t>
    </r>
    <r>
      <rPr>
        <b val="true"/>
        <sz val="8"/>
        <color rgb="FFC00000"/>
        <rFont val="DejaVu Sans"/>
        <family val="2"/>
      </rPr>
      <t xml:space="preserve">의 지연손해금을 변제일까지 가산하고</t>
    </r>
    <r>
      <rPr>
        <b val="true"/>
        <sz val="8"/>
        <color rgb="FFC00000"/>
        <rFont val="DejaVu Sans"/>
        <family val="2"/>
        <charset val="1"/>
      </rPr>
      <t xml:space="preserve">, (5) </t>
    </r>
    <r>
      <rPr>
        <b val="true"/>
        <sz val="8"/>
        <color rgb="FFC00000"/>
        <rFont val="DejaVu Sans"/>
        <family val="2"/>
      </rPr>
      <t xml:space="preserve">계약자의 별도 동의 없이 신용정보집중기관에 채무불이행 사실을 등록하거나 신용정보업체에 채권추심을 의뢰할 수 있으며</t>
    </r>
    <r>
      <rPr>
        <b val="true"/>
        <sz val="8"/>
        <color rgb="FFC00000"/>
        <rFont val="DejaVu Sans"/>
        <family val="2"/>
        <charset val="1"/>
      </rPr>
      <t xml:space="preserve">, (6) </t>
    </r>
    <r>
      <rPr>
        <b val="true"/>
        <sz val="8"/>
        <color rgb="FFC00000"/>
        <rFont val="DejaVu Sans"/>
        <family val="2"/>
      </rPr>
      <t xml:space="preserve">회사 또는 회사의 계열사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한국모터사이클리스 유한회사 포함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와 체결한 다른 이륜차 계약도 동시에 해지하고 해당 차량들도 일괄 회수할 수 있고</t>
    </r>
    <r>
      <rPr>
        <b val="true"/>
        <sz val="8"/>
        <color rgb="FFC00000"/>
        <rFont val="DejaVu Sans"/>
        <family val="2"/>
        <charset val="1"/>
      </rPr>
      <t xml:space="preserve">, (7) </t>
    </r>
    <r>
      <rPr>
        <b val="true"/>
        <sz val="8"/>
        <color rgb="FFC00000"/>
        <rFont val="DejaVu Sans"/>
        <family val="2"/>
      </rPr>
      <t xml:space="preserve">계약자에 대하여 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형사상 모든 법적 조치를 취할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</si>
  <si>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 xml:space="preserve">본 계약에 따른 모든 대금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렌트료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부대비용 등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수납 업무는 포어스바이크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현금영수증은 계약자의 주민번호로 한국모터사이클리스 유한회사 명의로 발행됩니다</t>
    </r>
    <r>
      <rPr>
        <sz val="8"/>
        <color rgb="FF404040"/>
        <rFont val="맑은 고딕"/>
        <family val="3"/>
        <charset val="129"/>
      </rPr>
      <t xml:space="preserve">. </t>
    </r>
    <r>
      <rPr>
        <sz val="8"/>
        <color rgb="FF404040"/>
        <rFont val="DejaVu Sans"/>
        <family val="2"/>
      </rPr>
      <t xml:space="preserve">타 계좌 입금 시 입금 확인이 불가합니다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</si>
  <si>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계약자는 이륜차 및 배달통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슬라이더 등 무상 지원 비품을 회사가 지정하는 장소로 반납하여야 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보증금은 반환되지 아니하고 위약금과는 별도로 회수비용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출장비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운송비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원상복구비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은 계약자가 부담합니다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</si>
  <si>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 xml:space="preserve"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 xml:space="preserve"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 xml:space="preserve"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 xml:space="preserve">등록비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번호판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보험료 등 회사가 이미 지출한 부대비용을 배상합니다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</si>
  <si>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</si>
  <si>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</si>
  <si>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 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보험사고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운전자 확인 및 보험연령 검증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</si>
  <si>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</si>
  <si>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</si>
  <si>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</si>
  <si>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</si>
  <si>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</si>
  <si>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</si>
  <si>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</si>
  <si>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렌트료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 구상금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</si>
  <si>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</si>
  <si>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수납대행사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)(</t>
    </r>
    <r>
      <rPr>
        <sz val="8"/>
        <color rgb="FF404040"/>
        <rFont val="DejaVu Sans"/>
        <family val="2"/>
      </rPr>
      <t xml:space="preserve">대금 수납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</si>
  <si>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상기 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개인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신용</t>
    </r>
    <r>
      <rPr>
        <b val="true"/>
        <sz val="9"/>
        <color rgb="FF1F3864"/>
        <rFont val="DejaVu Sans"/>
        <family val="2"/>
        <charset val="1"/>
      </rPr>
      <t xml:space="preserve">)</t>
    </r>
    <r>
      <rPr>
        <b val="true"/>
        <sz val="9"/>
        <color rgb="FF1F3864"/>
        <rFont val="DejaVu Sans"/>
        <family val="2"/>
      </rPr>
      <t xml:space="preserve">정보 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금융거래정보 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업무위탁 동의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에 대하여       □ 동의안함       □ 전부 동의함 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</si>
  <si>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</si>
  <si>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책임렌트 계약서와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운행자성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보험연령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사고 고지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면책사고 책임 등 제반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</si>
  <si>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</si>
  <si>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</si>
  <si>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공급자</t>
  </si>
  <si>
    <t xml:space="preserve">■ 자동이체 신청 정보</t>
  </si>
  <si>
    <t xml:space="preserve">신용카드사명</t>
  </si>
  <si>
    <t xml:space="preserve">카드번호</t>
  </si>
  <si>
    <t xml:space="preserve">유효기간</t>
  </si>
  <si>
    <t xml:space="preserve">은행명</t>
  </si>
  <si>
    <t xml:space="preserve">계좌번호</t>
  </si>
  <si>
    <t xml:space="preserve">예금주명</t>
  </si>
  <si>
    <t xml:space="preserve">이륜차 책임렌트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</si>
  <si>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</si>
  <si>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지연손해금 및 손해배상금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</si>
  <si>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 약관은 한국모터사이클리스 유한회사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계약자간의 이륜차 책임</t>
    </r>
  </si>
  <si>
    <r>
      <rPr>
        <sz val="8"/>
        <color rgb="FF2B2B2B"/>
        <rFont val="DejaVu Sans"/>
        <family val="2"/>
      </rPr>
      <t xml:space="preserve">① 계약자가 약정 금액을 기한 내 이행하지 않는 경우 위약금이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</t>
    </r>
  </si>
  <si>
    <r>
      <rPr>
        <sz val="8"/>
        <color rgb="FF2B2B2B"/>
        <rFont val="DejaVu Sans"/>
        <family val="2"/>
      </rPr>
      <t xml:space="preserve">렌트에 관한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</si>
  <si>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</si>
  <si>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지연손해금</t>
    </r>
    <r>
      <rPr>
        <sz val="8"/>
        <color rgb="FF2B2B2B"/>
        <rFont val="DejaVu Sans"/>
        <family val="2"/>
        <charset val="1"/>
      </rPr>
      <t xml:space="preserve"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 xml:space="preserve">15%].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</si>
  <si>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</si>
  <si>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 만료 후 처리절차 지체 손해배상금</t>
    </r>
    <r>
      <rPr>
        <sz val="8"/>
        <color rgb="FF2B2B2B"/>
        <rFont val="DejaVu Sans"/>
        <family val="2"/>
        <charset val="1"/>
      </rPr>
      <t xml:space="preserve"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2"/>
        <charset val="1"/>
      </rPr>
      <t xml:space="preserve"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지체일수</t>
    </r>
    <r>
      <rPr>
        <sz val="8"/>
        <color rgb="FF2B2B2B"/>
        <rFont val="DejaVu Sans"/>
        <family val="2"/>
        <charset val="1"/>
      </rPr>
      <t xml:space="preserve">].</t>
    </r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</si>
  <si>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이륜차 렌트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이륜차를 취득하여 일정 기간 사용하게 하</t>
    </r>
  </si>
  <si>
    <r>
      <rPr>
        <sz val="8"/>
        <color rgb="FF2B2B2B"/>
        <rFont val="DejaVu Sans"/>
        <family val="2"/>
      </rPr>
      <t xml:space="preserve">③ 지연손해금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손해배상금은 회사의 손해배상청구와 별도로 부과될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본 계약상 모든 미납금</t>
    </r>
  </si>
  <si>
    <r>
      <rPr>
        <sz val="8"/>
        <color rgb="FF2B2B2B"/>
        <rFont val="DejaVu Sans"/>
        <family val="2"/>
      </rPr>
      <t xml:space="preserve">고 그 대가를 정기적으로 지급받는 계약을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</si>
  <si>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렌트료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등록세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손해배상금 등</t>
    </r>
    <r>
      <rPr>
        <sz val="8"/>
        <color rgb="FF2B2B2B"/>
        <rFont val="맑은 고딕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에 대하여 연체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미납이 발생하</t>
    </r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</si>
  <si>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본 계약서에 특정한 이륜차로서 인도 시 부착된 부속품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장착물을 포함한다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</si>
  <si>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계약자의 별도 동의 없이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신용정보집중기관에 채무불이행 사실을 등록하거나</t>
    </r>
    <r>
      <rPr>
        <sz val="8"/>
        <color rgb="FF2B2B2B"/>
        <rFont val="DejaVu Sans"/>
        <family val="2"/>
        <charset val="1"/>
      </rPr>
      <t xml:space="preserve">, 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</si>
  <si>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</si>
  <si>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(2) </t>
    </r>
    <r>
      <rPr>
        <sz val="8"/>
        <color rgb="FF2B2B2B"/>
        <rFont val="DejaVu Sans"/>
        <family val="2"/>
      </rPr>
      <t xml:space="preserve">신용정보업체 등 채권추심 전문기관에 채권추심을 위임할 수 있다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수납대행사인 포어스바이크 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</si>
  <si>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렌트료 등 본 계약상 채무이행을 담보하기 위해 계약자가 회사에 납부하는 금원을</t>
    </r>
  </si>
  <si>
    <r>
      <rPr>
        <sz val="8"/>
        <color rgb="FF2B2B2B"/>
        <rFont val="DejaVu Sans"/>
        <family val="2"/>
      </rPr>
      <t xml:space="preserve">유한회사는 회사를 대리하여 계약자에게 미납금 납부 독촉을 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</si>
  <si>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</si>
  <si>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계약상 주채무자이자 본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</si>
  <si>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보험계약의 체결 및 관리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</si>
  <si>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 차량을 실제 운행하는 자이다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</si>
  <si>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회사는 이륜차에 계약자가 요청하는 보험연령에 따라 책임보험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대인배상Ⅰ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대물배상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에 가입하</t>
    </r>
  </si>
  <si>
    <r>
      <rPr>
        <sz val="8"/>
        <color rgb="FF2B2B2B"/>
        <rFont val="DejaVu Sans"/>
        <family val="3"/>
        <charset val="129"/>
      </rPr>
      <t xml:space="preserve">⑥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</si>
  <si>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종합보험은 가입하지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본 책임보험의 보장 한도는 보험사 약관 및 보험증권에 따르며</t>
    </r>
    <r>
      <rPr>
        <sz val="8"/>
        <color rgb="FF2B2B2B"/>
        <rFont val="DejaVu Sans"/>
        <family val="2"/>
        <charset val="1"/>
      </rPr>
      <t xml:space="preserve">, </t>
    </r>
  </si>
  <si>
    <r>
      <rPr>
        <sz val="8"/>
        <color rgb="FF2B2B2B"/>
        <rFont val="DejaVu Sans"/>
        <family val="3"/>
        <charset val="129"/>
      </rPr>
      <t xml:space="preserve">⑦ "</t>
    </r>
    <r>
      <rPr>
        <sz val="8"/>
        <color rgb="FF2B2B2B"/>
        <rFont val="DejaVu Sans"/>
        <family val="2"/>
      </rPr>
      <t xml:space="preserve">보험연령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차량에 가입된 보험에서 운전자로서 보장 가능한 최저연령을 말하며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</t>
    </r>
  </si>
  <si>
    <r>
      <rPr>
        <sz val="8"/>
        <color rgb="FF2B2B2B"/>
        <rFont val="DejaVu Sans"/>
        <family val="2"/>
      </rPr>
      <t xml:space="preserve">보장 한도를 초과하는 손해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대물 손해 한도 초과분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대인 한도 초과분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는 전적으로 계약자가 부담</t>
    </r>
  </si>
  <si>
    <r>
      <rPr>
        <sz val="8"/>
        <color rgb="FF2B2B2B"/>
        <rFont val="DejaVu Sans"/>
        <family val="2"/>
      </rPr>
      <t xml:space="preserve">계약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만 나이를 의미한다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</si>
  <si>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보험료는 회사가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</si>
  <si>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⑧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</t>
    </r>
  </si>
  <si>
    <r>
      <rPr>
        <sz val="8"/>
        <color rgb="FF2B2B2B"/>
        <rFont val="DejaVu Sans"/>
        <family val="2"/>
      </rPr>
      <t xml:space="preserve">② 보험사 정책상 보험연령 변경이 불가능한 경우 회사는 계약자에게 즉시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</si>
  <si>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</si>
  <si>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보험연령 변경에 따라 렌트료가 변경될 경우 해당 차량 최초 계약 당시 단가표 기준으로 적용된다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</si>
  <si>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⑨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렌트료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비용을</t>
    </r>
  </si>
  <si>
    <t xml:space="preserve">보험사 정책상 고가의 보험료를 수취하는 경우 보험사 보험료 정책에 따라 고가의 렌트료가 적용될 </t>
  </si>
  <si>
    <r>
      <rPr>
        <sz val="8"/>
        <color rgb="FF2B2B2B"/>
        <rFont val="DejaVu Sans"/>
        <family val="2"/>
      </rPr>
      <t xml:space="preserve">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</si>
  <si>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⑩ "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 운행 중 발생한 사고로 보험사가 회사에게 청구한 금액 일체를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</si>
  <si>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계약 해지 사유 발생 시 회사는 보험을 해지할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이로 인해 발생하는 보험환급금은 회사</t>
    </r>
  </si>
  <si>
    <r>
      <rPr>
        <sz val="8"/>
        <color rgb="FF2B2B2B"/>
        <rFont val="DejaVu Sans"/>
        <family val="3"/>
        <charset val="129"/>
      </rPr>
      <t xml:space="preserve">⑪ "</t>
    </r>
    <r>
      <rPr>
        <sz val="8"/>
        <color rgb="FF2B2B2B"/>
        <rFont val="DejaVu Sans"/>
        <family val="2"/>
      </rPr>
      <t xml:space="preserve">책임보험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자동차손해배상보장법에 따른 의무보험으로서 대인배상Ⅰ과 대물배상을 보장하</t>
    </r>
  </si>
  <si>
    <r>
      <rPr>
        <sz val="8"/>
        <color rgb="FF2B2B2B"/>
        <rFont val="DejaVu Sans"/>
        <family val="2"/>
      </rPr>
      <t xml:space="preserve">에 귀속되고 계약자는 이에 대한 추가 환급을 청구할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</si>
  <si>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는 보험을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</si>
  <si>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회사는 계약기간과 일치하게 보험계약을 체결한다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 종료일 이후 무보험 상태에서 운행하여</t>
    </r>
  </si>
  <si>
    <r>
      <rPr>
        <sz val="8"/>
        <color rgb="FF2B2B2B"/>
        <rFont val="DejaVu Sans"/>
        <family val="3"/>
        <charset val="129"/>
      </rPr>
      <t xml:space="preserve">⑫ "</t>
    </r>
    <r>
      <rPr>
        <sz val="8"/>
        <color rgb="FF2B2B2B"/>
        <rFont val="DejaVu Sans"/>
        <family val="2"/>
      </rPr>
      <t xml:space="preserve">종합보험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책임보험에 대인배상Ⅱ를 추가로 담보하는 보험을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</si>
  <si>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손해가 발생하면 계약자가 배상책임 및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</si>
  <si>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1"/>
        <charset val="1"/>
      </rPr>
      <t xml:space="preserve">⑬ "</t>
    </r>
    <r>
      <rPr>
        <sz val="8"/>
        <color rgb="FF2B2B2B"/>
        <rFont val="DejaVu Sans"/>
        <family val="2"/>
      </rPr>
      <t xml:space="preserve">미수선처리</t>
    </r>
    <r>
      <rPr>
        <sz val="8"/>
        <color rgb="FF2B2B2B"/>
        <rFont val="DejaVu Sans"/>
        <family val="1"/>
        <charset val="1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사고 발생 시 계약자가 차량을 수리하지 아니하고 임의로 수리비 전부 또는 일부 금</t>
    </r>
  </si>
  <si>
    <r>
      <rPr>
        <sz val="8"/>
        <color rgb="FF2B2B2B"/>
        <rFont val="DejaVu Sans"/>
        <family val="2"/>
      </rPr>
      <t xml:space="preserve">액을 현금으로 지급받는 행위를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</si>
  <si>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운행자성 및 운행지배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</si>
  <si>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1"/>
        <charset val="1"/>
      </rPr>
      <t xml:space="preserve">⑭ "</t>
    </r>
    <r>
      <rPr>
        <sz val="8"/>
        <color rgb="FF2B2B2B"/>
        <rFont val="DejaVu Sans"/>
        <family val="2"/>
      </rPr>
      <t xml:space="preserve">플랫폼 일차감 프로그램</t>
    </r>
    <r>
      <rPr>
        <sz val="8"/>
        <color rgb="FF2B2B2B"/>
        <rFont val="DejaVu Sans"/>
        <family val="1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가맹중인 배달플랫폼 본사와 회사 간의 제휴계약이 체결</t>
    </r>
  </si>
  <si>
    <r>
      <rPr>
        <sz val="8"/>
        <rFont val="DejaVu Sans"/>
        <family val="2"/>
      </rPr>
      <t xml:space="preserve">① 본 계약 차량의 소유권은 회사에 있으나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회사는 자동차손해배상보장법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조에서 정한 </t>
    </r>
    <r>
      <rPr>
        <sz val="8"/>
        <rFont val="DejaVu Sans"/>
        <family val="2"/>
        <charset val="1"/>
      </rPr>
      <t xml:space="preserve">"</t>
    </r>
    <r>
      <rPr>
        <sz val="8"/>
        <rFont val="DejaVu Sans"/>
        <family val="2"/>
      </rPr>
      <t xml:space="preserve">자기를</t>
    </r>
  </si>
  <si>
    <r>
      <rPr>
        <sz val="8"/>
        <color rgb="FF2B2B2B"/>
        <rFont val="DejaVu Sans"/>
        <family val="2"/>
      </rPr>
      <t xml:space="preserve">되어 있는 경우 해당 플랫폼사의 페이를 통해 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납부가 가능한 전산 시스템을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</si>
  <si>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위하여 자동차를 운행하는 자</t>
    </r>
    <r>
      <rPr>
        <sz val="8"/>
        <rFont val="DejaVu Sans"/>
        <family val="2"/>
        <charset val="1"/>
      </rPr>
      <t xml:space="preserve">"(</t>
    </r>
    <r>
      <rPr>
        <sz val="8"/>
        <rFont val="DejaVu Sans"/>
        <family val="2"/>
      </rPr>
      <t xml:space="preserve">이하 </t>
    </r>
    <r>
      <rPr>
        <sz val="8"/>
        <rFont val="DejaVu Sans"/>
        <family val="2"/>
        <charset val="1"/>
      </rPr>
      <t xml:space="preserve">"</t>
    </r>
    <r>
      <rPr>
        <sz val="8"/>
        <rFont val="DejaVu Sans"/>
        <family val="2"/>
      </rPr>
      <t xml:space="preserve">운행자</t>
    </r>
    <r>
      <rPr>
        <sz val="8"/>
        <rFont val="DejaVu Sans"/>
        <family val="2"/>
        <charset val="1"/>
      </rPr>
      <t xml:space="preserve">")</t>
    </r>
    <r>
      <rPr>
        <sz val="8"/>
        <rFont val="DejaVu Sans"/>
        <family val="2"/>
      </rPr>
      <t xml:space="preserve">에 해당하지 아니한다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 xml:space="preserve">회사는 본 계약 차량에 대한 운</t>
    </r>
  </si>
  <si>
    <r>
      <rPr>
        <sz val="8"/>
        <rFont val="DejaVu Sans"/>
        <family val="2"/>
      </rPr>
      <t xml:space="preserve">행지배 및 운행이익을 갖지 아니한다</t>
    </r>
    <r>
      <rPr>
        <sz val="8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</si>
  <si>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서류 제출 및 이륜차 인도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</si>
  <si>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② 본 계약 차량의 운행자는 계약자이며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운행 중 발생하는 모든 인적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물적 손해에 대한 운행자 책임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</si>
  <si>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</si>
  <si>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은 전적으로 계약자가 부담한다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 xml:space="preserve">계약자가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자에게 차량을 운행하게 한 경우에도 운행자성은 여</t>
    </r>
  </si>
  <si>
    <r>
      <rPr>
        <sz val="8"/>
        <color rgb="FF2B2B2B"/>
        <rFont val="DejaVu Sans"/>
        <family val="2"/>
      </rPr>
      <t xml:space="preserve">제출된 서류는 어떠한 경우에도 반환하지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</si>
  <si>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전히 계약자에게 있다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</si>
  <si>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청구시작일부터 지정 장소에 이륜차를 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날짜부터 계약이 개시된다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</si>
  <si>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③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자가 회사를 상대로 운행자 책임을 청구하는 경우 계약자는 자신의 비용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책임으로 회사를 면책</t>
    </r>
  </si>
  <si>
    <r>
      <rPr>
        <sz val="8"/>
        <color rgb="FF2B2B2B"/>
        <rFont val="DejaVu Sans"/>
        <family val="2"/>
      </rPr>
      <t xml:space="preserve">인도 이후에는 계약자는 이륜차의 하자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렌트료 지급의무를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</si>
  <si>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시켜야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회사가 부득이 배상한 경우 그 금액 및 관련 비용 일체를 즉시 회사에 상환하여야 한다</t>
    </r>
    <r>
      <rPr>
        <sz val="8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</si>
  <si>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소유권 유보 및 이전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</si>
  <si>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발생 시 고지 의무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</si>
  <si>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</si>
  <si>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① 회사는 본 계약 차량의 운행자가 아니므로 사고 발생 사실을 직접 인지할 수 없다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 xml:space="preserve">따라서 본 조의</t>
    </r>
  </si>
  <si>
    <r>
      <rPr>
        <sz val="8"/>
        <color rgb="FF2B2B2B"/>
        <rFont val="DejaVu Sans"/>
        <family val="2"/>
      </rPr>
      <t xml:space="preserve">② 인수형 계약의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모든 채무를 완전히 이행한 때 회사는 회사의 내부 행정 절차에 따라</t>
    </r>
  </si>
  <si>
    <r>
      <rPr>
        <sz val="8"/>
        <rFont val="DejaVu Sans"/>
        <family val="2"/>
      </rPr>
      <t xml:space="preserve">고지 의무는 본 계약상 계약자의 핵심 의무에 해당한다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</si>
  <si>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이륜차의 소유권을 계약자에게 이전한다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</si>
  <si>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② 다음 사유 발생 시 계약자는 즉시 회사에 고지하여야 한다</t>
    </r>
    <r>
      <rPr>
        <sz val="8"/>
        <rFont val="DejaVu Sans"/>
        <family val="2"/>
        <charset val="1"/>
      </rPr>
      <t xml:space="preserve">: </t>
    </r>
    <r>
      <rPr>
        <sz val="8"/>
        <rFont val="DejaVu Sans"/>
        <family val="2"/>
      </rPr>
      <t xml:space="preserve">인적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물적 손해사고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단독사고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차량 파</t>
    </r>
  </si>
  <si>
    <r>
      <rPr>
        <sz val="8"/>
        <color rgb="FF2B2B2B"/>
        <rFont val="DejaVu Sans"/>
        <family val="2"/>
      </rPr>
      <t xml:space="preserve"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</si>
  <si>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손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도난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멸실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분실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보험사 접수 필요 사건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무면허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음주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약물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범죄 목적 운전 등 면책사유 해당 운행 </t>
    </r>
  </si>
  <si>
    <t xml:space="preserve">④ 인수형 계약이라 하더라도 계약기간 만료 및 약정 금액의 완납 전에는 계약자는 이륜차의 소유권</t>
  </si>
  <si>
    <r>
      <rPr>
        <sz val="8"/>
        <rFont val="DejaVu Sans"/>
        <family val="2"/>
      </rPr>
      <t xml:space="preserve">사실 인지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</si>
  <si>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을 주장할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</si>
  <si>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③ 고지에는 사고 일시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장소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경위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운전자 신원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면허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음주 여부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상대방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피해자 정보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보험사 접수 번</t>
    </r>
  </si>
  <si>
    <r>
      <rPr>
        <sz val="8"/>
        <rFont val="DejaVu Sans"/>
        <family val="2"/>
      </rPr>
      <t xml:space="preserve">호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경찰 신고 여부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차량 위치 및 상태가 포함되어야 한다</t>
    </r>
    <r>
      <rPr>
        <sz val="8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</si>
  <si>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보증금 및 계약금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</si>
  <si>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④ 계약자가 고지 의무를 위반하는 경우</t>
    </r>
    <r>
      <rPr>
        <sz val="8"/>
        <rFont val="DejaVu Sans"/>
        <family val="2"/>
        <charset val="1"/>
      </rPr>
      <t xml:space="preserve">(</t>
    </r>
    <r>
      <rPr>
        <sz val="8"/>
        <rFont val="DejaVu Sans"/>
        <family val="2"/>
      </rPr>
      <t xml:space="preserve">미고지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지연 고지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허위 고지 포함</t>
    </r>
    <r>
      <rPr>
        <sz val="8"/>
        <rFont val="DejaVu Sans"/>
        <family val="2"/>
        <charset val="1"/>
      </rPr>
      <t xml:space="preserve">) </t>
    </r>
    <r>
      <rPr>
        <sz val="8"/>
        <rFont val="DejaVu Sans"/>
        <family val="2"/>
      </rPr>
      <t xml:space="preserve">다음 책임을 부담한다</t>
    </r>
    <r>
      <rPr>
        <sz val="8"/>
        <rFont val="DejaVu Sans"/>
        <family val="2"/>
        <charset val="1"/>
      </rPr>
      <t xml:space="preserve">:</t>
    </r>
  </si>
  <si>
    <r>
      <rPr>
        <sz val="8"/>
        <color rgb="FF2B2B2B"/>
        <rFont val="DejaVu Sans"/>
        <family val="2"/>
      </rPr>
      <t xml:space="preserve">① 계약 시 보증금은 지정된 수납 대행사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 </t>
    </r>
    <r>
      <rPr>
        <sz val="8"/>
        <color rgb="FF2B2B2B"/>
        <rFont val="DejaVu Sans"/>
        <family val="2"/>
      </rPr>
      <t xml:space="preserve">계좌로 납부한다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사전동의 시 </t>
    </r>
  </si>
  <si>
    <r>
      <rPr>
        <sz val="8"/>
        <rFont val="DejaVu Sans"/>
        <family val="3"/>
        <charset val="129"/>
      </rPr>
      <t xml:space="preserve">(1) </t>
    </r>
    <r>
      <rPr>
        <sz val="8"/>
        <rFont val="DejaVu Sans"/>
        <family val="2"/>
      </rPr>
      <t xml:space="preserve">보험사 면책으로 인한 미보장 손해 일체</t>
    </r>
    <r>
      <rPr>
        <sz val="8"/>
        <rFont val="DejaVu Sans"/>
        <family val="3"/>
        <charset val="129"/>
      </rPr>
      <t xml:space="preserve">, (2) </t>
    </r>
    <r>
      <rPr>
        <sz val="8"/>
        <rFont val="DejaVu Sans"/>
        <family val="2"/>
      </rPr>
      <t xml:space="preserve">회사에 추가 발생한 구상금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과태료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소송비용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변호사</t>
    </r>
  </si>
  <si>
    <r>
      <rPr>
        <sz val="8"/>
        <color rgb="FF2B2B2B"/>
        <rFont val="DejaVu Sans"/>
        <family val="2"/>
      </rPr>
      <t xml:space="preserve">최대 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일까지 납부를 유예할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</si>
  <si>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비</t>
    </r>
    <r>
      <rPr>
        <sz val="8"/>
        <rFont val="DejaVu Sans"/>
        <family val="2"/>
        <charset val="1"/>
      </rPr>
      <t xml:space="preserve">, (3) </t>
    </r>
    <r>
      <rPr>
        <sz val="8"/>
        <rFont val="DejaVu Sans"/>
        <family val="2"/>
      </rPr>
      <t xml:space="preserve">회사가 사고를 알지 못한 상태에서 차량 처분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계약 갱신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보험 정산을 진행함으로써 발생한 손</t>
    </r>
  </si>
  <si>
    <r>
      <rPr>
        <sz val="8"/>
        <color rgb="FF2B2B2B"/>
        <rFont val="DejaVu Sans"/>
        <family val="2"/>
      </rPr>
      <t xml:space="preserve">② 전항의 유예기간 내 미지급 시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동시에</t>
    </r>
  </si>
  <si>
    <r>
      <rPr>
        <sz val="8"/>
        <rFont val="DejaVu Sans"/>
        <family val="2"/>
      </rPr>
      <t xml:space="preserve">해 일체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</si>
  <si>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1"/>
        <charset val="129"/>
      </rPr>
      <t xml:space="preserve">(1) </t>
    </r>
    <r>
      <rPr>
        <sz val="8"/>
        <color rgb="FF2B2B2B"/>
        <rFont val="DejaVu Sans"/>
        <family val="2"/>
      </rPr>
      <t xml:space="preserve">인도일부터 반환일까지 일할 사용료</t>
    </r>
    <r>
      <rPr>
        <sz val="8"/>
        <color rgb="FF2B2B2B"/>
        <rFont val="DejaVu Sans"/>
        <family val="1"/>
        <charset val="129"/>
      </rPr>
      <t xml:space="preserve">, (2) </t>
    </r>
    <r>
      <rPr>
        <sz val="8"/>
        <color rgb="FF2B2B2B"/>
        <rFont val="DejaVu Sans"/>
        <family val="2"/>
      </rPr>
      <t xml:space="preserve">감가손실액</t>
    </r>
    <r>
      <rPr>
        <sz val="8"/>
        <color rgb="FF2B2B2B"/>
        <rFont val="DejaVu Sans"/>
        <family val="1"/>
        <charset val="129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DejaVu Sans"/>
        <family val="1"/>
        <charset val="129"/>
      </rPr>
      <t xml:space="preserve">·</t>
    </r>
    <r>
      <rPr>
        <sz val="8"/>
        <color rgb="FF2B2B2B"/>
        <rFont val="DejaVu Sans"/>
        <family val="2"/>
      </rPr>
      <t xml:space="preserve">번호판</t>
    </r>
    <r>
      <rPr>
        <sz val="8"/>
        <color rgb="FF2B2B2B"/>
        <rFont val="DejaVu Sans"/>
        <family val="1"/>
        <charset val="129"/>
      </rPr>
      <t xml:space="preserve">·</t>
    </r>
    <r>
      <rPr>
        <sz val="8"/>
        <color rgb="FF2B2B2B"/>
        <rFont val="DejaVu Sans"/>
        <family val="2"/>
      </rPr>
      <t xml:space="preserve">보험료 등 회사가 이</t>
    </r>
  </si>
  <si>
    <r>
      <rPr>
        <sz val="8"/>
        <rFont val="DejaVu Sans"/>
        <family val="2"/>
      </rPr>
      <t xml:space="preserve">⑤ 위 책임 부담과 별도로 회사는 본 계약을 즉시 해지하고 차량을 회수할 수 있다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 xml:space="preserve">보증금은 반환하</t>
    </r>
  </si>
  <si>
    <r>
      <rPr>
        <sz val="8"/>
        <color rgb="FF2B2B2B"/>
        <rFont val="DejaVu Sans"/>
        <family val="2"/>
      </rPr>
      <t xml:space="preserve">미 지출한 부대비용 일체를 배상한다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</si>
  <si>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지 아니하며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위약금 및 손해배상금은 별도로 청구한다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</si>
  <si>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보증금은 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 등</t>
    </r>
  </si>
  <si>
    <r>
      <rPr>
        <sz val="8"/>
        <color rgb="FF2B2B2B"/>
        <rFont val="DejaVu Sans"/>
        <family val="2"/>
      </rPr>
      <t xml:space="preserve">이 확인될 수 있어 만료일로부터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개월 경과 후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</si>
  <si>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운전자 범위 및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</si>
  <si>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</si>
  <si>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① 본 계약 차량은 계약자가 직접 운행함을 원칙으로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이륜차를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자에게 전대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담보 제공하는 </t>
    </r>
  </si>
  <si>
    <r>
      <rPr>
        <sz val="8"/>
        <color rgb="FF2B2B2B"/>
        <rFont val="DejaVu Sans"/>
        <family val="2"/>
      </rPr>
      <t xml:space="preserve">⑤ 계약이 중도 해지된 경우 보증금 및 계약금은 반환하지 아니하며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 및 손해배상금은 별도로</t>
    </r>
  </si>
  <si>
    <r>
      <rPr>
        <sz val="8"/>
        <rFont val="DejaVu Sans"/>
        <family val="2"/>
      </rPr>
      <t xml:space="preserve">행위는 금지된다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</si>
  <si>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청구한다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</si>
  <si>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② 계약자 외의 자가 운행하는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해당 운전자의 면허 보유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보험연령 충족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음주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약물 미복용 등</t>
    </r>
  </si>
  <si>
    <r>
      <rPr>
        <sz val="8"/>
        <rFont val="DejaVu Sans"/>
        <family val="2"/>
      </rPr>
      <t xml:space="preserve">운전 자격 일체를 확인할 책임은 계약자에게 있다</t>
    </r>
    <r>
      <rPr>
        <sz val="8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</si>
  <si>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렌트료 및 결제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</si>
  <si>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③ 계약자 외의 자가 운행하여 발생한 사고는 보험사 약관에 따라 보험 보장이 거절될 수 있으며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이</t>
    </r>
  </si>
  <si>
    <t xml:space="preserve">① 계약자는 계약서에 기재된 렌트료 및 운행 관련 제 비용을 공휴일과 무관하게 정해진 결제일에</t>
  </si>
  <si>
    <r>
      <rPr>
        <sz val="8"/>
        <rFont val="DejaVu Sans"/>
        <family val="2"/>
      </rPr>
      <t xml:space="preserve">로 인한 모든 손해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구상금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차량 수리비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과태료 등 일체는 계약자가 전적으로 부담한다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</si>
  <si>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수납 대행사 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 </t>
    </r>
    <r>
      <rPr>
        <sz val="8"/>
        <color rgb="FF2B2B2B"/>
        <rFont val="DejaVu Sans"/>
        <family val="2"/>
      </rPr>
      <t xml:space="preserve">명의 계좌로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</si>
  <si>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④ 회사는 운전자의 신원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자격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연령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면허를 사전에 확인할 의무를 부담하지 아니한다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</si>
  <si>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매도인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보험사 단가 변경 등 불가피한 사정으로 렌트료가 변동될 경우 회사</t>
    </r>
  </si>
  <si>
    <r>
      <rPr>
        <sz val="8"/>
        <color rgb="FF2B2B2B"/>
        <rFont val="DejaVu Sans"/>
        <family val="2"/>
      </rPr>
      <t xml:space="preserve">는 계약자에게 개별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출고 이전까지 계약을 취소할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</si>
  <si>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 면책사고 및 구상금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</si>
  <si>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이륜차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등으로 운행이 불가능한 사유가 발생하더라도 계약자는 렌트료 지급의무</t>
    </r>
  </si>
  <si>
    <r>
      <rPr>
        <sz val="8"/>
        <rFont val="DejaVu Sans"/>
        <family val="2"/>
      </rPr>
      <t xml:space="preserve">① 보험사가 면책하거나 회사에 구상금을 청구하는 사고로서 다음 각 호에 해당하는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그 손해 일</t>
    </r>
  </si>
  <si>
    <r>
      <rPr>
        <sz val="8"/>
        <color rgb="FF2B2B2B"/>
        <rFont val="DejaVu Sans"/>
        <family val="2"/>
      </rPr>
      <t xml:space="preserve">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</si>
  <si>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체는 계약자가 부담한다</t>
    </r>
    <r>
      <rPr>
        <sz val="8"/>
        <rFont val="DejaVu Sans"/>
        <family val="2"/>
        <charset val="1"/>
      </rPr>
      <t xml:space="preserve">: (1) </t>
    </r>
    <r>
      <rPr>
        <sz val="8"/>
        <rFont val="DejaVu Sans"/>
        <family val="2"/>
      </rPr>
      <t xml:space="preserve">고의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범죄 목적 운행 또는 도난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무단이용 중 사고</t>
    </r>
    <r>
      <rPr>
        <sz val="8"/>
        <rFont val="DejaVu Sans"/>
        <family val="2"/>
        <charset val="1"/>
      </rPr>
      <t xml:space="preserve">, (2) </t>
    </r>
    <r>
      <rPr>
        <sz val="8"/>
        <rFont val="DejaVu Sans"/>
        <family val="2"/>
      </rPr>
      <t xml:space="preserve">무면허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음주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약물</t>
    </r>
    <r>
      <rPr>
        <sz val="8"/>
        <rFont val="DejaVu Sans"/>
        <family val="2"/>
        <charset val="1"/>
      </rPr>
      <t xml:space="preserve">·</t>
    </r>
  </si>
  <si>
    <r>
      <rPr>
        <sz val="8"/>
        <color rgb="FF2B2B2B"/>
        <rFont val="DejaVu Sans"/>
        <family val="2"/>
      </rPr>
      <t xml:space="preserve">④ 보험연령 변경 등으로 렌트료가 변동될 경우 해당 차량 최초 계약 당시 단가표 기준으로 산정한다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</si>
  <si>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보험연령 미달자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운전자 자격 미충족자의 운전</t>
    </r>
    <r>
      <rPr>
        <sz val="8"/>
        <rFont val="DejaVu Sans"/>
        <family val="2"/>
        <charset val="1"/>
      </rPr>
      <t xml:space="preserve">, (3) 12</t>
    </r>
    <r>
      <rPr>
        <sz val="8"/>
        <rFont val="DejaVu Sans"/>
        <family val="2"/>
      </rPr>
      <t xml:space="preserve">대 중과실</t>
    </r>
    <r>
      <rPr>
        <sz val="8"/>
        <rFont val="DejaVu Sans"/>
        <family val="2"/>
        <charset val="1"/>
      </rPr>
      <t xml:space="preserve">(</t>
    </r>
    <r>
      <rPr>
        <sz val="8"/>
        <rFont val="DejaVu Sans"/>
        <family val="2"/>
      </rPr>
      <t xml:space="preserve">교통사고처리 특례법상</t>
    </r>
    <r>
      <rPr>
        <sz val="8"/>
        <rFont val="DejaVu Sans"/>
        <family val="2"/>
        <charset val="1"/>
      </rPr>
      <t xml:space="preserve">)</t>
    </r>
    <r>
      <rPr>
        <sz val="8"/>
        <rFont val="DejaVu Sans"/>
        <family val="2"/>
      </rPr>
      <t xml:space="preserve">에 해당하는</t>
    </r>
  </si>
  <si>
    <r>
      <rPr>
        <sz val="8"/>
        <color rgb="FF2B2B2B"/>
        <rFont val="DejaVu Sans"/>
        <family val="2"/>
      </rPr>
      <t xml:space="preserve">⑤ 계약자가 가맹중인 배달플랫폼 본사와 회사 간의 제휴계약이 체결되어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배달플랫</t>
    </r>
  </si>
  <si>
    <r>
      <rPr>
        <sz val="8"/>
        <rFont val="DejaVu Sans"/>
        <family val="2"/>
      </rPr>
      <t xml:space="preserve">사고</t>
    </r>
    <r>
      <rPr>
        <sz val="8"/>
        <rFont val="DejaVu Sans"/>
        <family val="2"/>
        <charset val="1"/>
      </rPr>
      <t xml:space="preserve">, (4) </t>
    </r>
    <r>
      <rPr>
        <sz val="8"/>
        <rFont val="DejaVu Sans"/>
        <family val="2"/>
      </rPr>
      <t xml:space="preserve">운전자 범위 위반 또는 요금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대가를 받고 이용</t>
    </r>
    <r>
      <rPr>
        <sz val="8"/>
        <rFont val="DejaVu Sans"/>
        <family val="2"/>
        <charset val="1"/>
      </rPr>
      <t xml:space="preserve">, (5) </t>
    </r>
    <r>
      <rPr>
        <sz val="8"/>
        <rFont val="DejaVu Sans"/>
        <family val="2"/>
      </rPr>
      <t xml:space="preserve">경기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시범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연습용 등 비일상적 사용</t>
    </r>
    <r>
      <rPr>
        <sz val="8"/>
        <rFont val="DejaVu Sans"/>
        <family val="2"/>
        <charset val="1"/>
      </rPr>
      <t xml:space="preserve">, (6)</t>
    </r>
  </si>
  <si>
    <r>
      <rPr>
        <sz val="8"/>
        <color rgb="FF2B2B2B"/>
        <rFont val="DejaVu Sans"/>
        <family val="2"/>
      </rPr>
      <t xml:space="preserve">폼사의 페이를 통하여 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다음 각 호에 해당하는 경우 플랫폼</t>
    </r>
  </si>
  <si>
    <r>
      <rPr>
        <sz val="8"/>
        <rFont val="DejaVu Sans"/>
        <family val="2"/>
      </rPr>
      <t xml:space="preserve">그 밖에 보험약관상 면책사항</t>
    </r>
    <r>
      <rPr>
        <sz val="8"/>
        <rFont val="DejaVu Sans"/>
        <family val="2"/>
        <charset val="1"/>
      </rPr>
      <t xml:space="preserve">, (7) </t>
    </r>
    <r>
      <rPr>
        <sz val="8"/>
        <rFont val="DejaVu Sans"/>
        <family val="2"/>
      </rPr>
      <t xml:space="preserve">자손사고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자차손해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대물 한도 초과분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대인배상Ⅱ 한도 초과분 등</t>
    </r>
  </si>
  <si>
    <r>
      <rPr>
        <sz val="8"/>
        <color rgb="FF2B2B2B"/>
        <rFont val="DejaVu Sans"/>
        <family val="2"/>
      </rPr>
      <t xml:space="preserve">일차감 프로그램은 즉시 중단되며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조 제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2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항에 따라 결제방법이 즉시 변경된다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</si>
  <si>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본 계약 책임보험으로 보장되지 않는 일체의 손해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</si>
  <si>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   1. </t>
    </r>
    <r>
      <rPr>
        <sz val="8"/>
        <color rgb="FF2B2B2B"/>
        <rFont val="DejaVu Sans"/>
        <family val="2"/>
      </rPr>
      <t xml:space="preserve">계약자와 배달플랫폼사 간의 가맹계약이 종료된 경우</t>
    </r>
  </si>
  <si>
    <r>
      <rPr>
        <sz val="8"/>
        <rFont val="DejaVu Sans"/>
        <family val="2"/>
      </rPr>
      <t xml:space="preserve">② 위 사유로 보험사가 회사에 구상금을 청구한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회사는 그 사실을 계약자에게 통보하며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계약자</t>
    </r>
  </si>
  <si>
    <r>
      <rPr>
        <sz val="8"/>
        <color rgb="FF2B2B2B"/>
        <rFont val="DejaVu Sans"/>
        <family val="3"/>
        <charset val="129"/>
      </rPr>
      <t xml:space="preserve">   2. </t>
    </r>
    <r>
      <rPr>
        <sz val="8"/>
        <color rgb="FF2B2B2B"/>
        <rFont val="DejaVu Sans"/>
        <family val="2"/>
      </rPr>
      <t xml:space="preserve">배달플랫폼 본사와 회사 간의 제휴계약이 종료된 경우</t>
    </r>
  </si>
  <si>
    <r>
      <rPr>
        <sz val="8"/>
        <rFont val="DejaVu Sans"/>
        <family val="2"/>
      </rPr>
      <t xml:space="preserve">는 통보 후 </t>
    </r>
    <r>
      <rPr>
        <sz val="8"/>
        <rFont val="DejaVu Sans"/>
        <family val="2"/>
        <charset val="1"/>
      </rPr>
      <t xml:space="preserve">7</t>
    </r>
    <r>
      <rPr>
        <sz val="8"/>
        <rFont val="DejaVu Sans"/>
        <family val="2"/>
      </rPr>
      <t xml:space="preserve">일 이내에 구상금 전액 및 회사가 그와 관련하여 지출한 변호사비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소송비 일체를 회사에</t>
    </r>
  </si>
  <si>
    <r>
      <rPr>
        <sz val="8"/>
        <color rgb="FF2B2B2B"/>
        <rFont val="DejaVu Sans"/>
        <family val="3"/>
        <charset val="129"/>
      </rPr>
      <t xml:space="preserve">   3. </t>
    </r>
    <r>
      <rPr>
        <sz val="8"/>
        <color rgb="FF2B2B2B"/>
        <rFont val="DejaVu Sans"/>
        <family val="2"/>
      </rPr>
      <t xml:space="preserve">배달플랫폼사의 페이가 </t>
    </r>
    <r>
      <rPr>
        <sz val="8"/>
        <color rgb="FF2B2B2B"/>
        <rFont val="DejaVu Sans"/>
        <family val="3"/>
        <charset val="129"/>
      </rPr>
      <t xml:space="preserve">72</t>
    </r>
    <r>
      <rPr>
        <sz val="8"/>
        <color rgb="FF2B2B2B"/>
        <rFont val="DejaVu Sans"/>
        <family val="2"/>
      </rPr>
      <t xml:space="preserve">시간 연속으로 회사가 요청하는 금액만큼 회사 계좌로 출금되지 아니</t>
    </r>
  </si>
  <si>
    <r>
      <rPr>
        <sz val="8"/>
        <rFont val="DejaVu Sans"/>
        <family val="2"/>
      </rPr>
      <t xml:space="preserve">변제한다</t>
    </r>
    <r>
      <rPr>
        <sz val="8"/>
        <rFont val="DejaVu Sans"/>
        <family val="2"/>
        <charset val="1"/>
      </rPr>
      <t xml:space="preserve">.</t>
    </r>
  </si>
  <si>
    <t xml:space="preserve">   한 경우</t>
  </si>
  <si>
    <r>
      <rPr>
        <sz val="8"/>
        <rFont val="맑은 고딕"/>
        <family val="3"/>
        <charset val="129"/>
      </rPr>
      <t xml:space="preserve">③ 7</t>
    </r>
    <r>
      <rPr>
        <sz val="8"/>
        <rFont val="DejaVu Sans"/>
        <family val="2"/>
      </rPr>
      <t xml:space="preserve">일 이내 미변제 시 본 계약은 자동 해지되며 회사는 계약된 모든 차량을 즉시 회수한다</t>
    </r>
    <r>
      <rPr>
        <sz val="8"/>
        <rFont val="맑은 고딕"/>
        <family val="3"/>
        <charset val="129"/>
      </rPr>
      <t xml:space="preserve">. </t>
    </r>
    <r>
      <rPr>
        <sz val="8"/>
        <rFont val="DejaVu Sans"/>
        <family val="2"/>
      </rPr>
      <t xml:space="preserve">보증금은</t>
    </r>
  </si>
  <si>
    <r>
      <rPr>
        <sz val="8"/>
        <rFont val="DejaVu Sans"/>
        <family val="2"/>
      </rPr>
      <t xml:space="preserve">반환하지 아니하며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위약금 및 손해배상금은 별도로 청구한다</t>
    </r>
    <r>
      <rPr>
        <sz val="8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</si>
  <si>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④ 계약자가 회사를 면책시키지 못하여 회사가 직접 손해배상을 한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회사가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자에게 지급한</t>
    </r>
  </si>
  <si>
    <r>
      <rPr>
        <sz val="8"/>
        <rFont val="DejaVu Sans"/>
        <family val="2"/>
      </rPr>
      <t xml:space="preserve">금액과 관련 비용 일체를 즉시 회사에 상환한다</t>
    </r>
    <r>
      <rPr>
        <sz val="8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</si>
  <si>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처리 및 미수선처리 금지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</si>
  <si>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해지위약금 등의 부과방법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</si>
  <si>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사고 발생 시 계약자는 지정 수리센터로 입고하여 수리를 받으며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관계 법령 및 보험계약상의 절차</t>
    </r>
  </si>
  <si>
    <r>
      <rPr>
        <sz val="8"/>
        <rFont val="DejaVu Sans"/>
        <family val="2"/>
      </rPr>
      <t xml:space="preserve">① 위약금 산식</t>
    </r>
    <r>
      <rPr>
        <sz val="8"/>
        <rFont val="DejaVu Sans"/>
        <family val="2"/>
        <charset val="1"/>
      </rPr>
      <t xml:space="preserve">: </t>
    </r>
    <r>
      <rPr>
        <sz val="8"/>
        <rFont val="DejaVu Sans"/>
        <family val="2"/>
      </rPr>
      <t xml:space="preserve">위약금 </t>
    </r>
    <r>
      <rPr>
        <sz val="8"/>
        <rFont val="DejaVu Sans"/>
        <family val="2"/>
        <charset val="1"/>
      </rPr>
      <t xml:space="preserve">= </t>
    </r>
    <r>
      <rPr>
        <sz val="8"/>
        <rFont val="DejaVu Sans"/>
        <family val="2"/>
      </rPr>
      <t xml:space="preserve">보증금 </t>
    </r>
    <r>
      <rPr>
        <sz val="8"/>
        <rFont val="DejaVu Sans"/>
        <family val="2"/>
        <charset val="1"/>
      </rPr>
      <t xml:space="preserve">+ (</t>
    </r>
    <r>
      <rPr>
        <sz val="8"/>
        <rFont val="DejaVu Sans"/>
        <family val="2"/>
      </rPr>
      <t xml:space="preserve">잔여기간에 대한 총 렌트료 </t>
    </r>
    <r>
      <rPr>
        <sz val="8"/>
        <rFont val="DejaVu Sans"/>
        <family val="2"/>
        <charset val="1"/>
      </rPr>
      <t xml:space="preserve">× 20%).</t>
    </r>
  </si>
  <si>
    <r>
      <rPr>
        <sz val="8"/>
        <color rgb="FF2B2B2B"/>
        <rFont val="DejaVu Sans"/>
        <family val="2"/>
      </rPr>
      <t xml:space="preserve">에 따라 사고를 처리한다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</si>
  <si>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계약자는 위약금을 계약 해지일까지 회사에 지급한다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</si>
  <si>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렌트 기간 중 미수선처리는 불가하다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</si>
  <si>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② 보증금은 어떠한 경우에도 반환하지 아니하며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위약금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손해배상금은 별도로 청구한다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</si>
  <si>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회사는 차량 가치 감가하락의 대가로 지급되는 격락손해금을 계약 만기 시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렌트료 미</t>
    </r>
  </si>
  <si>
    <r>
      <rPr>
        <sz val="8"/>
        <color rgb="FF2B2B2B"/>
        <rFont val="DejaVu Sans"/>
        <family val="2"/>
      </rPr>
      <t xml:space="preserve">③ 반환된 이륜차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부착물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 회사 청구</t>
    </r>
  </si>
  <si>
    <r>
      <rPr>
        <sz val="8"/>
        <color rgb="FF2B2B2B"/>
        <rFont val="DejaVu Sans"/>
        <family val="2"/>
      </rPr>
      <t xml:space="preserve">납이 없는 경우에 한한다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</si>
  <si>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일로부터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</si>
  <si>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계약자의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</si>
  <si>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운행 중 발생하는 모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</si>
  <si>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이륜차 반환 및 회수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</si>
  <si>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든 사고에 대한 책임을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</si>
  <si>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본 계약이 해지되는 경우 계약자는 즉시 회사가 지정하는 장소로 이륜차를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</si>
  <si>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계약기간 중 임의로 부착물을 추가하거나 이륜차 구조를 변경할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</si>
  <si>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</t>
    </r>
  </si>
  <si>
    <r>
      <rPr>
        <sz val="8"/>
        <color rgb="FF2B2B2B"/>
        <rFont val="DejaVu Sans"/>
        <family val="2"/>
      </rPr>
      <t xml:space="preserve">③ 본 계약 차량의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본인이 차량을 직접 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운행하는 한도에서 사</t>
    </r>
  </si>
  <si>
    <r>
      <rPr>
        <sz val="8"/>
        <color rgb="FF2B2B2B"/>
        <rFont val="DejaVu Sans"/>
        <family val="2"/>
      </rPr>
      <t xml:space="preserve">상 어떠한 이의도 제기할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회수 비용 일체는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</si>
  <si>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용수익권 및 운행이익권을 가진다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계약자는 이륜차를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담보 제공할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본</t>
    </r>
  </si>
  <si>
    <r>
      <rPr>
        <sz val="8"/>
        <color rgb="FF2B2B2B"/>
        <rFont val="DejaVu Sans"/>
        <family val="2"/>
      </rPr>
      <t xml:space="preserve">③ 계약자는 계약 해지일부터 이륜차 최종 반환일까지의 손해배상금을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</si>
  <si>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계약이 해지된 경우 즉시 운행을 중단하고 이륜차를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</si>
  <si>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본 계약 차량 운행에 필요한 자격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보험연령 충족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면허 보유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음주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약물 미복용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을 갖추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</si>
  <si>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계약만료 후 처리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</si>
  <si>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위반으로 발생한 사고 손해 일체를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</si>
  <si>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발생하는 사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</si>
  <si>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대해 권리를 주장하거나 강제집행 등으로 회사 소유권을 침해할 위험이 있는 경</t>
    </r>
  </si>
  <si>
    <r>
      <rPr>
        <sz val="8"/>
        <color rgb="FF2B2B2B"/>
        <rFont val="DejaVu Sans"/>
        <family val="2"/>
      </rPr>
      <t xml:space="preserve">고에 회사는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</si>
  <si>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회사의 소유임을 주장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입증하고 즉시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</si>
  <si>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명의 이전 시 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 익일에 번호</t>
    </r>
  </si>
  <si>
    <r>
      <rPr>
        <sz val="8"/>
        <color rgb="FF2B2B2B"/>
        <rFont val="DejaVu Sans"/>
        <family val="2"/>
      </rPr>
      <t xml:space="preserve">⑥ 계약자는 인도일부터 반환일까지 이륜차의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훼손에 대한 책임을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지체 없이 회사</t>
    </r>
  </si>
  <si>
    <r>
      <rPr>
        <sz val="8"/>
        <color rgb="FF2B2B2B"/>
        <rFont val="DejaVu Sans"/>
        <family val="2"/>
      </rPr>
      <t xml:space="preserve">판 등기 발송 중 하나를 선택한다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</si>
  <si>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통보한 후 자신의 비용으로 다음 각 호 중 하나를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이행한다</t>
    </r>
    <r>
      <rPr>
        <sz val="8"/>
        <color rgb="FF2B2B2B"/>
        <rFont val="DejaVu Sans"/>
        <family val="2"/>
        <charset val="1"/>
      </rPr>
      <t xml:space="preserve">. (1) </t>
    </r>
    <r>
      <rPr>
        <sz val="8"/>
        <color rgb="FF2B2B2B"/>
        <rFont val="DejaVu Sans"/>
        <family val="2"/>
      </rPr>
      <t xml:space="preserve">원상복구 수리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동일 </t>
    </r>
  </si>
  <si>
    <r>
      <rPr>
        <sz val="8"/>
        <color rgb="FF2B2B2B"/>
        <rFont val="DejaVu Sans"/>
        <family val="2"/>
      </rPr>
      <t xml:space="preserve">③ 인수형 계약에서 명의이전 시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계약자가 부담하며 신고는 회사가 대행한다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</si>
  <si>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한 차량으로 교체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교체차량은 회사 소유로 본 계약상 이륜차로 간주</t>
    </r>
    <r>
      <rPr>
        <sz val="8"/>
        <color rgb="FF2B2B2B"/>
        <rFont val="DejaVu Sans"/>
        <family val="2"/>
        <charset val="1"/>
      </rPr>
      <t xml:space="preserve">), (3) </t>
    </r>
    <r>
      <rPr>
        <sz val="8"/>
        <color rgb="FF2B2B2B"/>
        <rFont val="DejaVu Sans"/>
        <family val="2"/>
      </rPr>
      <t xml:space="preserve">인수형 계약의 경우 잔여 렌</t>
    </r>
  </si>
  <si>
    <r>
      <rPr>
        <sz val="8"/>
        <color rgb="FF2B2B2B"/>
        <rFont val="DejaVu Sans"/>
        <family val="2"/>
      </rPr>
      <t xml:space="preserve">④ 인수형 계약에 미납금이 있는 경우 만료일까지 전액 완납되어야 인수가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만료일 이후 </t>
    </r>
    <r>
      <rPr>
        <sz val="8"/>
        <color rgb="FF2B2B2B"/>
        <rFont val="DejaVu Sans"/>
        <family val="2"/>
        <charset val="1"/>
      </rPr>
      <t xml:space="preserve">D+</t>
    </r>
  </si>
  <si>
    <r>
      <rPr>
        <sz val="8"/>
        <color rgb="FF2B2B2B"/>
        <rFont val="DejaVu Sans"/>
        <family val="2"/>
      </rPr>
      <t xml:space="preserve">트료 </t>
    </r>
    <r>
      <rPr>
        <sz val="8"/>
        <color rgb="FF2B2B2B"/>
        <rFont val="DejaVu Sans"/>
        <family val="2"/>
        <charset val="1"/>
      </rPr>
      <t xml:space="preserve">100%</t>
    </r>
    <r>
      <rPr>
        <sz val="8"/>
        <color rgb="FF2B2B2B"/>
        <rFont val="DejaVu Sans"/>
        <family val="2"/>
      </rPr>
      <t xml:space="preserve">를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내 지급하여 계약 종료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차량 대체 시 발생하는 실비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취득세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인지세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번호판 발급비</t>
    </r>
  </si>
  <si>
    <r>
      <rPr>
        <sz val="8"/>
        <color rgb="FF2B2B2B"/>
        <rFont val="DejaVu Sans"/>
        <family val="1"/>
        <charset val="129"/>
      </rPr>
      <t xml:space="preserve">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1"/>
        <charset val="129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기한이익을 상실하며 회사</t>
    </r>
  </si>
  <si>
    <r>
      <rPr>
        <sz val="8"/>
        <color rgb="FF2B2B2B"/>
        <rFont val="DejaVu Sans"/>
        <family val="2"/>
      </rPr>
      <t xml:space="preserve">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는 변경 건별로 즉시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</si>
  <si>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는 차량을 자체 처분할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처분대금은 미납금 상환에 우선 충당된다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</si>
  <si>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이륜차의 등록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렌트료에 포함되지 않은 비용 및 제세공과</t>
    </r>
  </si>
  <si>
    <r>
      <rPr>
        <sz val="8"/>
        <color rgb="FF2B2B2B"/>
        <rFont val="DejaVu Sans"/>
        <family val="2"/>
      </rPr>
      <t xml:space="preserve">⑤ 반납형 계약은 만료일 익일에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수리견적에 따라 수리비를 보증금에서</t>
    </r>
  </si>
  <si>
    <r>
      <rPr>
        <sz val="8"/>
        <color rgb="FF2B2B2B"/>
        <rFont val="DejaVu Sans"/>
        <family val="2"/>
      </rPr>
      <t xml:space="preserve">금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</si>
  <si>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차감하고 잔액 지급 또는 초과분 청구한다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</si>
  <si>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반납에 필요한 서류 전달은 만료일 익일까지 완료되어야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지체 시 계약자는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</si>
  <si>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이관 및 승계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</si>
  <si>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조에 따른 손해배상금 및 부당사용이익을 회사에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</si>
  <si>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회사의 사전 승인 없이 본 계약상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</si>
  <si>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제공하며</t>
    </r>
    <r>
      <rPr>
        <sz val="8"/>
        <color rgb="FF2B2B2B"/>
        <rFont val="DejaVu Sans"/>
        <family val="2"/>
        <charset val="1"/>
      </rPr>
      <t xml:space="preserve">,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</si>
  <si>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변제충당 순서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</si>
  <si>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</si>
  <si>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납입한 금액이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기준으로 먼저 도래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</si>
  <si>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렌트료 지급의무 및 기타 채무를 계속</t>
    </r>
  </si>
  <si>
    <r>
      <rPr>
        <sz val="8"/>
        <color rgb="FF2B2B2B"/>
        <rFont val="DejaVu Sans"/>
        <family val="2"/>
      </rPr>
      <t xml:space="preserve">한 채무액부터 우선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</si>
  <si>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</si>
  <si>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</si>
  <si>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계약이관을 위해서는 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일체의 미납금이 없어야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승계받을 제</t>
    </r>
    <r>
      <rPr>
        <sz val="8"/>
        <color rgb="FF2B2B2B"/>
        <rFont val="DejaVu Sans"/>
        <family val="2"/>
        <charset val="1"/>
      </rPr>
      <t xml:space="preserve">3</t>
    </r>
  </si>
  <si>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</si>
  <si>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현금영수증 발급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</si>
  <si>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현금영수증은 한국모터사이클리스 유한회사 명의로 계약자의 주민등록번호를 기준으로 발급하며</t>
    </r>
    <r>
      <rPr>
        <sz val="8"/>
        <color rgb="FF2B2B2B"/>
        <rFont val="DejaVu Sans"/>
        <family val="2"/>
        <charset val="1"/>
      </rPr>
      <t xml:space="preserve">,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</si>
  <si>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위치정보 등 제공 동의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</si>
  <si>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모든 대금의 수납 업무는 포어스바이크 유한회사가 대행한다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</si>
  <si>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본 차량에는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위해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</si>
  <si>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</si>
  <si>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를 인지하고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</si>
  <si>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현금영수증 발행에 영향을 미치는 사항에 변경이 발생한 경우 즉시 회사에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통지의무 해</t>
    </r>
  </si>
  <si>
    <r>
      <rPr>
        <sz val="8"/>
        <color rgb="FF2B2B2B"/>
        <rFont val="DejaVu Sans"/>
        <family val="2"/>
      </rPr>
      <t xml:space="preserve">② 계약자는 본 계약 차량 운행 전 기간에 대하여 위치정보 수집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확보할 책임을</t>
    </r>
  </si>
  <si>
    <r>
      <rPr>
        <sz val="8"/>
        <color rgb="FF2B2B2B"/>
        <rFont val="DejaVu Sans"/>
        <family val="2"/>
      </rPr>
      <t xml:space="preserve">태로 발생하는 불이익은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</si>
  <si>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과태료에 대해 계약자가 전</t>
    </r>
  </si>
  <si>
    <r>
      <rPr>
        <sz val="8"/>
        <color rgb="FF2B2B2B"/>
        <rFont val="DejaVu Sans"/>
        <family val="2"/>
      </rPr>
      <t xml:space="preserve">적으로 책임진다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</si>
  <si>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준거법 및 관할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</si>
  <si>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</si>
  <si>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수원지방</t>
    </r>
  </si>
  <si>
    <r>
      <rPr>
        <sz val="8"/>
        <color rgb="FF2B2B2B"/>
        <rFont val="DejaVu Sans"/>
        <family val="2"/>
      </rPr>
      <t xml:space="preserve">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 처리 등 본 계약 이행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 내에서만 위치정보를 활용한다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</si>
  <si>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법원을 전속 관할 법원으로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</si>
  <si>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금지행위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</si>
  <si>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평가 및 감가 기준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</si>
  <si>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계약자는 다음 행위를 하여서는 아니 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이륜차의 무단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</t>
    </r>
  </si>
  <si>
    <r>
      <rPr>
        <sz val="8"/>
        <color rgb="FF2B2B2B"/>
        <rFont val="DejaVu Sans"/>
        <family val="2"/>
      </rPr>
      <t xml:space="preserve">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다음 기준에 따라 감가액을 산정한다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커</t>
    </r>
  </si>
  <si>
    <r>
      <rPr>
        <sz val="8"/>
        <color rgb="FF2B2B2B"/>
        <rFont val="DejaVu Sans"/>
        <family val="2"/>
      </rPr>
      <t xml:space="preserve">에게 양도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보험연령 미달자에게 운행하게 하는 행위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DejaVu Sans"/>
        <family val="2"/>
        <charset val="1"/>
      </rPr>
      <t xml:space="preserve">·</t>
    </r>
  </si>
  <si>
    <r>
      <rPr>
        <sz val="8"/>
        <color rgb="FF2B2B2B"/>
        <rFont val="DejaVu Sans"/>
        <family val="2"/>
      </rPr>
      <t xml:space="preserve">버류 교체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4%, (2) </t>
    </r>
    <r>
      <rPr>
        <sz val="8"/>
        <color rgb="FF2B2B2B"/>
        <rFont val="DejaVu Sans"/>
        <family val="2"/>
      </rPr>
      <t xml:space="preserve">차대 교체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6%, (3) </t>
    </r>
    <r>
      <rPr>
        <sz val="8"/>
        <color rgb="FF2B2B2B"/>
        <rFont val="DejaVu Sans"/>
        <family val="2"/>
      </rPr>
      <t xml:space="preserve">도장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 필요 시</t>
    </r>
  </si>
  <si>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기능의 임의 변경 또는 번호판 훼손</t>
    </r>
    <r>
      <rPr>
        <sz val="8"/>
        <color rgb="FF2B2B2B"/>
        <rFont val="DejaVu Sans"/>
        <family val="2"/>
        <charset val="1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담보 제공 등 회사 소유권 침해 행위</t>
    </r>
    <r>
      <rPr>
        <sz val="8"/>
        <color rgb="FF2B2B2B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</si>
  <si>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1"/>
        <charset val="129"/>
      </rPr>
      <t xml:space="preserve">30~50</t>
    </r>
    <r>
      <rPr>
        <sz val="8"/>
        <color rgb="FF2B2B2B"/>
        <rFont val="DejaVu Sans"/>
        <family val="2"/>
      </rPr>
      <t xml:space="preserve">만원 범위</t>
    </r>
    <r>
      <rPr>
        <sz val="8"/>
        <color rgb="FF2B2B2B"/>
        <rFont val="DejaVu Sans"/>
        <family val="1"/>
        <charset val="129"/>
      </rPr>
      <t xml:space="preserve">. </t>
    </r>
    <r>
      <rPr>
        <sz val="8"/>
        <color rgb="FF2B2B2B"/>
        <rFont val="DejaVu Sans"/>
        <family val="2"/>
      </rPr>
      <t xml:space="preserve">실제 수리비가 본 기준을 초과하는 경우 실비를 기준으로 청구할 수 있다</t>
    </r>
    <r>
      <rPr>
        <sz val="8"/>
        <color rgb="FF2B2B2B"/>
        <rFont val="DejaVu Sans"/>
        <family val="1"/>
        <charset val="129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</si>
  <si>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(5) </t>
    </r>
    <r>
      <rPr>
        <sz val="8"/>
        <color rgb="FF2B2B2B"/>
        <rFont val="DejaVu Sans"/>
        <family val="2"/>
      </rPr>
      <t xml:space="preserve">이륜차 부착 표지 또는 위치정보 수집 장치의 훼손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위치 변경 등 본래의 효용을 해하는 행위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</si>
  <si>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제조사 </t>
    </r>
    <r>
      <rPr>
        <b val="true"/>
        <sz val="9"/>
        <color rgb="FF1F4E89"/>
        <rFont val="DejaVu Sans"/>
        <family val="2"/>
        <charset val="1"/>
      </rPr>
      <t xml:space="preserve">A/S </t>
    </r>
    <r>
      <rPr>
        <b val="true"/>
        <sz val="9"/>
        <color rgb="FF1F4E89"/>
        <rFont val="DejaVu Sans"/>
        <family val="2"/>
      </rPr>
      <t xml:space="preserve">및 차량 하자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</si>
  <si>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자에 대한 면책</t>
    </r>
    <r>
      <rPr>
        <b val="true"/>
        <sz val="9"/>
        <color rgb="FF1F4E89"/>
        <rFont val="DejaVu Sans"/>
        <family val="2"/>
        <charset val="1"/>
      </rPr>
      <t xml:space="preserve">)</t>
    </r>
  </si>
  <si>
    <t xml:space="preserve">① 렌트계약 개시일 당시 신차를 인수받았거나 본 계약 차량이 제조사 보증기간 내에 있는 경우 차</t>
  </si>
  <si>
    <r>
      <rPr>
        <sz val="8"/>
        <color rgb="FF2B2B2B"/>
        <rFont val="DejaVu Sans"/>
        <family val="2"/>
      </rPr>
      <t xml:space="preserve">① 계약 기간 종료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 여부와 무관하게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이륜차 인수일부터 반환일까지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회사를 상대로 인적</t>
    </r>
    <r>
      <rPr>
        <sz val="8"/>
        <color rgb="FF2B2B2B"/>
        <rFont val="DejaVu Sans"/>
        <family val="2"/>
        <charset val="1"/>
      </rPr>
      <t xml:space="preserve">·</t>
    </r>
  </si>
  <si>
    <r>
      <rPr>
        <sz val="8"/>
        <color rgb="FF2B2B2B"/>
        <rFont val="DejaVu Sans"/>
        <family val="2"/>
      </rPr>
      <t xml:space="preserve">량 하자 발생 시 제조사의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정책에 따르며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처리 과정에서 발생하는 비용 및 손해는 회사가 책임</t>
    </r>
  </si>
  <si>
    <r>
      <rPr>
        <sz val="8"/>
        <color rgb="FF2B2B2B"/>
        <rFont val="DejaVu Sans"/>
        <family val="2"/>
      </rPr>
      <t xml:space="preserve">물적 손해배상을 청구하는 경우 계약자는 자신의 비용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면책시킨다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</si>
  <si>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지지 아니하고 이로 인하여 계약자의 렌트료 지급의무에는 영향을 미치지 않는다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</si>
  <si>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② 회사가 소유자라는 이유로 직접 손해배상한 경우 계약자는 회사가 지급한 금액과 관련 제비용을 즉</t>
  </si>
  <si>
    <r>
      <rPr>
        <sz val="8"/>
        <color rgb="FF2B2B2B"/>
        <rFont val="DejaVu Sans"/>
        <family val="2"/>
      </rPr>
      <t xml:space="preserve">② 계약자는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처리를 사유로 차량의 교체 또는 반납을 요구할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</si>
  <si>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시 상환한다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</si>
  <si>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</si>
  <si>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출고 주문 취소 위약금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</si>
  <si>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계약자의 단순 변심으로 출고 당일 계약을 취소하는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차량 회수에 소요된 일체의 비용 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</si>
  <si>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계약자에 의한 중도 해지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</si>
  <si>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및 위약금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만원을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</si>
  <si>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 통보한다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</si>
  <si>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위약금을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</si>
  <si>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과태료</t>
    </r>
    <r>
      <rPr>
        <b val="true"/>
        <sz val="9"/>
        <color rgb="FF1F4E89"/>
        <rFont val="DejaVu Sans"/>
        <family val="2"/>
        <charset val="1"/>
      </rPr>
      <t xml:space="preserve">·</t>
    </r>
    <r>
      <rPr>
        <b val="true"/>
        <sz val="9"/>
        <color rgb="FF1F4E89"/>
        <rFont val="DejaVu Sans"/>
        <family val="2"/>
      </rPr>
      <t xml:space="preserve">범칙금</t>
    </r>
    <r>
      <rPr>
        <b val="true"/>
        <sz val="9"/>
        <color rgb="FF1F4E89"/>
        <rFont val="DejaVu Sans"/>
        <family val="2"/>
        <charset val="1"/>
      </rPr>
      <t xml:space="preserve">·</t>
    </r>
    <r>
      <rPr>
        <b val="true"/>
        <sz val="9"/>
        <color rgb="FF1F4E89"/>
        <rFont val="DejaVu Sans"/>
        <family val="2"/>
      </rPr>
      <t xml:space="preserve">제세공과금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</si>
  <si>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</t>
    </r>
  </si>
  <si>
    <r>
      <rPr>
        <sz val="8"/>
        <color rgb="FF2B2B2B"/>
        <rFont val="DejaVu Sans"/>
        <family val="2"/>
      </rPr>
      <t xml:space="preserve">① 계약자가 본 계약 차량의 운행과 관련하여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등을 부과받은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그 사실을 계</t>
    </r>
  </si>
  <si>
    <r>
      <rPr>
        <sz val="8"/>
        <color rgb="FF2B2B2B"/>
        <rFont val="DejaVu Sans"/>
        <family val="2"/>
      </rPr>
      <t xml:space="preserve">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</si>
  <si>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약자에게 안내하며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</si>
  <si>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계약만기일까지 미납된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해당 금액을 보증금에서 공제한 후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</si>
  <si>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해지 사유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</si>
  <si>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잔액을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미납금이 보증금을 초과하는 경우 계약자는 그 차액을 추가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</si>
  <si>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다음 각 호에 해당하는 경우 계약자는 사전 통지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최고 없이 기한이익을 상실하며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회사는 본 계약을</t>
    </r>
  </si>
  <si>
    <r>
      <rPr>
        <sz val="8"/>
        <color rgb="FF2B2B2B"/>
        <rFont val="DejaVu Sans"/>
        <family val="2"/>
      </rPr>
      <t xml:space="preserve">③ 플랫폼 일차감 프로그램을 이용하는 계약자는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등의 일회성 차감에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</si>
  <si>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해지하고 차량 인도를 청구할 수 있다</t>
    </r>
    <r>
      <rPr>
        <sz val="8"/>
        <rFont val="DejaVu Sans"/>
        <family val="2"/>
        <charset val="1"/>
      </rPr>
      <t xml:space="preserve">: (1) </t>
    </r>
    <r>
      <rPr>
        <sz val="8"/>
        <rFont val="DejaVu Sans"/>
        <family val="2"/>
      </rPr>
      <t xml:space="preserve">이륜차 무단 양도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전대 또는 보험 인정 사용자 이외의 자</t>
    </r>
  </si>
  <si>
    <r>
      <rPr>
        <sz val="8"/>
        <color rgb="FF2B2B2B"/>
        <rFont val="DejaVu Sans"/>
        <family val="2"/>
      </rPr>
      <t xml:space="preserve">④ 계약만료 후 이륜차의 명의이전에 따른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 등 제세공과금은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</si>
  <si>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에게 사용</t>
    </r>
    <r>
      <rPr>
        <sz val="8"/>
        <rFont val="DejaVu Sans"/>
        <family val="2"/>
        <charset val="1"/>
      </rPr>
      <t xml:space="preserve">, (2) </t>
    </r>
    <r>
      <rPr>
        <sz val="8"/>
        <rFont val="DejaVu Sans"/>
        <family val="2"/>
      </rPr>
      <t xml:space="preserve">보험연령 미달자 운전 사실 발견</t>
    </r>
    <r>
      <rPr>
        <sz val="8"/>
        <rFont val="DejaVu Sans"/>
        <family val="2"/>
        <charset val="1"/>
      </rPr>
      <t xml:space="preserve">, (3) </t>
    </r>
    <r>
      <rPr>
        <sz val="8"/>
        <rFont val="DejaVu Sans"/>
        <family val="2"/>
      </rPr>
      <t xml:space="preserve">정해진 입금일에 렌트료 미납 및 </t>
    </r>
    <r>
      <rPr>
        <sz val="8"/>
        <rFont val="DejaVu Sans"/>
        <family val="2"/>
        <charset val="1"/>
      </rPr>
      <t xml:space="preserve">7</t>
    </r>
    <r>
      <rPr>
        <sz val="8"/>
        <rFont val="DejaVu Sans"/>
        <family val="2"/>
      </rPr>
      <t xml:space="preserve">일 이상 지체</t>
    </r>
    <r>
      <rPr>
        <sz val="8"/>
        <rFont val="DejaVu Sans"/>
        <family val="2"/>
        <charset val="1"/>
      </rPr>
      <t xml:space="preserve">,</t>
    </r>
  </si>
  <si>
    <r>
      <rPr>
        <sz val="8"/>
        <rFont val="DejaVu Sans"/>
        <family val="3"/>
        <charset val="129"/>
      </rPr>
      <t xml:space="preserve">(4) </t>
    </r>
    <r>
      <rPr>
        <sz val="8"/>
        <rFont val="DejaVu Sans"/>
        <family val="2"/>
      </rPr>
      <t xml:space="preserve">통지받은 수리비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과태료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구상금 등을 정당한 사유 없이 </t>
    </r>
    <r>
      <rPr>
        <sz val="8"/>
        <rFont val="DejaVu Sans"/>
        <family val="3"/>
        <charset val="129"/>
      </rPr>
      <t xml:space="preserve">5</t>
    </r>
    <r>
      <rPr>
        <sz val="8"/>
        <rFont val="DejaVu Sans"/>
        <family val="2"/>
      </rPr>
      <t xml:space="preserve">일 이내 미납</t>
    </r>
    <r>
      <rPr>
        <sz val="8"/>
        <rFont val="DejaVu Sans"/>
        <family val="3"/>
        <charset val="129"/>
      </rPr>
      <t xml:space="preserve">, (5) </t>
    </r>
    <r>
      <rPr>
        <sz val="8"/>
        <rFont val="DejaVu Sans"/>
        <family val="2"/>
      </rPr>
      <t xml:space="preserve">무면허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음주운전 등 운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</si>
  <si>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약관의 변경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</si>
  <si>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전자 귀책 배상금 청구 후 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일 이내 미납</t>
    </r>
    <r>
      <rPr>
        <sz val="8"/>
        <rFont val="DejaVu Sans"/>
        <family val="2"/>
        <charset val="1"/>
      </rPr>
      <t xml:space="preserve">, (6) </t>
    </r>
    <r>
      <rPr>
        <sz val="8"/>
        <rFont val="DejaVu Sans"/>
        <family val="2"/>
      </rPr>
      <t xml:space="preserve">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 담보 제공 등 회사 소유권 침해 또는 차량 규격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성</t>
    </r>
  </si>
  <si>
    <r>
      <rPr>
        <sz val="8"/>
        <color rgb="FF2B2B2B"/>
        <rFont val="DejaVu Sans"/>
        <family val="2"/>
      </rPr>
      <t xml:space="preserve">① 회사는 본 약관을 변경할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변경된 약관을 기존 계약에 소급 적용하는 경우 그 내용을 서</t>
    </r>
  </si>
  <si>
    <r>
      <rPr>
        <sz val="8"/>
        <rFont val="DejaVu Sans"/>
        <family val="2"/>
      </rPr>
      <t xml:space="preserve">능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표지의 무단 변경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훼손</t>
    </r>
    <r>
      <rPr>
        <sz val="8"/>
        <rFont val="DejaVu Sans"/>
        <family val="2"/>
        <charset val="1"/>
      </rPr>
      <t xml:space="preserve">, (7) </t>
    </r>
    <r>
      <rPr>
        <sz val="8"/>
        <rFont val="DejaVu Sans"/>
        <family val="2"/>
      </rPr>
      <t xml:space="preserve">위치정보 장치 훼손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은닉</t>
    </r>
    <r>
      <rPr>
        <sz val="8"/>
        <rFont val="DejaVu Sans"/>
        <family val="2"/>
        <charset val="1"/>
      </rPr>
      <t xml:space="preserve">, (8) </t>
    </r>
    <r>
      <rPr>
        <sz val="8"/>
        <rFont val="DejaVu Sans"/>
        <family val="2"/>
      </rPr>
      <t xml:space="preserve">보험사 구상금 통보 후 </t>
    </r>
    <r>
      <rPr>
        <sz val="8"/>
        <rFont val="DejaVu Sans"/>
        <family val="2"/>
        <charset val="1"/>
      </rPr>
      <t xml:space="preserve">7</t>
    </r>
    <r>
      <rPr>
        <sz val="8"/>
        <rFont val="DejaVu Sans"/>
        <family val="2"/>
      </rPr>
      <t xml:space="preserve">일 이내 미변제</t>
    </r>
    <r>
      <rPr>
        <sz val="8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</si>
  <si>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면으로 작성하여 적용 예정일로부터 </t>
    </r>
    <r>
      <rPr>
        <sz val="8"/>
        <color rgb="FF2B2B2B"/>
        <rFont val="DejaVu Sans"/>
        <family val="2"/>
        <charset val="1"/>
      </rPr>
      <t xml:space="preserve">14</t>
    </r>
    <r>
      <rPr>
        <sz val="8"/>
        <color rgb="FF2B2B2B"/>
        <rFont val="DejaVu Sans"/>
        <family val="2"/>
      </rPr>
      <t xml:space="preserve">일 이전까지 계약자에게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</si>
  <si>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3"/>
        <charset val="129"/>
      </rPr>
      <t xml:space="preserve">(9) </t>
    </r>
    <r>
      <rPr>
        <sz val="8"/>
        <rFont val="DejaVu Sans"/>
        <family val="2"/>
      </rPr>
      <t xml:space="preserve">사고 발생 시 고지 의무 위반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</si>
  <si>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계약자가 적용 예정일까지 이의를 제기하지 아니하는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변경된 약관을 승인한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</si>
  <si>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이용약관의 내용에 대해서 설명을 듣고 확인하였습니다</t>
    </r>
    <r>
      <rPr>
        <b val="true"/>
        <sz val="9"/>
        <color rgb="FF1F3864"/>
        <rFont val="DejaVu Sans"/>
        <family val="2"/>
        <charset val="1"/>
      </rPr>
      <t xml:space="preserve">.</t>
    </r>
  </si>
  <si>
    <t xml:space="preserve">구상금 관련 특약 확인서</t>
  </si>
  <si>
    <r>
      <rPr>
        <i val="true"/>
        <sz val="10"/>
        <color rgb="FF6B7280"/>
        <rFont val="DejaVu Sans"/>
        <family val="2"/>
      </rPr>
      <t xml:space="preserve">본 별지는 이륜차 책임렌트 계약에 부속되며 본 계약서 본문과 동일한 효력을 가집니다</t>
    </r>
    <r>
      <rPr>
        <i val="true"/>
        <sz val="10"/>
        <color rgb="FF6B7280"/>
        <rFont val="DejaVu Sans"/>
        <family val="2"/>
        <charset val="1"/>
      </rPr>
      <t xml:space="preserve">.</t>
    </r>
  </si>
  <si>
    <r>
      <rPr>
        <sz val="10"/>
        <color rgb="FF111111"/>
        <rFont val="DejaVu Sans"/>
        <family val="2"/>
      </rPr>
      <t xml:space="preserve">본인은 본 계약과 관련하여 발생할 수 있는 </t>
    </r>
    <r>
      <rPr>
        <sz val="10"/>
        <color rgb="FF111111"/>
        <rFont val="DejaVu Sans"/>
        <family val="2"/>
        <charset val="1"/>
      </rPr>
      <t xml:space="preserve">"</t>
    </r>
    <r>
      <rPr>
        <sz val="10"/>
        <color rgb="FF111111"/>
        <rFont val="DejaVu Sans"/>
        <family val="2"/>
      </rPr>
      <t xml:space="preserve">구상금</t>
    </r>
    <r>
      <rPr>
        <sz val="10"/>
        <color rgb="FF111111"/>
        <rFont val="DejaVu Sans"/>
        <family val="2"/>
        <charset val="1"/>
      </rPr>
      <t xml:space="preserve">"</t>
    </r>
    <r>
      <rPr>
        <sz val="10"/>
        <color rgb="FF111111"/>
        <rFont val="DejaVu Sans"/>
        <family val="2"/>
      </rPr>
      <t xml:space="preserve">의 책임 범위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변제 기한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미변제 시 회사의 조치 사항에 대하여 별도로 충분히 설명듣고 이해하였으며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아래 내용 전부에 동의합니다</t>
    </r>
    <r>
      <rPr>
        <sz val="10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</si>
  <si>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1</t>
    </r>
    <r>
      <rPr>
        <b val="true"/>
        <sz val="12"/>
        <color rgb="FF0F172A"/>
        <rFont val="DejaVu Sans"/>
        <family val="2"/>
      </rPr>
      <t xml:space="preserve">조  구상금의 정의</t>
    </r>
  </si>
  <si>
    <r>
      <rPr>
        <sz val="9"/>
        <color rgb="FF111111"/>
        <rFont val="맑은 고딕"/>
        <family val="3"/>
        <charset val="129"/>
      </rPr>
      <t xml:space="preserve">"</t>
    </r>
    <r>
      <rPr>
        <sz val="9"/>
        <color rgb="FF111111"/>
        <rFont val="DejaVu Sans"/>
        <family val="2"/>
      </rPr>
      <t xml:space="preserve">구상금</t>
    </r>
    <r>
      <rPr>
        <sz val="9"/>
        <color rgb="FF111111"/>
        <rFont val="맑은 고딕"/>
        <family val="3"/>
        <charset val="129"/>
      </rPr>
      <t xml:space="preserve">"</t>
    </r>
    <r>
      <rPr>
        <sz val="9"/>
        <color rgb="FF111111"/>
        <rFont val="DejaVu Sans"/>
        <family val="2"/>
      </rPr>
      <t xml:space="preserve">이란 본 계약 차량의 운행 중 발생한 사고로 보험사 또는 제</t>
    </r>
    <r>
      <rPr>
        <sz val="9"/>
        <color rgb="FF111111"/>
        <rFont val="맑은 고딕"/>
        <family val="3"/>
        <charset val="129"/>
      </rPr>
      <t xml:space="preserve">3</t>
    </r>
    <r>
      <rPr>
        <sz val="9"/>
        <color rgb="FF111111"/>
        <rFont val="DejaVu Sans"/>
        <family val="2"/>
      </rPr>
      <t xml:space="preserve">자가 회사에 청구하는 금액 일체를 말하며</t>
    </r>
    <r>
      <rPr>
        <sz val="9"/>
        <color rgb="FF111111"/>
        <rFont val="맑은 고딕"/>
        <family val="3"/>
        <charset val="129"/>
      </rPr>
      <t xml:space="preserve">, </t>
    </r>
    <r>
      <rPr>
        <sz val="9"/>
        <color rgb="FF111111"/>
        <rFont val="DejaVu Sans"/>
        <family val="2"/>
      </rPr>
      <t xml:space="preserve">원금</t>
    </r>
    <r>
      <rPr>
        <sz val="9"/>
        <color rgb="FF111111"/>
        <rFont val="맑은 고딕"/>
        <family val="3"/>
        <charset val="129"/>
      </rPr>
      <t xml:space="preserve">·</t>
    </r>
    <r>
      <rPr>
        <sz val="9"/>
        <color rgb="FF111111"/>
        <rFont val="DejaVu Sans"/>
        <family val="2"/>
      </rPr>
      <t xml:space="preserve">지연이자</t>
    </r>
    <r>
      <rPr>
        <sz val="9"/>
        <color rgb="FF111111"/>
        <rFont val="맑은 고딕"/>
        <family val="3"/>
        <charset val="129"/>
      </rPr>
      <t xml:space="preserve">·</t>
    </r>
    <r>
      <rPr>
        <sz val="9"/>
        <color rgb="FF111111"/>
        <rFont val="DejaVu Sans"/>
        <family val="2"/>
      </rPr>
      <t xml:space="preserve">소송비용</t>
    </r>
    <r>
      <rPr>
        <sz val="9"/>
        <color rgb="FF111111"/>
        <rFont val="맑은 고딕"/>
        <family val="3"/>
        <charset val="129"/>
      </rPr>
      <t xml:space="preserve">·</t>
    </r>
    <r>
      <rPr>
        <sz val="9"/>
        <color rgb="FF111111"/>
        <rFont val="DejaVu Sans"/>
        <family val="2"/>
      </rPr>
      <t xml:space="preserve">변호사비 등 회사가 그와 관련하여 지출한 모든 비용을 포함한다</t>
    </r>
    <r>
      <rPr>
        <sz val="9"/>
        <color rgb="FF111111"/>
        <rFont val="맑은 고딕"/>
        <family val="3"/>
        <charset val="129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</si>
  <si>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2</t>
    </r>
    <r>
      <rPr>
        <b val="true"/>
        <sz val="12"/>
        <color rgb="FF0F172A"/>
        <rFont val="DejaVu Sans"/>
        <family val="2"/>
      </rPr>
      <t xml:space="preserve">조  구상금이 발생하는 주요 사유</t>
    </r>
  </si>
  <si>
    <r>
      <rPr>
        <sz val="9"/>
        <color rgb="FF111111"/>
        <rFont val="DejaVu Sans"/>
        <family val="2"/>
      </rPr>
      <t xml:space="preserve">다음 각 호에 해당하는 사고로 회사가 구상금을 청구받는 경우 그 책임은 전적으로 계약자에게 있다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</si>
  <si>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①</t>
  </si>
  <si>
    <r>
      <rPr>
        <sz val="9"/>
        <color rgb="FF111111"/>
        <rFont val="DejaVu Sans"/>
        <family val="2"/>
      </rPr>
      <t xml:space="preserve">회사는 차량 소유자이나 자동차손해배상보장법상 운행자가 아니다</t>
    </r>
    <r>
      <rPr>
        <sz val="9"/>
        <color rgb="FF111111"/>
        <rFont val="DejaVu Sans"/>
        <family val="2"/>
        <charset val="1"/>
      </rPr>
      <t xml:space="preserve">. </t>
    </r>
    <r>
      <rPr>
        <sz val="9"/>
        <color rgb="FF111111"/>
        <rFont val="DejaVu Sans"/>
        <family val="2"/>
      </rPr>
      <t xml:space="preserve">운행자성은 전적으로 계약자에게 있으며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보험사가 회사에 청구하는 구상금은 계약자가 전액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</si>
  <si>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②</t>
  </si>
  <si>
    <t xml:space="preserve">사고 미고지 위반</t>
  </si>
  <si>
    <r>
      <rPr>
        <sz val="9"/>
        <color rgb="FF111111"/>
        <rFont val="DejaVu Sans"/>
        <family val="2"/>
      </rPr>
      <t xml:space="preserve">사고 발생 시 즉시 회사에 고지하지 아니하거나 지연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허위 고지로 발생하는 미보장 손해와 회사에 청구되는 구상금 일체를 계약자가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</si>
  <si>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③</t>
  </si>
  <si>
    <r>
      <rPr>
        <sz val="9"/>
        <color rgb="FF111111"/>
        <rFont val="DejaVu Sans"/>
        <family val="2"/>
      </rPr>
      <t xml:space="preserve">보험연령 미달자가 본 차량을 운행하여 발생한 사고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손해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구상금은 회사의 신원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연령 확인 여부와 관계없이 계약자가 책임진다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</si>
  <si>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④</t>
  </si>
  <si>
    <r>
      <rPr>
        <b val="true"/>
        <sz val="9"/>
        <color rgb="FF991B1B"/>
        <rFont val="맑은 고딕"/>
        <family val="3"/>
        <charset val="129"/>
      </rPr>
      <t xml:space="preserve">12</t>
    </r>
    <r>
      <rPr>
        <b val="true"/>
        <sz val="9"/>
        <color rgb="FF991B1B"/>
        <rFont val="DejaVu Sans"/>
        <family val="2"/>
      </rPr>
      <t xml:space="preserve">대 중과실</t>
    </r>
    <r>
      <rPr>
        <b val="true"/>
        <sz val="9"/>
        <color rgb="FF991B1B"/>
        <rFont val="맑은 고딕"/>
        <family val="3"/>
        <charset val="129"/>
      </rPr>
      <t xml:space="preserve">·</t>
    </r>
    <r>
      <rPr>
        <b val="true"/>
        <sz val="9"/>
        <color rgb="FF991B1B"/>
        <rFont val="DejaVu Sans"/>
        <family val="2"/>
      </rPr>
      <t xml:space="preserve">면책사고</t>
    </r>
  </si>
  <si>
    <r>
      <rPr>
        <sz val="9"/>
        <color rgb="FF111111"/>
        <rFont val="DejaVu Sans"/>
        <family val="2"/>
      </rPr>
      <t xml:space="preserve">신호위반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중앙선침범 등 </t>
    </r>
    <r>
      <rPr>
        <sz val="9"/>
        <color rgb="FF111111"/>
        <rFont val="DejaVu Sans"/>
        <family val="2"/>
        <charset val="1"/>
      </rPr>
      <t xml:space="preserve">12</t>
    </r>
    <r>
      <rPr>
        <sz val="9"/>
        <color rgb="FF111111"/>
        <rFont val="DejaVu Sans"/>
        <family val="2"/>
      </rPr>
      <t xml:space="preserve">대 중과실 또는 보험약관상 면책사항에 해당하는 사고로 발생한 구상금은 계약자가 전액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</si>
  <si>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⑤</t>
  </si>
  <si>
    <r>
      <rPr>
        <b val="true"/>
        <sz val="9"/>
        <color rgb="FF991B1B"/>
        <rFont val="DejaVu Sans"/>
        <family val="2"/>
      </rPr>
      <t xml:space="preserve">무면허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음주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약물 운전</t>
    </r>
  </si>
  <si>
    <r>
      <rPr>
        <sz val="9"/>
        <color rgb="FF111111"/>
        <rFont val="DejaVu Sans"/>
        <family val="2"/>
      </rPr>
      <t xml:space="preserve">무면허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음주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약물 영향 하의 운전 및 운전자 자격 미충족자의 운행으로 발생한 사고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구상금은 계약자가 전적으로 책임진다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</si>
  <si>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⑥</t>
  </si>
  <si>
    <t xml:space="preserve">보험 보장 한도 초과</t>
  </si>
  <si>
    <r>
      <rPr>
        <sz val="9"/>
        <color rgb="FF111111"/>
        <rFont val="DejaVu Sans"/>
        <family val="2"/>
      </rPr>
      <t xml:space="preserve">대물배상 한도 초과분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대인배상Ⅱ 한도 초과분 등 보험사 보장 한도를 초과하는 손해는 계약자가 전액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</si>
  <si>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⑦</t>
  </si>
  <si>
    <t xml:space="preserve">기타 보험약관상 면책사유</t>
  </si>
  <si>
    <r>
      <rPr>
        <sz val="9"/>
        <color rgb="FF111111"/>
        <rFont val="DejaVu Sans"/>
        <family val="2"/>
      </rPr>
      <t xml:space="preserve">운전자 범위 위반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사고 후 도주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고의 사고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유상운송 부적합 보험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차량 무단 양도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전대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무보험 운행 등 보험약관상 면책사유에 해당하는 일체의 손해를 계약자가 전적으로 책임진다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</si>
  <si>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3</t>
    </r>
    <r>
      <rPr>
        <b val="true"/>
        <sz val="12"/>
        <color rgb="FF0F172A"/>
        <rFont val="DejaVu Sans"/>
        <family val="2"/>
      </rPr>
      <t xml:space="preserve">조  구상금의 변제 기한</t>
    </r>
  </si>
  <si>
    <r>
      <rPr>
        <sz val="9"/>
        <color rgb="FF111111"/>
        <rFont val="DejaVu Sans"/>
        <family val="2"/>
      </rPr>
      <t xml:space="preserve">회사가 보험사 또는 제</t>
    </r>
    <r>
      <rPr>
        <sz val="9"/>
        <color rgb="FF111111"/>
        <rFont val="DejaVu Sans"/>
        <family val="2"/>
        <charset val="1"/>
      </rPr>
      <t xml:space="preserve">3</t>
    </r>
    <r>
      <rPr>
        <sz val="9"/>
        <color rgb="FF111111"/>
        <rFont val="DejaVu Sans"/>
        <family val="2"/>
      </rPr>
      <t xml:space="preserve">자로부터 구상금을 청구받았다는 사실을 계약자에게 통보한 날로부터 </t>
    </r>
    <r>
      <rPr>
        <sz val="9"/>
        <color rgb="FF111111"/>
        <rFont val="DejaVu Sans"/>
        <family val="2"/>
        <charset val="1"/>
      </rPr>
      <t xml:space="preserve">7</t>
    </r>
    <r>
      <rPr>
        <sz val="9"/>
        <color rgb="FF111111"/>
        <rFont val="DejaVu Sans"/>
        <family val="2"/>
      </rPr>
      <t xml:space="preserve">일 이내에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계약자는 구상금 전액 및 회사가 지출한 변호사비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소송비 일체를 회사에 변제하여야 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</si>
  <si>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4</t>
    </r>
    <r>
      <rPr>
        <b val="true"/>
        <sz val="12"/>
        <color rgb="FF0F172A"/>
        <rFont val="DejaVu Sans"/>
        <family val="2"/>
      </rPr>
      <t xml:space="preserve">조  미변제 시 즉시 처리</t>
    </r>
  </si>
  <si>
    <r>
      <rPr>
        <sz val="9"/>
        <color rgb="FF111111"/>
        <rFont val="DejaVu Sans"/>
        <family val="2"/>
      </rPr>
      <t xml:space="preserve">제</t>
    </r>
    <r>
      <rPr>
        <sz val="9"/>
        <color rgb="FF111111"/>
        <rFont val="DejaVu Sans"/>
        <family val="2"/>
        <charset val="1"/>
      </rPr>
      <t xml:space="preserve">3</t>
    </r>
    <r>
      <rPr>
        <sz val="9"/>
        <color rgb="FF111111"/>
        <rFont val="DejaVu Sans"/>
        <family val="2"/>
      </rPr>
      <t xml:space="preserve">조의 변제 기한 내에 계약자가 구상금을 변제하지 아니하는 경우 본 계약은 사전 통지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최고 없이 자동 해지되며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회사는 다음 각 호의 조치를 동시에 또는 순차적으로 취할 수 있다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</si>
  <si>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차량 즉시 회수</t>
  </si>
  <si>
    <r>
      <rPr>
        <sz val="9"/>
        <color rgb="FF111111"/>
        <rFont val="DejaVu Sans"/>
        <family val="2"/>
      </rPr>
      <t xml:space="preserve">회수에 소요된 일체의 비용</t>
    </r>
    <r>
      <rPr>
        <sz val="9"/>
        <color rgb="FF111111"/>
        <rFont val="DejaVu Sans"/>
        <family val="2"/>
        <charset val="1"/>
      </rPr>
      <t xml:space="preserve">(</t>
    </r>
    <r>
      <rPr>
        <sz val="9"/>
        <color rgb="FF111111"/>
        <rFont val="DejaVu Sans"/>
        <family val="2"/>
      </rPr>
      <t xml:space="preserve">출장비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운송비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원상복구비 포함</t>
    </r>
    <r>
      <rPr>
        <sz val="9"/>
        <color rgb="FF111111"/>
        <rFont val="DejaVu Sans"/>
        <family val="2"/>
        <charset val="1"/>
      </rPr>
      <t xml:space="preserve">)</t>
    </r>
    <r>
      <rPr>
        <sz val="9"/>
        <color rgb="FF111111"/>
        <rFont val="DejaVu Sans"/>
        <family val="2"/>
      </rPr>
      <t xml:space="preserve">은 계약자가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</si>
  <si>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보증금 전액 미반환</t>
  </si>
  <si>
    <r>
      <rPr>
        <sz val="9"/>
        <color rgb="FF111111"/>
        <rFont val="DejaVu Sans"/>
        <family val="2"/>
      </rPr>
      <t xml:space="preserve">어떠한 사유로도 보증금은 반환되지 아니한다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</si>
  <si>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위약금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손해배상금 청구</t>
    </r>
  </si>
  <si>
    <r>
      <rPr>
        <sz val="9"/>
        <color rgb="FF111111"/>
        <rFont val="DejaVu Sans"/>
        <family val="2"/>
      </rPr>
      <t xml:space="preserve">위약금 </t>
    </r>
    <r>
      <rPr>
        <sz val="9"/>
        <color rgb="FF111111"/>
        <rFont val="DejaVu Sans"/>
        <family val="2"/>
        <charset val="1"/>
      </rPr>
      <t xml:space="preserve">= </t>
    </r>
    <r>
      <rPr>
        <sz val="9"/>
        <color rgb="FF111111"/>
        <rFont val="DejaVu Sans"/>
        <family val="2"/>
      </rPr>
      <t xml:space="preserve">보증금 </t>
    </r>
    <r>
      <rPr>
        <sz val="9"/>
        <color rgb="FF111111"/>
        <rFont val="DejaVu Sans"/>
        <family val="2"/>
        <charset val="1"/>
      </rPr>
      <t xml:space="preserve">+ (</t>
    </r>
    <r>
      <rPr>
        <sz val="9"/>
        <color rgb="FF111111"/>
        <rFont val="DejaVu Sans"/>
        <family val="2"/>
      </rPr>
      <t xml:space="preserve">잔여기간 총 렌트료 </t>
    </r>
    <r>
      <rPr>
        <sz val="9"/>
        <color rgb="FF111111"/>
        <rFont val="DejaVu Sans"/>
        <family val="2"/>
        <charset val="1"/>
      </rPr>
      <t xml:space="preserve">× 20%) </t>
    </r>
    <r>
      <rPr>
        <sz val="9"/>
        <color rgb="FF111111"/>
        <rFont val="DejaVu Sans"/>
        <family val="2"/>
      </rPr>
      <t xml:space="preserve">산식에 따라 부과하며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손해배상금도 별도 청구한다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</si>
  <si>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연 </t>
    </r>
    <r>
      <rPr>
        <b val="true"/>
        <sz val="9"/>
        <color rgb="FF991B1B"/>
        <rFont val="DejaVu Sans"/>
        <family val="2"/>
        <charset val="1"/>
      </rPr>
      <t xml:space="preserve">15% </t>
    </r>
    <r>
      <rPr>
        <b val="true"/>
        <sz val="9"/>
        <color rgb="FF991B1B"/>
        <rFont val="DejaVu Sans"/>
        <family val="2"/>
      </rPr>
      <t xml:space="preserve">지연손해금</t>
    </r>
  </si>
  <si>
    <r>
      <rPr>
        <sz val="9"/>
        <color rgb="FF111111"/>
        <rFont val="DejaVu Sans"/>
        <family val="2"/>
      </rPr>
      <t xml:space="preserve">미변제 금액에 대하여 연 </t>
    </r>
    <r>
      <rPr>
        <sz val="9"/>
        <color rgb="FF111111"/>
        <rFont val="DejaVu Sans"/>
        <family val="2"/>
        <charset val="1"/>
      </rPr>
      <t xml:space="preserve">15%</t>
    </r>
    <r>
      <rPr>
        <sz val="9"/>
        <color rgb="FF111111"/>
        <rFont val="DejaVu Sans"/>
        <family val="2"/>
      </rPr>
      <t xml:space="preserve">의 지연손해금을 변제일까지 가산한다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</si>
  <si>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신용정보 등록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채권추심</t>
    </r>
  </si>
  <si>
    <r>
      <rPr>
        <sz val="9"/>
        <color rgb="FF111111"/>
        <rFont val="DejaVu Sans"/>
        <family val="2"/>
      </rPr>
      <t xml:space="preserve">별도 동의 없이 신용정보집중기관에 채무불이행 사실을 등록하거나 채권추심을 의뢰할 수 있다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</si>
  <si>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민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형사상 법적 조치</t>
    </r>
  </si>
  <si>
    <r>
      <rPr>
        <sz val="9"/>
        <color rgb="FF111111"/>
        <rFont val="DejaVu Sans"/>
        <family val="2"/>
      </rPr>
      <t xml:space="preserve">계약자에 대하여 민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형사상 모든 법적 조치를 취할 수 있다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</si>
  <si>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sz val="9"/>
        <color rgb="FF111111"/>
        <rFont val="DejaVu Sans"/>
        <family val="2"/>
      </rPr>
      <t xml:space="preserve">본인은 위 특약 내용</t>
    </r>
    <r>
      <rPr>
        <sz val="9"/>
        <color rgb="FF111111"/>
        <rFont val="DejaVu Sans"/>
        <family val="2"/>
        <charset val="1"/>
      </rPr>
      <t xml:space="preserve">(</t>
    </r>
    <r>
      <rPr>
        <sz val="9"/>
        <color rgb="FF111111"/>
        <rFont val="DejaVu Sans"/>
        <family val="2"/>
      </rPr>
      <t xml:space="preserve">제</t>
    </r>
    <r>
      <rPr>
        <sz val="9"/>
        <color rgb="FF111111"/>
        <rFont val="DejaVu Sans"/>
        <family val="2"/>
        <charset val="1"/>
      </rPr>
      <t xml:space="preserve">1</t>
    </r>
    <r>
      <rPr>
        <sz val="9"/>
        <color rgb="FF111111"/>
        <rFont val="DejaVu Sans"/>
        <family val="2"/>
      </rPr>
      <t xml:space="preserve">조 </t>
    </r>
    <r>
      <rPr>
        <sz val="9"/>
        <color rgb="FF111111"/>
        <rFont val="DejaVu Sans"/>
        <family val="2"/>
        <charset val="1"/>
      </rPr>
      <t xml:space="preserve">~ </t>
    </r>
    <r>
      <rPr>
        <sz val="9"/>
        <color rgb="FF111111"/>
        <rFont val="DejaVu Sans"/>
        <family val="2"/>
      </rPr>
      <t xml:space="preserve">제</t>
    </r>
    <r>
      <rPr>
        <sz val="9"/>
        <color rgb="FF111111"/>
        <rFont val="DejaVu Sans"/>
        <family val="2"/>
        <charset val="1"/>
      </rPr>
      <t xml:space="preserve">4</t>
    </r>
    <r>
      <rPr>
        <sz val="9"/>
        <color rgb="FF111111"/>
        <rFont val="DejaVu Sans"/>
        <family val="2"/>
      </rPr>
      <t xml:space="preserve">조</t>
    </r>
    <r>
      <rPr>
        <sz val="9"/>
        <color rgb="FF111111"/>
        <rFont val="DejaVu Sans"/>
        <family val="2"/>
        <charset val="1"/>
      </rPr>
      <t xml:space="preserve">) </t>
    </r>
    <r>
      <rPr>
        <sz val="9"/>
        <color rgb="FF111111"/>
        <rFont val="DejaVu Sans"/>
        <family val="2"/>
      </rPr>
      <t xml:space="preserve">전부를 충분히 설명듣고 이해하였으며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본 특약에 동의함을 확인합니다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</si>
  <si>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11"/>
        <color rgb="FF111111"/>
        <rFont val="맑은 고딕"/>
        <family val="3"/>
        <charset val="129"/>
      </rPr>
      <t xml:space="preserve">(</t>
    </r>
    <r>
      <rPr>
        <b val="true"/>
        <sz val="11"/>
        <color rgb="FF111111"/>
        <rFont val="DejaVu Sans"/>
        <family val="2"/>
      </rPr>
      <t xml:space="preserve">인</t>
    </r>
    <r>
      <rPr>
        <b val="true"/>
        <sz val="11"/>
        <color rgb="FF111111"/>
        <rFont val="맑은 고딕"/>
        <family val="3"/>
        <charset val="129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</si>
</sst>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#,###\원"/>
    <numFmt numFmtId="166" formatCode="m/d/yyyy"/>
  </numFmts>
  <fonts count="6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3864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b val="true"/>
      <sz val="9"/>
      <color rgb="FFC00000"/>
      <name val="DejaVu Sans"/>
      <family val="2"/>
    </font>
    <font>
      <b val="true"/>
      <sz val="10"/>
      <color rgb="FFC00000"/>
      <name val="DejaVu Sans"/>
      <family val="2"/>
    </font>
    <font>
      <b val="true"/>
      <sz val="8"/>
      <color rgb="FFC00000"/>
      <name val="DejaVu Sans"/>
      <family val="2"/>
    </font>
    <font>
      <b val="true"/>
      <sz val="8"/>
      <color rgb="FFC00000"/>
      <name val="DejaVu Sans"/>
      <family val="2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b val="true"/>
      <sz val="9"/>
      <color rgb="FFC00000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 val="true"/>
      <sz val="9"/>
      <color rgb="FF1F3864"/>
      <name val="맑은 고딕"/>
      <family val="3"/>
      <charset val="129"/>
    </font>
    <font>
      <b val="true"/>
      <sz val="14"/>
      <color rgb="FFFFFFFF"/>
      <name val="DejaVu Sans"/>
      <family val="2"/>
    </font>
    <font>
      <b val="true"/>
      <sz val="9"/>
      <color rgb="FF1F4E89"/>
      <name val="DejaVu Sans"/>
      <family val="2"/>
    </font>
    <font>
      <b val="true"/>
      <sz val="9"/>
      <color rgb="FF1F4E89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1"/>
      <charset val="1"/>
    </font>
    <font>
      <sz val="8"/>
      <name val="DejaVu Sans"/>
      <family val="2"/>
    </font>
    <font>
      <sz val="8"/>
      <name val="DejaVu Sans"/>
      <family val="2"/>
      <charset val="1"/>
    </font>
    <font>
      <sz val="8"/>
      <name val="DejaVu Sans"/>
      <family val="3"/>
      <charset val="129"/>
    </font>
    <font>
      <sz val="8"/>
      <color rgb="FF2B2B2B"/>
      <name val="DejaVu Sans"/>
      <family val="1"/>
      <charset val="129"/>
    </font>
    <font>
      <sz val="8"/>
      <name val="맑은 고딕"/>
      <family val="3"/>
      <charset val="129"/>
    </font>
    <font>
      <b val="true"/>
      <sz val="10"/>
      <color rgb="FF1F3864"/>
      <name val="DejaVu Sans"/>
      <family val="2"/>
      <charset val="1"/>
    </font>
    <font>
      <b val="true"/>
      <sz val="10"/>
      <name val="DejaVu Sans"/>
      <family val="2"/>
    </font>
    <font>
      <sz val="10"/>
      <name val="DejaVu Sans"/>
      <family val="2"/>
      <charset val="1"/>
    </font>
    <font>
      <sz val="10"/>
      <color theme="1"/>
      <name val="Calibri"/>
      <family val="2"/>
      <charset val="1"/>
    </font>
    <font>
      <b val="true"/>
      <sz val="20"/>
      <color rgb="FF0F172A"/>
      <name val="DejaVu Sans"/>
      <family val="2"/>
    </font>
    <font>
      <i val="true"/>
      <sz val="10"/>
      <color rgb="FF6B7280"/>
      <name val="DejaVu Sans"/>
      <family val="2"/>
    </font>
    <font>
      <i val="true"/>
      <sz val="10"/>
      <color rgb="FF6B7280"/>
      <name val="DejaVu Sans"/>
      <family val="2"/>
      <charset val="1"/>
    </font>
    <font>
      <sz val="10"/>
      <color rgb="FF111111"/>
      <name val="DejaVu Sans"/>
      <family val="2"/>
    </font>
    <font>
      <sz val="10"/>
      <color rgb="FF111111"/>
      <name val="DejaVu Sans"/>
      <family val="2"/>
      <charset val="1"/>
    </font>
    <font>
      <b val="true"/>
      <sz val="12"/>
      <color rgb="FF0F172A"/>
      <name val="DejaVu Sans"/>
      <family val="2"/>
    </font>
    <font>
      <b val="true"/>
      <sz val="12"/>
      <color rgb="FF0F172A"/>
      <name val="DejaVu Sans"/>
      <family val="2"/>
      <charset val="1"/>
    </font>
    <font>
      <sz val="9"/>
      <color rgb="FF111111"/>
      <name val="맑은 고딕"/>
      <family val="3"/>
      <charset val="129"/>
    </font>
    <font>
      <sz val="9"/>
      <color rgb="FF111111"/>
      <name val="DejaVu Sans"/>
      <family val="2"/>
    </font>
    <font>
      <sz val="9"/>
      <color rgb="FF111111"/>
      <name val="DejaVu Sans"/>
      <family val="2"/>
      <charset val="1"/>
    </font>
    <font>
      <b val="true"/>
      <sz val="9"/>
      <color rgb="FF0F172A"/>
      <name val="맑은 고딕"/>
      <family val="3"/>
      <charset val="129"/>
    </font>
    <font>
      <b val="true"/>
      <sz val="9"/>
      <color rgb="FF991B1B"/>
      <name val="DejaVu Sans"/>
      <family val="2"/>
    </font>
    <font>
      <b val="true"/>
      <sz val="9"/>
      <color rgb="FF991B1B"/>
      <name val="맑은 고딕"/>
      <family val="3"/>
      <charset val="129"/>
    </font>
    <font>
      <b val="true"/>
      <sz val="9"/>
      <color rgb="FF991B1B"/>
      <name val="DejaVu Sans"/>
      <family val="2"/>
      <charset val="1"/>
    </font>
    <font>
      <b val="true"/>
      <sz val="11"/>
      <color rgb="FF111111"/>
      <name val="DejaVu Sans"/>
      <family val="2"/>
    </font>
    <font>
      <b val="true"/>
      <sz val="11"/>
      <color rgb="FF111111"/>
      <name val="DejaVu Sans"/>
      <family val="2"/>
      <charset val="1"/>
    </font>
    <font>
      <b val="true"/>
      <sz val="11"/>
      <color rgb="FF11111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/>
      <right/>
      <top style="medium">
        <color rgb="FF111111"/>
      </top>
      <bottom/>
      <diagonal/>
    </border>
    <border diagonalUp="false" diagonalDown="false">
      <left/>
      <right/>
      <top/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3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3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5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6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6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25" min="1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 t="s">
        <v>17</v>
      </c>
    </row>
    <row r="2" customFormat="false" ht="46.5" hidden="false" customHeight="true" outlineLevel="0" collapsed="false">
      <c r="A2" s="3" t="n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4" t="s">
        <v>23</v>
      </c>
      <c r="H2" s="4" t="s">
        <v>24</v>
      </c>
      <c r="I2" s="3" t="n">
        <v>26400</v>
      </c>
      <c r="J2" s="3" t="n">
        <v>365</v>
      </c>
      <c r="K2" s="3" t="n">
        <v>300000</v>
      </c>
      <c r="L2" s="4" t="s">
        <v>25</v>
      </c>
      <c r="M2" s="3" t="s">
        <v>26</v>
      </c>
      <c r="N2" s="4" t="s">
        <v>27</v>
      </c>
      <c r="O2" s="5" t="s">
        <v>28</v>
      </c>
      <c r="P2" s="4" t="s">
        <v>29</v>
      </c>
      <c r="Q2" s="4" t="s">
        <v>30</v>
      </c>
      <c r="R2" s="4" t="s">
        <v>31</v>
      </c>
      <c r="S2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true" showRowColHeaders="true" showZeros="true" rightToLeft="false" tabSelected="false" showOutlineSymbols="true" defaultGridColor="true" view="pageBreakPreview" topLeftCell="A33" colorId="64" zoomScale="100" zoomScaleNormal="100" zoomScalePageLayoutView="100" workbookViewId="0">
      <selection pane="topLeft" activeCell="J56" activeCellId="0" sqref="J5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.56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6" width="11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.56"/>
    <col collapsed="false" customWidth="true" hidden="false" outlineLevel="0" max="12" min="12" style="1" width="6"/>
  </cols>
  <sheetData>
    <row r="1" customFormat="false" ht="7.5" hidden="false" customHeight="true" outlineLevel="0" collapsed="false">
      <c r="A1" s="7"/>
      <c r="B1" s="7"/>
      <c r="C1" s="7"/>
      <c r="D1" s="7"/>
      <c r="E1" s="8"/>
      <c r="F1" s="7"/>
      <c r="G1" s="7"/>
      <c r="H1" s="7"/>
      <c r="I1" s="7"/>
      <c r="J1" s="7"/>
      <c r="K1" s="7"/>
      <c r="L1" s="9" t="s">
        <v>33</v>
      </c>
    </row>
    <row r="2" customFormat="false" ht="48" hidden="false" customHeight="true" outlineLevel="0" collapsed="false">
      <c r="A2" s="7"/>
      <c r="B2" s="10" t="s">
        <v>34</v>
      </c>
      <c r="C2" s="10"/>
      <c r="D2" s="10"/>
      <c r="E2" s="10"/>
      <c r="F2" s="10"/>
      <c r="G2" s="10"/>
      <c r="H2" s="10"/>
      <c r="I2" s="10"/>
      <c r="J2" s="10"/>
      <c r="K2" s="7"/>
      <c r="L2" s="11" t="n">
        <v>1</v>
      </c>
    </row>
    <row r="3" customFormat="false" ht="24" hidden="false" customHeight="true" outlineLevel="0" collapsed="false">
      <c r="A3" s="7"/>
      <c r="B3" s="12" t="s">
        <v>35</v>
      </c>
      <c r="C3" s="12"/>
      <c r="D3" s="12"/>
      <c r="E3" s="12"/>
      <c r="F3" s="13" t="s">
        <v>0</v>
      </c>
      <c r="G3" s="13"/>
      <c r="H3" s="13"/>
      <c r="I3" s="14" t="str">
        <f aca="false">IFERROR(TEXT($L$2,"0000"),"")</f>
        <v>0001</v>
      </c>
      <c r="J3" s="14"/>
      <c r="K3" s="7"/>
      <c r="L3" s="7"/>
    </row>
    <row r="4" customFormat="false" ht="7.5" hidden="false" customHeight="true" outlineLevel="0" collapsed="false">
      <c r="A4" s="7"/>
      <c r="B4" s="7"/>
      <c r="C4" s="7"/>
      <c r="D4" s="7"/>
      <c r="E4" s="8"/>
      <c r="F4" s="7"/>
      <c r="G4" s="7"/>
      <c r="H4" s="7"/>
      <c r="I4" s="7"/>
      <c r="J4" s="7"/>
      <c r="K4" s="7"/>
      <c r="L4" s="7"/>
    </row>
    <row r="5" customFormat="false" ht="25.5" hidden="false" customHeight="true" outlineLevel="0" collapsed="false">
      <c r="A5" s="7"/>
      <c r="B5" s="15" t="s">
        <v>36</v>
      </c>
      <c r="C5" s="15"/>
      <c r="D5" s="15"/>
      <c r="E5" s="15"/>
      <c r="F5" s="15"/>
      <c r="G5" s="15"/>
      <c r="H5" s="15"/>
      <c r="I5" s="15"/>
      <c r="J5" s="15"/>
      <c r="K5" s="7"/>
      <c r="L5" s="7"/>
    </row>
    <row r="6" customFormat="false" ht="21.75" hidden="false" customHeight="true" outlineLevel="0" collapsed="false">
      <c r="A6" s="7"/>
      <c r="B6" s="16" t="s">
        <v>2</v>
      </c>
      <c r="C6" s="17" t="str">
        <f aca="false">IFERROR(IF(VLOOKUP($L$2,계약리스트!$A$2:$AD$10000,3,0)="","",VLOOKUP($L$2,계약리스트!$A$2:$AD$10000,3,0)),"")</f>
        <v>UHR150</v>
      </c>
      <c r="D6" s="17"/>
      <c r="E6" s="16" t="s">
        <v>4</v>
      </c>
      <c r="F6" s="17" t="str">
        <f aca="false">IFERROR(IF(VLOOKUP($L$2,계약리스트!$A$2:$AD$10000,5,0)="","",VLOOKUP($L$2,계약리스트!$A$2:$AD$10000,5,0)),"")</f>
        <v>1나88370</v>
      </c>
      <c r="G6" s="17"/>
      <c r="H6" s="16" t="s">
        <v>5</v>
      </c>
      <c r="I6" s="17" t="str">
        <f aca="false">IFERROR(IF(VLOOKUP($L$2,계약리스트!$A$2:$AD$10000,6,0)="","",VLOOKUP($L$2,계약리스트!$A$2:$AD$10000,6,0)),"")</f>
        <v>화이트</v>
      </c>
      <c r="J6" s="17"/>
      <c r="K6" s="7"/>
      <c r="L6" s="7"/>
    </row>
    <row r="7" customFormat="false" ht="21.75" hidden="false" customHeight="true" outlineLevel="0" collapsed="false">
      <c r="A7" s="7"/>
      <c r="B7" s="16" t="s">
        <v>3</v>
      </c>
      <c r="C7" s="17" t="str">
        <f aca="false">IFERROR(IF(VLOOKUP($L$2,계약리스트!$A$2:$AD$10000,4,0)="","",VLOOKUP($L$2,계약리스트!$A$2:$AD$10000,4,0)),"")</f>
        <v>LWMTDKH95THJ00467</v>
      </c>
      <c r="D7" s="17"/>
      <c r="E7" s="16" t="s">
        <v>6</v>
      </c>
      <c r="F7" s="17" t="str">
        <f aca="false">IFERROR(IF(VLOOKUP($L$2,계약리스트!$A$2:$AD$10000,7,0)="","",VLOOKUP($L$2,계약리스트!$A$2:$AD$10000,7,0)),"")</f>
        <v>비포함</v>
      </c>
      <c r="G7" s="17"/>
      <c r="H7" s="16" t="s">
        <v>37</v>
      </c>
      <c r="I7" s="17" t="str">
        <f aca="false">IFERROR(IF(VLOOKUP($L$2,계약리스트!$A$2:$AD$10000,2,0)="","",VLOOKUP($L$2,계약리스트!$A$2:$AD$10000,2,0)),"")</f>
        <v>2026-04-24</v>
      </c>
      <c r="J7" s="17"/>
      <c r="K7" s="7"/>
      <c r="L7" s="7"/>
    </row>
    <row r="8" customFormat="false" ht="25.5" hidden="false" customHeight="true" outlineLevel="0" collapsed="false">
      <c r="A8" s="7"/>
      <c r="B8" s="18" t="s">
        <v>7</v>
      </c>
      <c r="C8" s="19" t="str">
        <f aca="false">IFERROR(IF(VLOOKUP($L$2,계약리스트!$A$2:$AD$10000,8,0)="","",VLOOKUP($L$2,계약리스트!$A$2:$AD$10000,8,0)),"")</f>
        <v>만30세</v>
      </c>
      <c r="D8" s="19"/>
      <c r="E8" s="20" t="s">
        <v>38</v>
      </c>
      <c r="F8" s="20"/>
      <c r="G8" s="20"/>
      <c r="H8" s="20"/>
      <c r="I8" s="20"/>
      <c r="J8" s="20"/>
      <c r="K8" s="7"/>
      <c r="L8" s="7"/>
    </row>
    <row r="9" customFormat="false" ht="7.5" hidden="false" customHeight="true" outlineLevel="0" collapsed="false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</row>
    <row r="10" customFormat="false" ht="25.5" hidden="false" customHeight="true" outlineLevel="0" collapsed="false">
      <c r="A10" s="7"/>
      <c r="B10" s="15" t="s">
        <v>39</v>
      </c>
      <c r="C10" s="15"/>
      <c r="D10" s="15"/>
      <c r="E10" s="15"/>
      <c r="F10" s="15"/>
      <c r="G10" s="15"/>
      <c r="H10" s="15"/>
      <c r="I10" s="15"/>
      <c r="J10" s="15"/>
      <c r="K10" s="7"/>
      <c r="L10" s="7"/>
    </row>
    <row r="11" customFormat="false" ht="21.75" hidden="false" customHeight="true" outlineLevel="0" collapsed="false">
      <c r="A11" s="7"/>
      <c r="B11" s="16" t="s">
        <v>40</v>
      </c>
      <c r="C11" s="17" t="str">
        <f aca="false">_xlfn.XLOOKUP(L2,계약리스트!A:A,계약리스트!L:L)</f>
        <v>안종식</v>
      </c>
      <c r="D11" s="17"/>
      <c r="E11" s="16" t="s">
        <v>41</v>
      </c>
      <c r="F11" s="17" t="str">
        <f aca="false">_xlfn.XLOOKUP(L2,계약리스트!A:A,계약리스트!M:M)</f>
        <v>820530-1046518</v>
      </c>
      <c r="G11" s="17"/>
      <c r="H11" s="16" t="s">
        <v>14</v>
      </c>
      <c r="I11" s="17" t="str">
        <f aca="false">_xlfn.XLOOKUP(L2,계약리스트!A:A,계약리스트!O:O)</f>
        <v>010-5813-7336</v>
      </c>
      <c r="J11" s="17"/>
      <c r="K11" s="7"/>
      <c r="L11" s="7"/>
    </row>
    <row r="12" customFormat="false" ht="21.75" hidden="false" customHeight="true" outlineLevel="0" collapsed="false">
      <c r="A12" s="7"/>
      <c r="B12" s="16" t="s">
        <v>13</v>
      </c>
      <c r="C12" s="21" t="str">
        <f aca="false">_xlfn.XLOOKUP(L2,계약리스트!A:A,계약리스트!N:N)</f>
        <v>경기도 오산시 궐동로 77, 1층(궐동)</v>
      </c>
      <c r="D12" s="21"/>
      <c r="E12" s="21"/>
      <c r="F12" s="21"/>
      <c r="G12" s="21"/>
      <c r="H12" s="21"/>
      <c r="I12" s="21"/>
      <c r="J12" s="21"/>
      <c r="K12" s="7"/>
      <c r="L12" s="7"/>
    </row>
    <row r="13" customFormat="false" ht="19.5" hidden="false" customHeight="true" outlineLevel="0" collapsed="false">
      <c r="A13" s="7"/>
      <c r="B13" s="22" t="s">
        <v>42</v>
      </c>
      <c r="C13" s="22"/>
      <c r="D13" s="22"/>
      <c r="E13" s="22"/>
      <c r="F13" s="22"/>
      <c r="G13" s="22"/>
      <c r="H13" s="22"/>
      <c r="I13" s="22"/>
      <c r="J13" s="22"/>
      <c r="K13" s="7"/>
      <c r="L13" s="7"/>
    </row>
    <row r="14" customFormat="false" ht="7.5" hidden="false" customHeight="true" outlineLevel="0" collapsed="false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</row>
    <row r="15" customFormat="false" ht="7.5" hidden="false" customHeight="true" outlineLevel="0" collapsed="false">
      <c r="A15" s="7"/>
      <c r="B15" s="7"/>
      <c r="C15" s="7"/>
      <c r="D15" s="7"/>
      <c r="E15" s="8"/>
      <c r="F15" s="7"/>
      <c r="G15" s="7"/>
      <c r="H15" s="7"/>
      <c r="I15" s="7"/>
      <c r="J15" s="7"/>
      <c r="K15" s="7"/>
      <c r="L15" s="7"/>
    </row>
    <row r="16" customFormat="false" ht="25.5" hidden="false" customHeight="true" outlineLevel="0" collapsed="false">
      <c r="A16" s="7"/>
      <c r="B16" s="23" t="s">
        <v>43</v>
      </c>
      <c r="C16" s="23"/>
      <c r="D16" s="23"/>
      <c r="E16" s="23"/>
      <c r="F16" s="23"/>
      <c r="G16" s="23"/>
      <c r="H16" s="23"/>
      <c r="I16" s="23"/>
      <c r="J16" s="23"/>
      <c r="K16" s="7"/>
      <c r="L16" s="7"/>
    </row>
    <row r="17" customFormat="false" ht="21.75" hidden="false" customHeight="true" outlineLevel="0" collapsed="false">
      <c r="A17" s="7"/>
      <c r="B17" s="16" t="s">
        <v>15</v>
      </c>
      <c r="C17" s="17" t="str">
        <f aca="false">_xlfn.XLOOKUP(L2,계약리스트!A:A,계약리스트!P:P)</f>
        <v>렌트</v>
      </c>
      <c r="D17" s="17"/>
      <c r="E17" s="16" t="s">
        <v>16</v>
      </c>
      <c r="F17" s="17" t="str">
        <f aca="false">_xlfn.XLOOKUP(L2,계약리스트!A:A,계약리스트!Q:Q)</f>
        <v>인수형</v>
      </c>
      <c r="G17" s="17"/>
      <c r="H17" s="16" t="s">
        <v>44</v>
      </c>
      <c r="I17" s="17" t="n">
        <f aca="false">_xlfn.XLOOKUP(L2,계약리스트!A:A,계약리스트!J:J)</f>
        <v>365</v>
      </c>
      <c r="J17" s="17"/>
      <c r="K17" s="7"/>
      <c r="L17" s="7"/>
    </row>
    <row r="18" customFormat="false" ht="21.75" hidden="false" customHeight="true" outlineLevel="0" collapsed="false">
      <c r="A18" s="7"/>
      <c r="B18" s="16" t="s">
        <v>45</v>
      </c>
      <c r="C18" s="24" t="n">
        <f aca="false">_xlfn.XLOOKUP(L2,계약리스트!A:A,계약리스트!I:I)</f>
        <v>26400</v>
      </c>
      <c r="D18" s="24"/>
      <c r="E18" s="16" t="s">
        <v>10</v>
      </c>
      <c r="F18" s="24" t="n">
        <f aca="false">_xlfn.XLOOKUP(L2,계약리스트!A:A,계약리스트!K:K)</f>
        <v>300000</v>
      </c>
      <c r="G18" s="24"/>
      <c r="H18" s="16" t="s">
        <v>17</v>
      </c>
      <c r="I18" s="17" t="str">
        <f aca="false">_xlfn.XLOOKUP(L2,계약리스트!A:A,계약리스트!S:S)</f>
        <v>월2회(15일,말일)</v>
      </c>
      <c r="J18" s="17"/>
      <c r="K18" s="7"/>
      <c r="L18" s="7"/>
    </row>
    <row r="19" customFormat="false" ht="21.75" hidden="false" customHeight="true" outlineLevel="0" collapsed="false">
      <c r="A19" s="7"/>
      <c r="B19" s="16" t="s">
        <v>46</v>
      </c>
      <c r="C19" s="21" t="s">
        <v>31</v>
      </c>
      <c r="D19" s="21"/>
      <c r="E19" s="16" t="s">
        <v>47</v>
      </c>
      <c r="F19" s="25" t="str">
        <f aca="false">TEXT(_xlfn.XLOOKUP(L2,계약리스트!A:A,계약리스트!B:B),"yyyy년 mm월 dd일")</f>
        <v>2026년 04월 24일</v>
      </c>
      <c r="G19" s="25"/>
      <c r="H19" s="25"/>
      <c r="I19" s="25"/>
      <c r="J19" s="25"/>
      <c r="K19" s="7"/>
      <c r="L19" s="7"/>
    </row>
    <row r="20" customFormat="false" ht="21.75" hidden="false" customHeight="true" outlineLevel="0" collapsed="false">
      <c r="A20" s="7"/>
      <c r="B20" s="16" t="s">
        <v>48</v>
      </c>
      <c r="C20" s="21" t="s">
        <v>49</v>
      </c>
      <c r="D20" s="21"/>
      <c r="E20" s="21"/>
      <c r="F20" s="21"/>
      <c r="G20" s="21"/>
      <c r="H20" s="21"/>
      <c r="I20" s="21"/>
      <c r="J20" s="21"/>
      <c r="K20" s="7"/>
      <c r="L20" s="7"/>
    </row>
    <row r="21" customFormat="false" ht="7.5" hidden="false" customHeight="true" outlineLevel="0" collapsed="false">
      <c r="A21" s="7"/>
      <c r="B21" s="7"/>
      <c r="C21" s="7"/>
      <c r="D21" s="7"/>
      <c r="E21" s="8"/>
      <c r="F21" s="7"/>
      <c r="G21" s="7"/>
      <c r="H21" s="7"/>
      <c r="I21" s="7"/>
      <c r="J21" s="7"/>
      <c r="K21" s="7"/>
      <c r="L21" s="7"/>
    </row>
    <row r="22" customFormat="false" ht="25.5" hidden="false" customHeight="true" outlineLevel="0" collapsed="false">
      <c r="A22" s="7"/>
      <c r="B22" s="15" t="s">
        <v>50</v>
      </c>
      <c r="C22" s="15"/>
      <c r="D22" s="15"/>
      <c r="E22" s="15"/>
      <c r="F22" s="15"/>
      <c r="G22" s="15"/>
      <c r="H22" s="15"/>
      <c r="I22" s="15"/>
      <c r="J22" s="15"/>
      <c r="K22" s="7"/>
      <c r="L22" s="7"/>
    </row>
    <row r="23" customFormat="false" ht="21.75" hidden="false" customHeight="true" outlineLevel="0" collapsed="false">
      <c r="A23" s="7"/>
      <c r="B23" s="16" t="s">
        <v>51</v>
      </c>
      <c r="C23" s="21" t="s">
        <v>35</v>
      </c>
      <c r="D23" s="21"/>
      <c r="E23" s="16" t="s">
        <v>52</v>
      </c>
      <c r="F23" s="17" t="s">
        <v>53</v>
      </c>
      <c r="G23" s="17"/>
      <c r="H23" s="16" t="s">
        <v>54</v>
      </c>
      <c r="I23" s="21" t="s">
        <v>55</v>
      </c>
      <c r="J23" s="21"/>
      <c r="K23" s="7"/>
      <c r="L23" s="7"/>
    </row>
    <row r="24" customFormat="false" ht="21.75" hidden="false" customHeight="true" outlineLevel="0" collapsed="false">
      <c r="A24" s="7"/>
      <c r="B24" s="16" t="s">
        <v>13</v>
      </c>
      <c r="C24" s="21" t="s">
        <v>56</v>
      </c>
      <c r="D24" s="21"/>
      <c r="E24" s="21"/>
      <c r="F24" s="21"/>
      <c r="G24" s="16" t="s">
        <v>57</v>
      </c>
      <c r="H24" s="17" t="s">
        <v>58</v>
      </c>
      <c r="I24" s="17"/>
      <c r="J24" s="17"/>
      <c r="K24" s="7"/>
      <c r="L24" s="7"/>
    </row>
    <row r="25" customFormat="false" ht="7.5" hidden="false" customHeight="true" outlineLevel="0" collapsed="false">
      <c r="A25" s="7"/>
      <c r="B25" s="7"/>
      <c r="C25" s="7"/>
      <c r="D25" s="7"/>
      <c r="E25" s="8"/>
      <c r="F25" s="7"/>
      <c r="G25" s="7"/>
      <c r="H25" s="7"/>
      <c r="I25" s="7"/>
      <c r="J25" s="7"/>
      <c r="K25" s="7"/>
      <c r="L25" s="7"/>
    </row>
    <row r="26" customFormat="false" ht="25.5" hidden="false" customHeight="true" outlineLevel="0" collapsed="false">
      <c r="A26" s="7"/>
      <c r="B26" s="26" t="s">
        <v>59</v>
      </c>
      <c r="C26" s="26"/>
      <c r="D26" s="26"/>
      <c r="E26" s="26"/>
      <c r="F26" s="26"/>
      <c r="G26" s="26"/>
      <c r="H26" s="26"/>
      <c r="I26" s="26"/>
      <c r="J26" s="26"/>
      <c r="K26" s="7"/>
      <c r="L26" s="7"/>
    </row>
    <row r="27" customFormat="false" ht="33.75" hidden="false" customHeight="true" outlineLevel="0" collapsed="false">
      <c r="A27" s="7"/>
      <c r="B27" s="27" t="s">
        <v>60</v>
      </c>
      <c r="C27" s="27"/>
      <c r="D27" s="20" t="s">
        <v>61</v>
      </c>
      <c r="E27" s="20"/>
      <c r="F27" s="20"/>
      <c r="G27" s="20"/>
      <c r="H27" s="20"/>
      <c r="I27" s="20"/>
      <c r="J27" s="20"/>
      <c r="K27" s="7"/>
      <c r="L27" s="7"/>
    </row>
    <row r="28" customFormat="false" ht="33.75" hidden="false" customHeight="true" outlineLevel="0" collapsed="false">
      <c r="A28" s="7"/>
      <c r="B28" s="27" t="s">
        <v>62</v>
      </c>
      <c r="C28" s="27"/>
      <c r="D28" s="20" t="s">
        <v>63</v>
      </c>
      <c r="E28" s="20"/>
      <c r="F28" s="20"/>
      <c r="G28" s="20"/>
      <c r="H28" s="20"/>
      <c r="I28" s="20"/>
      <c r="J28" s="20"/>
      <c r="K28" s="7"/>
      <c r="L28" s="7"/>
    </row>
    <row r="29" customFormat="false" ht="33.75" hidden="false" customHeight="true" outlineLevel="0" collapsed="false">
      <c r="A29" s="7"/>
      <c r="B29" s="27" t="s">
        <v>64</v>
      </c>
      <c r="C29" s="27"/>
      <c r="D29" s="20" t="s">
        <v>65</v>
      </c>
      <c r="E29" s="20"/>
      <c r="F29" s="20"/>
      <c r="G29" s="20"/>
      <c r="H29" s="20"/>
      <c r="I29" s="20"/>
      <c r="J29" s="20"/>
      <c r="K29" s="7"/>
      <c r="L29" s="7"/>
    </row>
    <row r="30" customFormat="false" ht="31.5" hidden="false" customHeight="true" outlineLevel="0" collapsed="false">
      <c r="A30" s="7"/>
      <c r="B30" s="28" t="s">
        <v>66</v>
      </c>
      <c r="C30" s="28"/>
      <c r="D30" s="20" t="s">
        <v>67</v>
      </c>
      <c r="E30" s="20"/>
      <c r="F30" s="20"/>
      <c r="G30" s="20"/>
      <c r="H30" s="20"/>
      <c r="I30" s="20"/>
      <c r="J30" s="20"/>
      <c r="K30" s="7"/>
      <c r="L30" s="7"/>
    </row>
    <row r="31" customFormat="false" ht="39" hidden="false" customHeight="true" outlineLevel="0" collapsed="false">
      <c r="A31" s="7"/>
      <c r="B31" s="27" t="s">
        <v>68</v>
      </c>
      <c r="C31" s="27"/>
      <c r="D31" s="20" t="s">
        <v>69</v>
      </c>
      <c r="E31" s="20"/>
      <c r="F31" s="20"/>
      <c r="G31" s="20"/>
      <c r="H31" s="20"/>
      <c r="I31" s="20"/>
      <c r="J31" s="20"/>
      <c r="K31" s="7"/>
      <c r="L31" s="7"/>
    </row>
    <row r="32" customFormat="false" ht="75" hidden="false" customHeight="true" outlineLevel="0" collapsed="false">
      <c r="A32" s="7"/>
      <c r="B32" s="27" t="s">
        <v>70</v>
      </c>
      <c r="C32" s="27"/>
      <c r="D32" s="20" t="s">
        <v>71</v>
      </c>
      <c r="E32" s="20"/>
      <c r="F32" s="20"/>
      <c r="G32" s="20"/>
      <c r="H32" s="20"/>
      <c r="I32" s="20"/>
      <c r="J32" s="20"/>
      <c r="K32" s="7"/>
      <c r="L32" s="7"/>
    </row>
    <row r="33" customFormat="false" ht="31.5" hidden="false" customHeight="true" outlineLevel="0" collapsed="false">
      <c r="A33" s="7"/>
      <c r="B33" s="29" t="s">
        <v>72</v>
      </c>
      <c r="C33" s="29"/>
      <c r="D33" s="29"/>
      <c r="E33" s="29"/>
      <c r="F33" s="29"/>
      <c r="G33" s="29"/>
      <c r="H33" s="29"/>
      <c r="I33" s="29"/>
      <c r="J33" s="29"/>
      <c r="K33" s="7"/>
      <c r="L33" s="7"/>
    </row>
    <row r="34" customFormat="false" ht="31.5" hidden="false" customHeight="true" outlineLevel="0" collapsed="false">
      <c r="A34" s="7"/>
      <c r="B34" s="30" t="s">
        <v>73</v>
      </c>
      <c r="C34" s="30"/>
      <c r="D34" s="30"/>
      <c r="E34" s="30"/>
      <c r="F34" s="30"/>
      <c r="G34" s="30"/>
      <c r="H34" s="30"/>
      <c r="I34" s="30"/>
      <c r="J34" s="30"/>
      <c r="K34" s="7"/>
      <c r="L34" s="7"/>
    </row>
    <row r="35" customFormat="false" ht="31.5" hidden="false" customHeight="true" outlineLevel="0" collapsed="false">
      <c r="A35" s="7"/>
      <c r="B35" s="29" t="s">
        <v>74</v>
      </c>
      <c r="C35" s="29"/>
      <c r="D35" s="29"/>
      <c r="E35" s="29"/>
      <c r="F35" s="29"/>
      <c r="G35" s="29"/>
      <c r="H35" s="29"/>
      <c r="I35" s="29"/>
      <c r="J35" s="29"/>
      <c r="K35" s="7"/>
      <c r="L35" s="7"/>
    </row>
    <row r="36" customFormat="false" ht="7.5" hidden="false" customHeight="true" outlineLevel="0" collapsed="false">
      <c r="A36" s="7"/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</row>
    <row r="37" customFormat="false" ht="25.5" hidden="false" customHeight="true" outlineLevel="0" collapsed="false">
      <c r="A37" s="7"/>
      <c r="B37" s="31" t="s">
        <v>75</v>
      </c>
      <c r="C37" s="31"/>
      <c r="D37" s="31"/>
      <c r="E37" s="31"/>
      <c r="F37" s="31"/>
      <c r="G37" s="31"/>
      <c r="H37" s="31"/>
      <c r="I37" s="31"/>
      <c r="J37" s="31"/>
      <c r="K37" s="7"/>
      <c r="L37" s="7"/>
    </row>
    <row r="38" customFormat="false" ht="25.5" hidden="false" customHeight="true" outlineLevel="0" collapsed="false">
      <c r="A38" s="7"/>
      <c r="B38" s="32" t="s">
        <v>76</v>
      </c>
      <c r="C38" s="32"/>
      <c r="D38" s="33" t="s">
        <v>77</v>
      </c>
      <c r="E38" s="33"/>
      <c r="F38" s="33"/>
      <c r="G38" s="33"/>
      <c r="H38" s="33"/>
      <c r="I38" s="33"/>
      <c r="J38" s="33"/>
      <c r="K38" s="7"/>
      <c r="L38" s="7"/>
    </row>
    <row r="39" customFormat="false" ht="25.5" hidden="false" customHeight="true" outlineLevel="0" collapsed="false">
      <c r="A39" s="7"/>
      <c r="B39" s="32" t="s">
        <v>78</v>
      </c>
      <c r="C39" s="32"/>
      <c r="D39" s="33" t="s">
        <v>79</v>
      </c>
      <c r="E39" s="33"/>
      <c r="F39" s="33"/>
      <c r="G39" s="33"/>
      <c r="H39" s="33"/>
      <c r="I39" s="33"/>
      <c r="J39" s="33"/>
      <c r="K39" s="7"/>
      <c r="L39" s="7"/>
    </row>
    <row r="40" customFormat="false" ht="25.5" hidden="false" customHeight="true" outlineLevel="0" collapsed="false">
      <c r="A40" s="7"/>
      <c r="B40" s="32" t="s">
        <v>80</v>
      </c>
      <c r="C40" s="32"/>
      <c r="D40" s="33" t="s">
        <v>81</v>
      </c>
      <c r="E40" s="33"/>
      <c r="F40" s="33"/>
      <c r="G40" s="33"/>
      <c r="H40" s="33"/>
      <c r="I40" s="33"/>
      <c r="J40" s="33"/>
      <c r="K40" s="7"/>
      <c r="L40" s="7"/>
    </row>
    <row r="41" customFormat="false" ht="25.5" hidden="false" customHeight="true" outlineLevel="0" collapsed="false">
      <c r="A41" s="7"/>
      <c r="B41" s="32" t="s">
        <v>82</v>
      </c>
      <c r="C41" s="32"/>
      <c r="D41" s="33" t="s">
        <v>83</v>
      </c>
      <c r="E41" s="33"/>
      <c r="F41" s="33"/>
      <c r="G41" s="33"/>
      <c r="H41" s="33"/>
      <c r="I41" s="33"/>
      <c r="J41" s="33"/>
      <c r="K41" s="7"/>
      <c r="L41" s="7"/>
    </row>
    <row r="42" customFormat="false" ht="25.5" hidden="false" customHeight="true" outlineLevel="0" collapsed="false">
      <c r="A42" s="7"/>
      <c r="B42" s="32" t="s">
        <v>84</v>
      </c>
      <c r="C42" s="32"/>
      <c r="D42" s="33" t="s">
        <v>85</v>
      </c>
      <c r="E42" s="33"/>
      <c r="F42" s="33"/>
      <c r="G42" s="33"/>
      <c r="H42" s="33"/>
      <c r="I42" s="33"/>
      <c r="J42" s="33"/>
      <c r="K42" s="7"/>
      <c r="L42" s="7"/>
    </row>
    <row r="43" customFormat="false" ht="25.5" hidden="false" customHeight="true" outlineLevel="0" collapsed="false">
      <c r="A43" s="7"/>
      <c r="B43" s="32" t="s">
        <v>86</v>
      </c>
      <c r="C43" s="32"/>
      <c r="D43" s="33" t="s">
        <v>87</v>
      </c>
      <c r="E43" s="33"/>
      <c r="F43" s="33"/>
      <c r="G43" s="33"/>
      <c r="H43" s="33"/>
      <c r="I43" s="33"/>
      <c r="J43" s="33"/>
      <c r="K43" s="7"/>
      <c r="L43" s="7"/>
    </row>
    <row r="44" customFormat="false" ht="25.5" hidden="false" customHeight="true" outlineLevel="0" collapsed="false">
      <c r="A44" s="7"/>
      <c r="B44" s="32" t="s">
        <v>88</v>
      </c>
      <c r="C44" s="32"/>
      <c r="D44" s="32"/>
      <c r="E44" s="32"/>
      <c r="F44" s="32"/>
      <c r="G44" s="32"/>
      <c r="H44" s="32"/>
      <c r="I44" s="32"/>
      <c r="J44" s="32"/>
      <c r="K44" s="7"/>
      <c r="L44" s="7"/>
    </row>
    <row r="45" customFormat="false" ht="12" hidden="false" customHeight="true" outlineLevel="0" collapsed="false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</row>
    <row r="46" customFormat="false" ht="25.5" hidden="false" customHeight="true" outlineLevel="0" collapsed="false">
      <c r="A46" s="7"/>
      <c r="B46" s="23" t="s">
        <v>89</v>
      </c>
      <c r="C46" s="23"/>
      <c r="D46" s="23"/>
      <c r="E46" s="23"/>
      <c r="F46" s="23"/>
      <c r="G46" s="23"/>
      <c r="H46" s="23"/>
      <c r="I46" s="23"/>
      <c r="J46" s="23"/>
      <c r="K46" s="7"/>
      <c r="L46" s="7"/>
    </row>
    <row r="47" customFormat="false" ht="36" hidden="false" customHeight="true" outlineLevel="0" collapsed="false">
      <c r="A47" s="7"/>
      <c r="B47" s="34" t="s">
        <v>90</v>
      </c>
      <c r="C47" s="34"/>
      <c r="D47" s="34"/>
      <c r="E47" s="34"/>
      <c r="F47" s="34"/>
      <c r="G47" s="34"/>
      <c r="H47" s="34"/>
      <c r="I47" s="34"/>
      <c r="J47" s="34"/>
      <c r="K47" s="7"/>
      <c r="L47" s="7"/>
    </row>
    <row r="48" customFormat="false" ht="48" hidden="false" customHeight="true" outlineLevel="0" collapsed="false">
      <c r="A48" s="7"/>
      <c r="B48" s="35" t="s">
        <v>91</v>
      </c>
      <c r="C48" s="34" t="str">
        <f aca="false">_xlfn.XLOOKUP(L2,계약리스트!A:A,계약리스트!L:L)</f>
        <v>안종식</v>
      </c>
      <c r="D48" s="34"/>
      <c r="E48" s="34"/>
      <c r="F48" s="36" t="s">
        <v>92</v>
      </c>
      <c r="G48" s="16" t="s">
        <v>93</v>
      </c>
      <c r="H48" s="34" t="s">
        <v>35</v>
      </c>
      <c r="I48" s="34"/>
      <c r="J48" s="36" t="s">
        <v>92</v>
      </c>
      <c r="K48" s="7"/>
      <c r="L48" s="7"/>
    </row>
    <row r="49" customFormat="false" ht="15" hidden="false" customHeight="true" outlineLevel="0" collapsed="false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</row>
    <row r="50" customFormat="false" ht="15" hidden="false" customHeight="true" outlineLevel="0" collapsed="false">
      <c r="A50" s="7"/>
      <c r="B50" s="31" t="s">
        <v>94</v>
      </c>
      <c r="C50" s="31"/>
      <c r="D50" s="31"/>
      <c r="E50" s="31"/>
      <c r="F50" s="31"/>
      <c r="G50" s="31"/>
      <c r="H50" s="31"/>
      <c r="I50" s="31"/>
      <c r="J50" s="31"/>
      <c r="K50" s="7"/>
      <c r="L50" s="7"/>
    </row>
    <row r="51" customFormat="false" ht="15" hidden="false" customHeight="true" outlineLevel="0" collapsed="false">
      <c r="A51" s="7"/>
      <c r="B51" s="16" t="s">
        <v>95</v>
      </c>
      <c r="C51" s="37"/>
      <c r="D51" s="37"/>
      <c r="E51" s="16" t="s">
        <v>96</v>
      </c>
      <c r="F51" s="37"/>
      <c r="G51" s="37"/>
      <c r="H51" s="16" t="s">
        <v>97</v>
      </c>
      <c r="I51" s="37"/>
      <c r="J51" s="37"/>
      <c r="K51" s="7"/>
      <c r="L51" s="7"/>
    </row>
    <row r="52" customFormat="false" ht="15" hidden="false" customHeight="true" outlineLevel="0" collapsed="false">
      <c r="A52" s="7"/>
      <c r="B52" s="16" t="s">
        <v>98</v>
      </c>
      <c r="C52" s="37"/>
      <c r="D52" s="37"/>
      <c r="E52" s="16" t="s">
        <v>99</v>
      </c>
      <c r="F52" s="37"/>
      <c r="G52" s="37"/>
      <c r="H52" s="16" t="s">
        <v>100</v>
      </c>
      <c r="I52" s="37"/>
      <c r="J52" s="37"/>
      <c r="K52" s="7"/>
      <c r="L52" s="7"/>
    </row>
    <row r="53" customFormat="false" ht="15" hidden="false" customHeight="true" outlineLevel="0" collapsed="false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</row>
    <row r="54" customFormat="false" ht="15" hidden="false" customHeight="true" outlineLevel="0" collapsed="false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</row>
    <row r="55" customFormat="false" ht="15" hidden="false" customHeight="true" outlineLevel="0" collapsed="false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</row>
    <row r="56" customFormat="false" ht="15" hidden="false" customHeight="true" outlineLevel="0" collapsed="false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</row>
    <row r="57" customFormat="false" ht="15" hidden="false" customHeight="true" outlineLevel="0" collapsed="false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</row>
    <row r="58" customFormat="false" ht="15" hidden="false" customHeight="true" outlineLevel="0" collapsed="false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</row>
    <row r="59" customFormat="false" ht="15" hidden="false" customHeight="true" outlineLevel="0" collapsed="false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</row>
    <row r="60" customFormat="false" ht="15" hidden="false" customHeight="true" outlineLevel="0" collapsed="false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</row>
    <row r="61" customFormat="false" ht="15" hidden="false" customHeight="true" outlineLevel="0" collapsed="false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</row>
    <row r="62" customFormat="false" ht="15" hidden="false" customHeight="true" outlineLevel="0" collapsed="false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</row>
    <row r="63" customFormat="false" ht="15" hidden="false" customHeight="true" outlineLevel="0" collapsed="false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</row>
    <row r="64" customFormat="false" ht="15" hidden="false" customHeight="true" outlineLevel="0" collapsed="false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</row>
    <row r="65" customFormat="false" ht="15" hidden="false" customHeight="true" outlineLevel="0" collapsed="false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</row>
    <row r="66" customFormat="false" ht="15" hidden="false" customHeight="true" outlineLevel="0" collapsed="false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</row>
    <row r="67" customFormat="false" ht="15" hidden="false" customHeight="true" outlineLevel="0" collapsed="false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</row>
    <row r="68" customFormat="false" ht="15" hidden="false" customHeight="true" outlineLevel="0" collapsed="false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</row>
    <row r="69" customFormat="false" ht="15" hidden="false" customHeight="true" outlineLevel="0" collapsed="false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</row>
    <row r="70" customFormat="false" ht="15" hidden="false" customHeight="true" outlineLevel="0" collapsed="false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</row>
    <row r="71" customFormat="false" ht="15" hidden="false" customHeight="true" outlineLevel="0" collapsed="false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</row>
    <row r="72" customFormat="false" ht="15" hidden="false" customHeight="true" outlineLevel="0" collapsed="false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</row>
    <row r="73" customFormat="false" ht="15" hidden="false" customHeight="true" outlineLevel="0" collapsed="false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</row>
    <row r="74" customFormat="false" ht="15" hidden="false" customHeight="true" outlineLevel="0" collapsed="false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</row>
    <row r="75" customFormat="false" ht="15" hidden="false" customHeight="true" outlineLevel="0" collapsed="false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</row>
    <row r="76" customFormat="false" ht="15" hidden="false" customHeight="true" outlineLevel="0" collapsed="false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</row>
    <row r="77" customFormat="false" ht="15" hidden="false" customHeight="true" outlineLevel="0" collapsed="false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</row>
    <row r="78" customFormat="false" ht="15" hidden="false" customHeight="true" outlineLevel="0" collapsed="false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</row>
    <row r="79" customFormat="false" ht="15" hidden="false" customHeight="true" outlineLevel="0" collapsed="false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</row>
    <row r="80" customFormat="false" ht="15" hidden="false" customHeight="true" outlineLevel="0" collapsed="false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</row>
    <row r="81" customFormat="false" ht="15" hidden="false" customHeight="true" outlineLevel="0" collapsed="false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</row>
    <row r="82" customFormat="false" ht="15" hidden="false" customHeight="true" outlineLevel="0" collapsed="false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</row>
    <row r="83" customFormat="false" ht="15" hidden="false" customHeight="true" outlineLevel="0" collapsed="false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</row>
    <row r="84" customFormat="false" ht="15" hidden="false" customHeight="true" outlineLevel="0" collapsed="false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</row>
    <row r="85" customFormat="false" ht="15" hidden="false" customHeight="true" outlineLevel="0" collapsed="false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</row>
    <row r="86" customFormat="false" ht="15" hidden="false" customHeight="true" outlineLevel="0" collapsed="false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</row>
    <row r="87" customFormat="false" ht="15" hidden="false" customHeight="true" outlineLevel="0" collapsed="false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</row>
    <row r="88" customFormat="false" ht="15" hidden="false" customHeight="true" outlineLevel="0" collapsed="false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</row>
    <row r="89" customFormat="false" ht="15" hidden="false" customHeight="true" outlineLevel="0" collapsed="false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</row>
    <row r="90" customFormat="false" ht="15" hidden="false" customHeight="true" outlineLevel="0" collapsed="false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</row>
    <row r="91" customFormat="false" ht="15" hidden="false" customHeight="true" outlineLevel="0" collapsed="false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</row>
    <row r="92" customFormat="false" ht="15" hidden="false" customHeight="true" outlineLevel="0" collapsed="false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</row>
    <row r="93" customFormat="false" ht="15" hidden="false" customHeight="true" outlineLevel="0" collapsed="false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</row>
    <row r="94" customFormat="false" ht="15" hidden="false" customHeight="true" outlineLevel="0" collapsed="false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</row>
    <row r="95" customFormat="false" ht="15" hidden="false" customHeight="true" outlineLevel="0" collapsed="false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</row>
    <row r="96" customFormat="false" ht="15" hidden="false" customHeight="true" outlineLevel="0" collapsed="false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</row>
    <row r="97" customFormat="false" ht="15" hidden="false" customHeight="true" outlineLevel="0" collapsed="false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</row>
    <row r="98" customFormat="false" ht="15" hidden="false" customHeight="true" outlineLevel="0" collapsed="false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</row>
    <row r="99" customFormat="false" ht="15" hidden="false" customHeight="true" outlineLevel="0" collapsed="false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</row>
    <row r="100" customFormat="false" ht="15" hidden="false" customHeight="true" outlineLevel="0" collapsed="false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</row>
    <row r="101" customFormat="false" ht="15" hidden="false" customHeight="true" outlineLevel="0" collapsed="false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</row>
    <row r="102" customFormat="false" ht="15" hidden="false" customHeight="true" outlineLevel="0" collapsed="false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</row>
    <row r="103" customFormat="false" ht="15" hidden="false" customHeight="true" outlineLevel="0" collapsed="false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</row>
    <row r="104" customFormat="false" ht="15" hidden="false" customHeight="true" outlineLevel="0" collapsed="false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</row>
    <row r="105" customFormat="false" ht="15" hidden="false" customHeight="true" outlineLevel="0" collapsed="false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</row>
  </sheetData>
  <mergeCells count="76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J12"/>
    <mergeCell ref="B13:J13"/>
    <mergeCell ref="B16:J16"/>
    <mergeCell ref="C17:D17"/>
    <mergeCell ref="F17:G17"/>
    <mergeCell ref="I17:J17"/>
    <mergeCell ref="C18:D18"/>
    <mergeCell ref="F18:G18"/>
    <mergeCell ref="I18:J18"/>
    <mergeCell ref="C19:D19"/>
    <mergeCell ref="F19:J19"/>
    <mergeCell ref="C20:J20"/>
    <mergeCell ref="B22:J22"/>
    <mergeCell ref="C23:D23"/>
    <mergeCell ref="F23:G23"/>
    <mergeCell ref="I23:J23"/>
    <mergeCell ref="C24:F24"/>
    <mergeCell ref="H24:J24"/>
    <mergeCell ref="B26:J26"/>
    <mergeCell ref="B27:C27"/>
    <mergeCell ref="D27:J27"/>
    <mergeCell ref="B28:C28"/>
    <mergeCell ref="D28:J28"/>
    <mergeCell ref="B29:C29"/>
    <mergeCell ref="D29:J29"/>
    <mergeCell ref="B30:C30"/>
    <mergeCell ref="D30:J30"/>
    <mergeCell ref="B31:C31"/>
    <mergeCell ref="D31:J31"/>
    <mergeCell ref="B32:C32"/>
    <mergeCell ref="D32:J32"/>
    <mergeCell ref="B33:J33"/>
    <mergeCell ref="B34:J34"/>
    <mergeCell ref="B35:J35"/>
    <mergeCell ref="B37:J37"/>
    <mergeCell ref="B38:C38"/>
    <mergeCell ref="D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C43"/>
    <mergeCell ref="D43:J43"/>
    <mergeCell ref="B44:J44"/>
    <mergeCell ref="B46:J46"/>
    <mergeCell ref="B47:J47"/>
    <mergeCell ref="C48:E48"/>
    <mergeCell ref="H48:I48"/>
    <mergeCell ref="B50:J50"/>
    <mergeCell ref="C51:D51"/>
    <mergeCell ref="F51:G51"/>
    <mergeCell ref="I51:J51"/>
    <mergeCell ref="C52:D52"/>
    <mergeCell ref="F52:G52"/>
    <mergeCell ref="I52:J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36"/>
  <sheetViews>
    <sheetView showFormulas="false" showGridLines="false" showRowColHeaders="true" showZeros="true" rightToLeft="false" tabSelected="true" showOutlineSymbols="true" defaultGridColor="true" view="pageBreakPreview" topLeftCell="A1" colorId="64" zoomScale="115" zoomScaleNormal="115" zoomScalePageLayoutView="115" workbookViewId="0">
      <selection pane="topLeft" activeCell="D11" activeCellId="0" sqref="D1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6.79"/>
    <col collapsed="false" customWidth="true" hidden="false" outlineLevel="0" max="3" min="3" style="1" width="1.56"/>
    <col collapsed="false" customWidth="true" hidden="false" outlineLevel="0" max="4" min="4" style="1" width="66.79"/>
    <col collapsed="false" customWidth="true" hidden="false" outlineLevel="0" max="5" min="5" style="1" width="2"/>
  </cols>
  <sheetData>
    <row r="1" customFormat="false" ht="31.5" hidden="false" customHeight="true" outlineLevel="0" collapsed="false">
      <c r="B1" s="38" t="s">
        <v>101</v>
      </c>
      <c r="C1" s="38"/>
      <c r="D1" s="38"/>
    </row>
    <row r="3" customFormat="false" ht="14.25" hidden="false" customHeight="true" outlineLevel="0" collapsed="false">
      <c r="B3" s="39" t="s">
        <v>102</v>
      </c>
      <c r="D3" s="40" t="s">
        <v>103</v>
      </c>
    </row>
    <row r="4" customFormat="false" ht="14.25" hidden="false" customHeight="true" outlineLevel="0" collapsed="false">
      <c r="B4" s="41" t="s">
        <v>104</v>
      </c>
      <c r="D4" s="41" t="s">
        <v>105</v>
      </c>
    </row>
    <row r="5" customFormat="false" ht="14.25" hidden="false" customHeight="true" outlineLevel="0" collapsed="false">
      <c r="B5" s="41" t="s">
        <v>106</v>
      </c>
      <c r="D5" s="41" t="s">
        <v>107</v>
      </c>
    </row>
    <row r="6" customFormat="false" ht="14.25" hidden="false" customHeight="true" outlineLevel="0" collapsed="false">
      <c r="B6" s="41"/>
      <c r="D6" s="41" t="s">
        <v>108</v>
      </c>
    </row>
    <row r="7" customFormat="false" ht="14.25" hidden="false" customHeight="true" outlineLevel="0" collapsed="false">
      <c r="B7" s="39" t="s">
        <v>109</v>
      </c>
      <c r="D7" s="41" t="s">
        <v>110</v>
      </c>
    </row>
    <row r="8" customFormat="false" ht="14.25" hidden="false" customHeight="true" outlineLevel="0" collapsed="false">
      <c r="B8" s="42" t="s">
        <v>111</v>
      </c>
      <c r="D8" s="41" t="s">
        <v>112</v>
      </c>
    </row>
    <row r="9" customFormat="false" ht="14.25" hidden="false" customHeight="true" outlineLevel="0" collapsed="false">
      <c r="B9" s="41" t="s">
        <v>113</v>
      </c>
      <c r="D9" s="42" t="s">
        <v>114</v>
      </c>
    </row>
    <row r="10" customFormat="false" ht="14.25" hidden="false" customHeight="true" outlineLevel="0" collapsed="false">
      <c r="B10" s="42" t="s">
        <v>115</v>
      </c>
      <c r="D10" s="41" t="s">
        <v>116</v>
      </c>
    </row>
    <row r="11" customFormat="false" ht="14.25" hidden="false" customHeight="true" outlineLevel="0" collapsed="false">
      <c r="B11" s="42" t="s">
        <v>117</v>
      </c>
      <c r="D11" s="42" t="s">
        <v>118</v>
      </c>
    </row>
    <row r="12" customFormat="false" ht="14.25" hidden="false" customHeight="true" outlineLevel="0" collapsed="false">
      <c r="B12" s="42" t="s">
        <v>119</v>
      </c>
      <c r="D12" s="41" t="s">
        <v>120</v>
      </c>
    </row>
    <row r="13" customFormat="false" ht="14.25" hidden="false" customHeight="true" outlineLevel="0" collapsed="false">
      <c r="B13" s="41" t="s">
        <v>121</v>
      </c>
    </row>
    <row r="14" customFormat="false" ht="14.25" hidden="false" customHeight="true" outlineLevel="0" collapsed="false">
      <c r="B14" s="42" t="s">
        <v>122</v>
      </c>
      <c r="D14" s="40" t="s">
        <v>123</v>
      </c>
    </row>
    <row r="15" customFormat="false" ht="14.25" hidden="false" customHeight="true" outlineLevel="0" collapsed="false">
      <c r="B15" s="41" t="s">
        <v>124</v>
      </c>
      <c r="D15" s="41" t="s">
        <v>125</v>
      </c>
    </row>
    <row r="16" customFormat="false" ht="14.25" hidden="false" customHeight="true" outlineLevel="0" collapsed="false">
      <c r="B16" s="43" t="s">
        <v>126</v>
      </c>
      <c r="D16" s="41" t="s">
        <v>127</v>
      </c>
    </row>
    <row r="17" customFormat="false" ht="14.25" hidden="false" customHeight="true" outlineLevel="0" collapsed="false">
      <c r="B17" s="43" t="s">
        <v>128</v>
      </c>
      <c r="D17" s="41" t="s">
        <v>129</v>
      </c>
    </row>
    <row r="18" customFormat="false" ht="14.25" hidden="false" customHeight="true" outlineLevel="0" collapsed="false">
      <c r="B18" s="41" t="s">
        <v>130</v>
      </c>
      <c r="D18" s="41" t="s">
        <v>131</v>
      </c>
    </row>
    <row r="19" customFormat="false" ht="14.25" hidden="false" customHeight="true" outlineLevel="0" collapsed="false">
      <c r="B19" s="43" t="s">
        <v>132</v>
      </c>
      <c r="D19" s="41" t="s">
        <v>133</v>
      </c>
    </row>
    <row r="20" customFormat="false" ht="14.25" hidden="false" customHeight="true" outlineLevel="0" collapsed="false">
      <c r="B20" s="41" t="s">
        <v>134</v>
      </c>
      <c r="D20" s="41" t="s">
        <v>135</v>
      </c>
    </row>
    <row r="21" customFormat="false" ht="14.25" hidden="false" customHeight="true" outlineLevel="0" collapsed="false">
      <c r="B21" s="43" t="s">
        <v>136</v>
      </c>
      <c r="D21" s="41" t="s">
        <v>137</v>
      </c>
    </row>
    <row r="22" customFormat="false" ht="14.25" hidden="false" customHeight="true" outlineLevel="0" collapsed="false">
      <c r="B22" s="41" t="s">
        <v>134</v>
      </c>
      <c r="D22" s="41" t="s">
        <v>138</v>
      </c>
    </row>
    <row r="23" customFormat="false" ht="14.25" hidden="false" customHeight="true" outlineLevel="0" collapsed="false">
      <c r="B23" s="43" t="s">
        <v>139</v>
      </c>
      <c r="D23" s="41" t="s">
        <v>140</v>
      </c>
    </row>
    <row r="24" customFormat="false" ht="14.25" hidden="false" customHeight="true" outlineLevel="0" collapsed="false">
      <c r="B24" s="43" t="s">
        <v>141</v>
      </c>
      <c r="D24" s="41" t="s">
        <v>142</v>
      </c>
    </row>
    <row r="25" customFormat="false" ht="14.25" hidden="false" customHeight="true" outlineLevel="0" collapsed="false">
      <c r="B25" s="41" t="s">
        <v>143</v>
      </c>
      <c r="D25" s="41" t="s">
        <v>144</v>
      </c>
    </row>
    <row r="26" customFormat="false" ht="14.25" hidden="false" customHeight="true" outlineLevel="0" collapsed="false">
      <c r="B26" s="43" t="s">
        <v>145</v>
      </c>
      <c r="D26" s="41" t="s">
        <v>146</v>
      </c>
    </row>
    <row r="27" customFormat="false" ht="14.25" hidden="false" customHeight="true" outlineLevel="0" collapsed="false">
      <c r="B27" s="44" t="s">
        <v>147</v>
      </c>
    </row>
    <row r="28" customFormat="false" ht="14.25" hidden="false" customHeight="true" outlineLevel="0" collapsed="false">
      <c r="B28" s="41" t="s">
        <v>148</v>
      </c>
      <c r="D28" s="40" t="s">
        <v>149</v>
      </c>
    </row>
    <row r="29" customFormat="false" ht="14.25" hidden="false" customHeight="true" outlineLevel="0" collapsed="false">
      <c r="B29" s="44" t="s">
        <v>150</v>
      </c>
      <c r="D29" s="45" t="s">
        <v>151</v>
      </c>
    </row>
    <row r="30" customFormat="false" ht="14.25" hidden="false" customHeight="true" outlineLevel="0" collapsed="false">
      <c r="B30" s="41" t="s">
        <v>152</v>
      </c>
      <c r="D30" s="45" t="s">
        <v>153</v>
      </c>
    </row>
    <row r="31" customFormat="false" ht="14.25" hidden="false" customHeight="true" outlineLevel="0" collapsed="false">
      <c r="D31" s="45" t="s">
        <v>154</v>
      </c>
    </row>
    <row r="32" customFormat="false" ht="14.25" hidden="false" customHeight="true" outlineLevel="0" collapsed="false">
      <c r="B32" s="40" t="s">
        <v>155</v>
      </c>
      <c r="D32" s="45" t="s">
        <v>156</v>
      </c>
    </row>
    <row r="33" customFormat="false" ht="14.25" hidden="false" customHeight="true" outlineLevel="0" collapsed="false">
      <c r="B33" s="41" t="s">
        <v>157</v>
      </c>
      <c r="D33" s="45" t="s">
        <v>158</v>
      </c>
    </row>
    <row r="34" customFormat="false" ht="14.25" hidden="false" customHeight="true" outlineLevel="0" collapsed="false">
      <c r="B34" s="41" t="s">
        <v>159</v>
      </c>
      <c r="D34" s="45" t="s">
        <v>160</v>
      </c>
    </row>
    <row r="35" customFormat="false" ht="14.25" hidden="false" customHeight="true" outlineLevel="0" collapsed="false">
      <c r="B35" s="41" t="s">
        <v>161</v>
      </c>
      <c r="D35" s="45" t="s">
        <v>162</v>
      </c>
    </row>
    <row r="36" customFormat="false" ht="14.25" hidden="false" customHeight="true" outlineLevel="0" collapsed="false">
      <c r="B36" s="41" t="s">
        <v>163</v>
      </c>
      <c r="D36" s="45" t="s">
        <v>164</v>
      </c>
    </row>
    <row r="37" customFormat="false" ht="14.25" hidden="false" customHeight="true" outlineLevel="0" collapsed="false">
      <c r="B37" s="41"/>
      <c r="D37" s="45"/>
    </row>
    <row r="38" customFormat="false" ht="14.25" hidden="false" customHeight="true" outlineLevel="0" collapsed="false">
      <c r="B38" s="40" t="s">
        <v>165</v>
      </c>
      <c r="D38" s="40" t="s">
        <v>166</v>
      </c>
    </row>
    <row r="39" customFormat="false" ht="14.25" hidden="false" customHeight="true" outlineLevel="0" collapsed="false">
      <c r="B39" s="41" t="s">
        <v>167</v>
      </c>
      <c r="D39" s="45" t="s">
        <v>168</v>
      </c>
    </row>
    <row r="40" customFormat="false" ht="14.25" hidden="false" customHeight="true" outlineLevel="0" collapsed="false">
      <c r="B40" s="41" t="s">
        <v>169</v>
      </c>
      <c r="D40" s="45" t="s">
        <v>170</v>
      </c>
    </row>
    <row r="41" customFormat="false" ht="14.25" hidden="false" customHeight="true" outlineLevel="0" collapsed="false">
      <c r="B41" s="41" t="s">
        <v>171</v>
      </c>
      <c r="D41" s="45" t="s">
        <v>172</v>
      </c>
    </row>
    <row r="42" customFormat="false" ht="14.25" hidden="false" customHeight="true" outlineLevel="0" collapsed="false">
      <c r="B42" s="41" t="s">
        <v>173</v>
      </c>
      <c r="D42" s="45" t="s">
        <v>174</v>
      </c>
    </row>
    <row r="43" customFormat="false" ht="14.25" hidden="false" customHeight="true" outlineLevel="0" collapsed="false">
      <c r="B43" s="41" t="s">
        <v>175</v>
      </c>
      <c r="D43" s="45" t="s">
        <v>176</v>
      </c>
    </row>
    <row r="44" customFormat="false" ht="14.25" hidden="false" customHeight="true" outlineLevel="0" collapsed="false">
      <c r="B44" s="41" t="s">
        <v>177</v>
      </c>
      <c r="D44" s="45" t="s">
        <v>178</v>
      </c>
    </row>
    <row r="45" customFormat="false" ht="14.25" hidden="false" customHeight="true" outlineLevel="0" collapsed="false">
      <c r="B45" s="41"/>
      <c r="D45" s="45" t="s">
        <v>179</v>
      </c>
    </row>
    <row r="46" customFormat="false" ht="14.25" hidden="false" customHeight="true" outlineLevel="0" collapsed="false">
      <c r="B46" s="40" t="s">
        <v>180</v>
      </c>
      <c r="D46" s="45" t="s">
        <v>181</v>
      </c>
    </row>
    <row r="47" customFormat="false" ht="14.25" hidden="false" customHeight="true" outlineLevel="0" collapsed="false">
      <c r="B47" s="41" t="s">
        <v>182</v>
      </c>
      <c r="D47" s="46" t="s">
        <v>183</v>
      </c>
    </row>
    <row r="48" customFormat="false" ht="14.25" hidden="false" customHeight="true" outlineLevel="0" collapsed="false">
      <c r="B48" s="41" t="s">
        <v>184</v>
      </c>
      <c r="D48" s="45" t="s">
        <v>185</v>
      </c>
    </row>
    <row r="49" customFormat="false" ht="14.25" hidden="false" customHeight="true" outlineLevel="0" collapsed="false">
      <c r="B49" s="41" t="s">
        <v>186</v>
      </c>
      <c r="D49" s="45" t="s">
        <v>187</v>
      </c>
    </row>
    <row r="50" customFormat="false" ht="14.25" hidden="false" customHeight="true" outlineLevel="0" collapsed="false">
      <c r="B50" s="47" t="s">
        <v>188</v>
      </c>
      <c r="D50" s="45" t="s">
        <v>189</v>
      </c>
    </row>
    <row r="51" customFormat="false" ht="14.25" hidden="false" customHeight="true" outlineLevel="0" collapsed="false">
      <c r="B51" s="41" t="s">
        <v>190</v>
      </c>
      <c r="D51" s="45" t="s">
        <v>191</v>
      </c>
    </row>
    <row r="52" customFormat="false" ht="14.25" hidden="false" customHeight="true" outlineLevel="0" collapsed="false">
      <c r="B52" s="41" t="s">
        <v>192</v>
      </c>
    </row>
    <row r="53" customFormat="false" ht="14.25" hidden="false" customHeight="true" outlineLevel="0" collapsed="false">
      <c r="B53" s="41" t="s">
        <v>193</v>
      </c>
      <c r="D53" s="40" t="s">
        <v>194</v>
      </c>
    </row>
    <row r="54" customFormat="false" ht="14.25" hidden="false" customHeight="true" outlineLevel="0" collapsed="false">
      <c r="B54" s="41" t="s">
        <v>195</v>
      </c>
      <c r="D54" s="45" t="s">
        <v>196</v>
      </c>
    </row>
    <row r="55" customFormat="false" ht="14.25" hidden="false" customHeight="true" outlineLevel="0" collapsed="false">
      <c r="B55" s="41" t="s">
        <v>197</v>
      </c>
      <c r="D55" s="45" t="s">
        <v>198</v>
      </c>
    </row>
    <row r="56" customFormat="false" ht="14.25" hidden="false" customHeight="true" outlineLevel="0" collapsed="false">
      <c r="B56" s="41" t="s">
        <v>199</v>
      </c>
      <c r="D56" s="45" t="s">
        <v>200</v>
      </c>
    </row>
    <row r="57" customFormat="false" ht="14.25" hidden="false" customHeight="true" outlineLevel="0" collapsed="false">
      <c r="B57" s="41"/>
      <c r="D57" s="45" t="s">
        <v>201</v>
      </c>
    </row>
    <row r="58" customFormat="false" ht="14.25" hidden="false" customHeight="true" outlineLevel="0" collapsed="false">
      <c r="B58" s="40" t="s">
        <v>202</v>
      </c>
      <c r="D58" s="45" t="s">
        <v>203</v>
      </c>
    </row>
    <row r="59" customFormat="false" ht="14.25" hidden="false" customHeight="true" outlineLevel="0" collapsed="false">
      <c r="B59" s="41" t="s">
        <v>204</v>
      </c>
      <c r="D59" s="45" t="s">
        <v>205</v>
      </c>
    </row>
    <row r="60" customFormat="false" ht="14.25" hidden="false" customHeight="true" outlineLevel="0" collapsed="false">
      <c r="B60" s="41" t="s">
        <v>206</v>
      </c>
      <c r="D60" s="45" t="s">
        <v>207</v>
      </c>
    </row>
    <row r="61" customFormat="false" ht="14.25" hidden="false" customHeight="true" outlineLevel="0" collapsed="false">
      <c r="B61" s="41" t="s">
        <v>208</v>
      </c>
    </row>
    <row r="62" customFormat="false" ht="14.25" hidden="false" customHeight="true" outlineLevel="0" collapsed="false">
      <c r="B62" s="41" t="s">
        <v>209</v>
      </c>
      <c r="D62" s="40" t="s">
        <v>210</v>
      </c>
    </row>
    <row r="63" customFormat="false" ht="14.25" hidden="false" customHeight="true" outlineLevel="0" collapsed="false">
      <c r="B63" s="41" t="s">
        <v>211</v>
      </c>
      <c r="D63" s="45" t="s">
        <v>212</v>
      </c>
    </row>
    <row r="64" customFormat="false" ht="14.25" hidden="false" customHeight="true" outlineLevel="0" collapsed="false">
      <c r="B64" s="41" t="s">
        <v>213</v>
      </c>
      <c r="D64" s="45" t="s">
        <v>214</v>
      </c>
    </row>
    <row r="65" customFormat="false" ht="14.25" hidden="false" customHeight="true" outlineLevel="0" collapsed="false">
      <c r="B65" s="41" t="s">
        <v>215</v>
      </c>
      <c r="D65" s="45" t="s">
        <v>216</v>
      </c>
    </row>
    <row r="66" customFormat="false" ht="14.25" hidden="false" customHeight="true" outlineLevel="0" collapsed="false">
      <c r="B66" s="41" t="s">
        <v>217</v>
      </c>
      <c r="D66" s="45" t="s">
        <v>218</v>
      </c>
    </row>
    <row r="67" customFormat="false" ht="14.25" hidden="false" customHeight="true" outlineLevel="0" collapsed="false">
      <c r="B67" s="41" t="s">
        <v>219</v>
      </c>
      <c r="D67" s="45" t="s">
        <v>220</v>
      </c>
    </row>
    <row r="68" customFormat="false" ht="14.25" hidden="false" customHeight="true" outlineLevel="0" collapsed="false">
      <c r="B68" s="41" t="s">
        <v>221</v>
      </c>
      <c r="D68" s="45" t="s">
        <v>222</v>
      </c>
    </row>
    <row r="69" customFormat="false" ht="14.25" hidden="false" customHeight="true" outlineLevel="0" collapsed="false">
      <c r="B69" s="43" t="s">
        <v>223</v>
      </c>
      <c r="D69" s="45" t="s">
        <v>224</v>
      </c>
    </row>
    <row r="70" customFormat="false" ht="14.25" hidden="false" customHeight="true" outlineLevel="0" collapsed="false">
      <c r="B70" s="43" t="s">
        <v>225</v>
      </c>
      <c r="D70" s="45" t="s">
        <v>226</v>
      </c>
    </row>
    <row r="71" customFormat="false" ht="14.25" hidden="false" customHeight="true" outlineLevel="0" collapsed="false">
      <c r="B71" s="43" t="s">
        <v>227</v>
      </c>
      <c r="D71" s="45" t="s">
        <v>228</v>
      </c>
    </row>
    <row r="72" customFormat="false" ht="14.25" hidden="false" customHeight="true" outlineLevel="0" collapsed="false">
      <c r="B72" s="41" t="s">
        <v>229</v>
      </c>
      <c r="D72" s="48" t="s">
        <v>230</v>
      </c>
    </row>
    <row r="73" customFormat="false" ht="14.25" hidden="false" customHeight="true" outlineLevel="0" collapsed="false">
      <c r="D73" s="45" t="s">
        <v>231</v>
      </c>
    </row>
    <row r="74" customFormat="false" ht="14.25" hidden="false" customHeight="true" outlineLevel="0" collapsed="false">
      <c r="D74" s="45" t="s">
        <v>232</v>
      </c>
    </row>
    <row r="75" customFormat="false" ht="14.25" hidden="false" customHeight="true" outlineLevel="0" collapsed="false">
      <c r="D75" s="45" t="s">
        <v>233</v>
      </c>
    </row>
    <row r="76" customFormat="false" ht="14.25" hidden="false" customHeight="true" outlineLevel="0" collapsed="false"/>
    <row r="77" customFormat="false" ht="14.25" hidden="false" customHeight="true" outlineLevel="0" collapsed="false">
      <c r="B77" s="40" t="s">
        <v>234</v>
      </c>
      <c r="D77" s="40" t="s">
        <v>235</v>
      </c>
    </row>
    <row r="78" customFormat="false" ht="14.25" hidden="false" customHeight="true" outlineLevel="0" collapsed="false">
      <c r="B78" s="41" t="s">
        <v>236</v>
      </c>
      <c r="D78" s="45" t="s">
        <v>237</v>
      </c>
    </row>
    <row r="79" customFormat="false" ht="14.25" hidden="false" customHeight="true" outlineLevel="0" collapsed="false">
      <c r="B79" s="41" t="s">
        <v>238</v>
      </c>
      <c r="D79" s="45" t="s">
        <v>239</v>
      </c>
    </row>
    <row r="80" customFormat="false" ht="14.25" hidden="false" customHeight="true" outlineLevel="0" collapsed="false">
      <c r="B80" s="41" t="s">
        <v>240</v>
      </c>
      <c r="D80" s="45" t="s">
        <v>241</v>
      </c>
    </row>
    <row r="81" customFormat="false" ht="14.25" hidden="false" customHeight="true" outlineLevel="0" collapsed="false">
      <c r="B81" s="41" t="s">
        <v>242</v>
      </c>
      <c r="D81" s="41" t="s">
        <v>243</v>
      </c>
    </row>
    <row r="82" customFormat="false" ht="14.25" hidden="false" customHeight="true" outlineLevel="0" collapsed="false">
      <c r="B82" s="41" t="s">
        <v>244</v>
      </c>
      <c r="D82" s="41" t="s">
        <v>245</v>
      </c>
    </row>
    <row r="83" customFormat="false" ht="14.25" hidden="false" customHeight="true" outlineLevel="0" collapsed="false"/>
    <row r="84" customFormat="false" ht="14.25" hidden="false" customHeight="true" outlineLevel="0" collapsed="false">
      <c r="B84" s="40" t="s">
        <v>246</v>
      </c>
    </row>
    <row r="85" customFormat="false" ht="14.25" hidden="false" customHeight="true" outlineLevel="0" collapsed="false">
      <c r="B85" s="41" t="s">
        <v>247</v>
      </c>
      <c r="D85" s="40" t="s">
        <v>248</v>
      </c>
    </row>
    <row r="86" customFormat="false" ht="14.25" hidden="false" customHeight="true" outlineLevel="0" collapsed="false">
      <c r="B86" s="41" t="s">
        <v>249</v>
      </c>
      <c r="D86" s="41" t="s">
        <v>250</v>
      </c>
    </row>
    <row r="87" customFormat="false" ht="14.25" hidden="false" customHeight="true" outlineLevel="0" collapsed="false">
      <c r="B87" s="41" t="s">
        <v>251</v>
      </c>
      <c r="D87" s="41" t="s">
        <v>252</v>
      </c>
    </row>
    <row r="88" customFormat="false" ht="14.25" hidden="false" customHeight="true" outlineLevel="0" collapsed="false">
      <c r="B88" s="41" t="s">
        <v>253</v>
      </c>
      <c r="D88" s="41" t="s">
        <v>254</v>
      </c>
    </row>
    <row r="89" customFormat="false" ht="14.25" hidden="false" customHeight="true" outlineLevel="0" collapsed="false">
      <c r="B89" s="41" t="s">
        <v>255</v>
      </c>
      <c r="D89" s="41" t="s">
        <v>256</v>
      </c>
    </row>
    <row r="90" customFormat="false" ht="14.25" hidden="false" customHeight="true" outlineLevel="0" collapsed="false">
      <c r="B90" s="41" t="s">
        <v>257</v>
      </c>
    </row>
    <row r="91" customFormat="false" ht="14.25" hidden="false" customHeight="true" outlineLevel="0" collapsed="false">
      <c r="B91" s="41" t="s">
        <v>258</v>
      </c>
      <c r="D91" s="40" t="s">
        <v>259</v>
      </c>
    </row>
    <row r="92" customFormat="false" ht="14.25" hidden="false" customHeight="true" outlineLevel="0" collapsed="false">
      <c r="B92" s="41" t="s">
        <v>260</v>
      </c>
      <c r="D92" s="41" t="s">
        <v>261</v>
      </c>
    </row>
    <row r="93" customFormat="false" ht="14.25" hidden="false" customHeight="true" outlineLevel="0" collapsed="false">
      <c r="B93" s="41" t="s">
        <v>262</v>
      </c>
      <c r="D93" s="41" t="s">
        <v>263</v>
      </c>
    </row>
    <row r="94" customFormat="false" ht="14.25" hidden="false" customHeight="true" outlineLevel="0" collapsed="false">
      <c r="B94" s="41" t="s">
        <v>264</v>
      </c>
      <c r="D94" s="41" t="s">
        <v>265</v>
      </c>
    </row>
    <row r="95" customFormat="false" ht="14.25" hidden="false" customHeight="true" outlineLevel="0" collapsed="false">
      <c r="B95" s="41" t="s">
        <v>266</v>
      </c>
      <c r="D95" s="41" t="s">
        <v>267</v>
      </c>
    </row>
    <row r="96" customFormat="false" ht="14.25" hidden="false" customHeight="true" outlineLevel="0" collapsed="false">
      <c r="B96" s="41" t="s">
        <v>268</v>
      </c>
      <c r="D96" s="41" t="s">
        <v>269</v>
      </c>
    </row>
    <row r="97" customFormat="false" ht="14.25" hidden="false" customHeight="true" outlineLevel="0" collapsed="false">
      <c r="B97" s="41" t="s">
        <v>270</v>
      </c>
      <c r="D97" s="41" t="s">
        <v>271</v>
      </c>
    </row>
    <row r="98" customFormat="false" ht="14.25" hidden="false" customHeight="true" outlineLevel="0" collapsed="false">
      <c r="B98" s="41" t="s">
        <v>272</v>
      </c>
      <c r="D98" s="47" t="s">
        <v>273</v>
      </c>
    </row>
    <row r="99" customFormat="false" ht="14.25" hidden="false" customHeight="true" outlineLevel="0" collapsed="false">
      <c r="B99" s="41" t="s">
        <v>274</v>
      </c>
      <c r="D99" s="41" t="s">
        <v>275</v>
      </c>
    </row>
    <row r="100" customFormat="false" ht="14.25" hidden="false" customHeight="true" outlineLevel="0" collapsed="false">
      <c r="B100" s="41" t="s">
        <v>276</v>
      </c>
      <c r="D100" s="41" t="s">
        <v>277</v>
      </c>
    </row>
    <row r="101" customFormat="false" ht="14.25" hidden="false" customHeight="true" outlineLevel="0" collapsed="false">
      <c r="B101" s="41" t="s">
        <v>278</v>
      </c>
      <c r="D101" s="41" t="s">
        <v>279</v>
      </c>
    </row>
    <row r="102" customFormat="false" ht="14.25" hidden="false" customHeight="true" outlineLevel="0" collapsed="false">
      <c r="D102" s="41" t="s">
        <v>280</v>
      </c>
    </row>
    <row r="103" customFormat="false" ht="14.25" hidden="false" customHeight="true" outlineLevel="0" collapsed="false">
      <c r="B103" s="40" t="s">
        <v>281</v>
      </c>
      <c r="D103" s="41" t="s">
        <v>282</v>
      </c>
    </row>
    <row r="104" customFormat="false" ht="14.25" hidden="false" customHeight="true" outlineLevel="0" collapsed="false">
      <c r="B104" s="41" t="s">
        <v>283</v>
      </c>
    </row>
    <row r="105" customFormat="false" ht="14.25" hidden="false" customHeight="true" outlineLevel="0" collapsed="false">
      <c r="B105" s="41" t="s">
        <v>284</v>
      </c>
      <c r="D105" s="40" t="s">
        <v>285</v>
      </c>
    </row>
    <row r="106" customFormat="false" ht="14.25" hidden="false" customHeight="true" outlineLevel="0" collapsed="false">
      <c r="B106" s="41" t="s">
        <v>286</v>
      </c>
      <c r="D106" s="41" t="s">
        <v>287</v>
      </c>
    </row>
    <row r="107" customFormat="false" ht="14.25" hidden="false" customHeight="true" outlineLevel="0" collapsed="false">
      <c r="B107" s="41" t="s">
        <v>288</v>
      </c>
      <c r="D107" s="41" t="s">
        <v>289</v>
      </c>
    </row>
    <row r="108" customFormat="false" ht="14.25" hidden="false" customHeight="true" outlineLevel="0" collapsed="false">
      <c r="B108" s="41" t="s">
        <v>290</v>
      </c>
      <c r="D108" s="41" t="s">
        <v>291</v>
      </c>
    </row>
    <row r="109" customFormat="false" ht="13.5" hidden="false" customHeight="true" outlineLevel="0" collapsed="false">
      <c r="B109" s="41" t="s">
        <v>292</v>
      </c>
      <c r="D109" s="41"/>
    </row>
    <row r="110" customFormat="false" ht="13.5" hidden="false" customHeight="true" outlineLevel="0" collapsed="false">
      <c r="B110" s="41" t="s">
        <v>293</v>
      </c>
      <c r="D110" s="40" t="s">
        <v>294</v>
      </c>
    </row>
    <row r="111" customFormat="false" ht="13.5" hidden="false" customHeight="true" outlineLevel="0" collapsed="false">
      <c r="B111" s="41"/>
      <c r="D111" s="41" t="s">
        <v>295</v>
      </c>
    </row>
    <row r="112" customFormat="false" ht="14.25" hidden="false" customHeight="true" outlineLevel="0" collapsed="false">
      <c r="B112" s="40" t="s">
        <v>296</v>
      </c>
      <c r="D112" s="41" t="s">
        <v>297</v>
      </c>
    </row>
    <row r="113" customFormat="false" ht="14.25" hidden="false" customHeight="true" outlineLevel="0" collapsed="false">
      <c r="B113" s="41" t="s">
        <v>298</v>
      </c>
      <c r="D113" s="41" t="s">
        <v>299</v>
      </c>
    </row>
    <row r="114" customFormat="false" ht="14.25" hidden="false" customHeight="true" outlineLevel="0" collapsed="false">
      <c r="B114" s="41" t="s">
        <v>300</v>
      </c>
      <c r="D114" s="41" t="s">
        <v>301</v>
      </c>
    </row>
    <row r="115" customFormat="false" ht="14.25" hidden="false" customHeight="true" outlineLevel="0" collapsed="false">
      <c r="B115" s="41" t="s">
        <v>302</v>
      </c>
      <c r="D115" s="41" t="s">
        <v>303</v>
      </c>
    </row>
    <row r="116" customFormat="false" ht="14.25" hidden="false" customHeight="true" outlineLevel="0" collapsed="false">
      <c r="B116" s="41" t="s">
        <v>304</v>
      </c>
    </row>
    <row r="117" customFormat="false" ht="14.25" hidden="false" customHeight="true" outlineLevel="0" collapsed="false">
      <c r="B117" s="41" t="s">
        <v>305</v>
      </c>
      <c r="D117" s="40" t="s">
        <v>306</v>
      </c>
    </row>
    <row r="118" customFormat="false" ht="14.25" hidden="false" customHeight="true" outlineLevel="0" collapsed="false">
      <c r="B118" s="41" t="s">
        <v>307</v>
      </c>
      <c r="D118" s="41" t="s">
        <v>308</v>
      </c>
    </row>
    <row r="119" customFormat="false" ht="14.25" hidden="false" customHeight="true" outlineLevel="0" collapsed="false">
      <c r="B119" s="41" t="s">
        <v>309</v>
      </c>
      <c r="D119" s="41" t="s">
        <v>310</v>
      </c>
    </row>
    <row r="120" customFormat="false" ht="14.25" hidden="false" customHeight="true" outlineLevel="0" collapsed="false">
      <c r="B120" s="41"/>
      <c r="D120" s="41"/>
    </row>
    <row r="121" customFormat="false" ht="14.25" hidden="false" customHeight="true" outlineLevel="0" collapsed="false">
      <c r="B121" s="40" t="s">
        <v>311</v>
      </c>
      <c r="D121" s="40" t="s">
        <v>312</v>
      </c>
    </row>
    <row r="122" customFormat="false" ht="14.25" hidden="false" customHeight="true" outlineLevel="0" collapsed="false">
      <c r="B122" s="41" t="s">
        <v>313</v>
      </c>
      <c r="D122" s="41" t="s">
        <v>314</v>
      </c>
    </row>
    <row r="123" customFormat="false" ht="14.25" hidden="false" customHeight="true" outlineLevel="0" collapsed="false">
      <c r="B123" s="41" t="s">
        <v>315</v>
      </c>
      <c r="D123" s="41" t="s">
        <v>316</v>
      </c>
    </row>
    <row r="124" customFormat="false" ht="14.25" hidden="false" customHeight="true" outlineLevel="0" collapsed="false">
      <c r="B124" s="41" t="s">
        <v>317</v>
      </c>
      <c r="D124" s="47" t="s">
        <v>318</v>
      </c>
    </row>
    <row r="125" customFormat="false" ht="14.25" hidden="false" customHeight="true" outlineLevel="0" collapsed="false">
      <c r="B125" s="43" t="s">
        <v>319</v>
      </c>
      <c r="D125" s="41"/>
    </row>
    <row r="126" customFormat="false" ht="14.25" hidden="false" customHeight="true" outlineLevel="0" collapsed="false">
      <c r="B126" s="41"/>
      <c r="D126" s="40" t="s">
        <v>320</v>
      </c>
    </row>
    <row r="127" customFormat="false" ht="14.25" hidden="false" customHeight="true" outlineLevel="0" collapsed="false">
      <c r="B127" s="40" t="s">
        <v>321</v>
      </c>
      <c r="D127" s="41" t="s">
        <v>322</v>
      </c>
    </row>
    <row r="128" customFormat="false" ht="14.25" hidden="false" customHeight="true" outlineLevel="0" collapsed="false">
      <c r="B128" s="41" t="s">
        <v>323</v>
      </c>
      <c r="D128" s="41" t="s">
        <v>324</v>
      </c>
    </row>
    <row r="129" customFormat="false" ht="14.25" hidden="false" customHeight="true" outlineLevel="0" collapsed="false">
      <c r="B129" s="41" t="s">
        <v>325</v>
      </c>
      <c r="D129" s="41" t="s">
        <v>326</v>
      </c>
    </row>
    <row r="130" customFormat="false" ht="14.25" hidden="false" customHeight="true" outlineLevel="0" collapsed="false">
      <c r="B130" s="41" t="s">
        <v>327</v>
      </c>
      <c r="D130" s="41" t="s">
        <v>328</v>
      </c>
    </row>
    <row r="131" customFormat="false" ht="14.25" hidden="false" customHeight="true" outlineLevel="0" collapsed="false">
      <c r="B131" s="41" t="s">
        <v>329</v>
      </c>
    </row>
    <row r="132" customFormat="false" ht="14.25" hidden="false" customHeight="true" outlineLevel="0" collapsed="false">
      <c r="B132" s="41" t="s">
        <v>330</v>
      </c>
      <c r="D132" s="40" t="s">
        <v>331</v>
      </c>
    </row>
    <row r="133" customFormat="false" ht="14.25" hidden="false" customHeight="true" outlineLevel="0" collapsed="false">
      <c r="D133" s="41" t="s">
        <v>332</v>
      </c>
    </row>
    <row r="134" customFormat="false" ht="14.25" hidden="false" customHeight="true" outlineLevel="0" collapsed="false">
      <c r="B134" s="40" t="s">
        <v>333</v>
      </c>
      <c r="D134" s="41" t="s">
        <v>334</v>
      </c>
    </row>
    <row r="135" customFormat="false" ht="14.25" hidden="false" customHeight="true" outlineLevel="0" collapsed="false">
      <c r="B135" s="41" t="s">
        <v>335</v>
      </c>
    </row>
    <row r="136" customFormat="false" ht="14.25" hidden="false" customHeight="true" outlineLevel="0" collapsed="false">
      <c r="B136" s="41" t="s">
        <v>336</v>
      </c>
      <c r="D136" s="40" t="s">
        <v>337</v>
      </c>
    </row>
    <row r="137" customFormat="false" ht="14.25" hidden="false" customHeight="true" outlineLevel="0" collapsed="false">
      <c r="B137" s="41" t="s">
        <v>338</v>
      </c>
      <c r="D137" s="41" t="s">
        <v>339</v>
      </c>
    </row>
    <row r="138" customFormat="false" ht="14.25" hidden="false" customHeight="true" outlineLevel="0" collapsed="false">
      <c r="B138" s="41" t="s">
        <v>340</v>
      </c>
      <c r="D138" s="41" t="s">
        <v>341</v>
      </c>
    </row>
    <row r="139" customFormat="false" ht="14.25" hidden="false" customHeight="true" outlineLevel="0" collapsed="false">
      <c r="B139" s="41"/>
      <c r="D139" s="41" t="s">
        <v>342</v>
      </c>
    </row>
    <row r="140" customFormat="false" ht="14.25" hidden="false" customHeight="true" outlineLevel="0" collapsed="false">
      <c r="B140" s="40" t="s">
        <v>343</v>
      </c>
      <c r="D140" s="41" t="s">
        <v>344</v>
      </c>
    </row>
    <row r="141" customFormat="false" ht="14.25" hidden="false" customHeight="true" outlineLevel="0" collapsed="false">
      <c r="B141" s="45" t="s">
        <v>345</v>
      </c>
      <c r="D141" s="41" t="s">
        <v>346</v>
      </c>
    </row>
    <row r="142" customFormat="false" ht="14.25" hidden="false" customHeight="true" outlineLevel="0" collapsed="false">
      <c r="B142" s="45" t="s">
        <v>347</v>
      </c>
      <c r="D142" s="41" t="s">
        <v>348</v>
      </c>
    </row>
    <row r="143" customFormat="false" ht="14.25" hidden="false" customHeight="true" outlineLevel="0" collapsed="false">
      <c r="B143" s="45" t="s">
        <v>349</v>
      </c>
    </row>
    <row r="144" customFormat="false" ht="14.25" hidden="false" customHeight="true" outlineLevel="0" collapsed="false">
      <c r="B144" s="46" t="s">
        <v>350</v>
      </c>
      <c r="D144" s="40" t="s">
        <v>351</v>
      </c>
    </row>
    <row r="145" customFormat="false" ht="14.25" hidden="false" customHeight="true" outlineLevel="0" collapsed="false">
      <c r="B145" s="45" t="s">
        <v>352</v>
      </c>
      <c r="D145" s="41" t="s">
        <v>353</v>
      </c>
    </row>
    <row r="146" customFormat="false" ht="14.25" hidden="false" customHeight="true" outlineLevel="0" collapsed="false">
      <c r="B146" s="45" t="s">
        <v>354</v>
      </c>
      <c r="D146" s="41" t="s">
        <v>355</v>
      </c>
    </row>
    <row r="147" customFormat="false" ht="14.25" hidden="false" customHeight="true" outlineLevel="0" collapsed="false">
      <c r="B147" s="46" t="s">
        <v>356</v>
      </c>
      <c r="D147" s="41" t="s">
        <v>357</v>
      </c>
    </row>
    <row r="148" customFormat="false" ht="14.25" hidden="false" customHeight="true" outlineLevel="0" collapsed="false">
      <c r="C148" s="49"/>
    </row>
    <row r="149" customFormat="false" ht="14.25" hidden="false" customHeight="true" outlineLevel="0" collapsed="false">
      <c r="C149" s="49"/>
    </row>
    <row r="150" customFormat="false" ht="14.25" hidden="false" customHeight="true" outlineLevel="0" collapsed="false">
      <c r="C150" s="49"/>
      <c r="D150" s="41"/>
    </row>
    <row r="151" customFormat="false" ht="14.25" hidden="false" customHeight="true" outlineLevel="0" collapsed="false">
      <c r="C151" s="49"/>
      <c r="D151" s="41"/>
    </row>
    <row r="152" customFormat="false" ht="14.25" hidden="false" customHeight="true" outlineLevel="0" collapsed="false">
      <c r="B152" s="50" t="s">
        <v>358</v>
      </c>
      <c r="C152" s="49"/>
      <c r="D152" s="41"/>
    </row>
    <row r="153" customFormat="false" ht="14.25" hidden="false" customHeight="true" outlineLevel="0" collapsed="false">
      <c r="B153" s="51" t="str">
        <f aca="false">"계약자             "&amp;계약서!C11&amp;"                       서명 또는 인"</f>
        <v>계약자             안종식                       서명 또는 인</v>
      </c>
      <c r="C153" s="49"/>
      <c r="D153" s="41"/>
    </row>
    <row r="154" customFormat="false" ht="14.25" hidden="false" customHeight="true" outlineLevel="0" collapsed="false">
      <c r="C154" s="49"/>
      <c r="D154" s="41"/>
    </row>
    <row r="155" customFormat="false" ht="13.5" hidden="false" customHeight="true" outlineLevel="0" collapsed="false">
      <c r="B155" s="41"/>
      <c r="C155" s="52"/>
      <c r="D155" s="41"/>
    </row>
    <row r="156" customFormat="false" ht="13.5" hidden="false" customHeight="true" outlineLevel="0" collapsed="false">
      <c r="C156" s="50"/>
      <c r="D156" s="50"/>
    </row>
    <row r="157" customFormat="false" ht="13.5" hidden="false" customHeight="true" outlineLevel="0" collapsed="false">
      <c r="C157" s="41"/>
      <c r="D157" s="51"/>
    </row>
    <row r="158" customFormat="false" ht="13.5" hidden="false" customHeight="true" outlineLevel="0" collapsed="false">
      <c r="B158" s="52"/>
      <c r="D158" s="53"/>
    </row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s="54" customFormat="true" ht="13.5" hidden="false" customHeight="true" outlineLevel="0" collapsed="false"/>
    <row r="167" customFormat="false" ht="13.5" hidden="false" customHeight="true" outlineLevel="0" collapsed="false">
      <c r="B167" s="41"/>
      <c r="C167" s="41"/>
      <c r="D167" s="41"/>
    </row>
    <row r="168" customFormat="false" ht="13.5" hidden="false" customHeight="true" outlineLevel="0" collapsed="false">
      <c r="B168" s="41"/>
      <c r="C168" s="41"/>
      <c r="D168" s="41"/>
    </row>
    <row r="169" customFormat="false" ht="13.5" hidden="false" customHeight="true" outlineLevel="0" collapsed="false">
      <c r="B169" s="41"/>
      <c r="C169" s="41"/>
      <c r="D169" s="41"/>
    </row>
    <row r="170" customFormat="false" ht="13.5" hidden="false" customHeight="true" outlineLevel="0" collapsed="false">
      <c r="B170" s="41"/>
      <c r="C170" s="41"/>
      <c r="D170" s="41"/>
    </row>
    <row r="171" customFormat="false" ht="13.5" hidden="false" customHeight="true" outlineLevel="0" collapsed="false">
      <c r="B171" s="41"/>
      <c r="C171" s="41"/>
      <c r="D171" s="41"/>
    </row>
    <row r="172" customFormat="false" ht="13.5" hidden="false" customHeight="true" outlineLevel="0" collapsed="false">
      <c r="B172" s="41"/>
      <c r="C172" s="41"/>
      <c r="D172" s="41"/>
    </row>
    <row r="173" customFormat="false" ht="13.5" hidden="false" customHeight="true" outlineLevel="0" collapsed="false">
      <c r="B173" s="41"/>
      <c r="C173" s="41"/>
      <c r="D173" s="41"/>
    </row>
    <row r="174" customFormat="false" ht="13.5" hidden="false" customHeight="true" outlineLevel="0" collapsed="false">
      <c r="B174" s="41"/>
      <c r="C174" s="41"/>
      <c r="D174" s="41"/>
    </row>
    <row r="175" customFormat="false" ht="13.5" hidden="false" customHeight="true" outlineLevel="0" collapsed="false">
      <c r="B175" s="41"/>
      <c r="C175" s="41"/>
      <c r="D175" s="41"/>
    </row>
    <row r="176" customFormat="false" ht="13.5" hidden="false" customHeight="true" outlineLevel="0" collapsed="false">
      <c r="B176" s="41"/>
      <c r="C176" s="41"/>
      <c r="D176" s="41"/>
    </row>
    <row r="177" customFormat="false" ht="13.5" hidden="false" customHeight="true" outlineLevel="0" collapsed="false">
      <c r="B177" s="41"/>
      <c r="C177" s="41"/>
      <c r="D177" s="41"/>
    </row>
    <row r="178" customFormat="false" ht="13.5" hidden="false" customHeight="true" outlineLevel="0" collapsed="false">
      <c r="B178" s="41"/>
      <c r="C178" s="41"/>
      <c r="D178" s="41"/>
    </row>
    <row r="179" customFormat="false" ht="13.5" hidden="false" customHeight="true" outlineLevel="0" collapsed="false">
      <c r="B179" s="41"/>
      <c r="C179" s="41"/>
      <c r="D179" s="41"/>
    </row>
    <row r="180" customFormat="false" ht="13.5" hidden="false" customHeight="true" outlineLevel="0" collapsed="false">
      <c r="B180" s="41"/>
      <c r="C180" s="41"/>
      <c r="D180" s="41"/>
    </row>
    <row r="181" customFormat="false" ht="13.5" hidden="false" customHeight="true" outlineLevel="0" collapsed="false">
      <c r="B181" s="41"/>
      <c r="C181" s="41"/>
      <c r="D181" s="41"/>
    </row>
    <row r="182" customFormat="false" ht="13.5" hidden="false" customHeight="true" outlineLevel="0" collapsed="false">
      <c r="B182" s="41"/>
      <c r="C182" s="41"/>
      <c r="D182" s="41"/>
    </row>
    <row r="183" customFormat="false" ht="13.5" hidden="false" customHeight="true" outlineLevel="0" collapsed="false">
      <c r="B183" s="41"/>
      <c r="C183" s="41"/>
      <c r="D183" s="41"/>
    </row>
    <row r="184" customFormat="false" ht="13.5" hidden="false" customHeight="true" outlineLevel="0" collapsed="false">
      <c r="B184" s="41"/>
      <c r="C184" s="41"/>
      <c r="D184" s="41"/>
    </row>
    <row r="185" customFormat="false" ht="13.5" hidden="false" customHeight="true" outlineLevel="0" collapsed="false">
      <c r="B185" s="41"/>
      <c r="C185" s="41"/>
      <c r="D185" s="41"/>
    </row>
    <row r="186" customFormat="false" ht="13.5" hidden="false" customHeight="true" outlineLevel="0" collapsed="false">
      <c r="B186" s="41"/>
      <c r="C186" s="41"/>
      <c r="D186" s="41"/>
    </row>
    <row r="187" customFormat="false" ht="13.5" hidden="false" customHeight="true" outlineLevel="0" collapsed="false">
      <c r="B187" s="41"/>
      <c r="C187" s="41"/>
      <c r="D187" s="41"/>
    </row>
    <row r="188" customFormat="false" ht="13.5" hidden="false" customHeight="true" outlineLevel="0" collapsed="false">
      <c r="B188" s="41"/>
      <c r="C188" s="41"/>
      <c r="D188" s="41"/>
    </row>
    <row r="189" customFormat="false" ht="13.5" hidden="false" customHeight="true" outlineLevel="0" collapsed="false">
      <c r="B189" s="41"/>
      <c r="C189" s="41"/>
      <c r="D189" s="41"/>
    </row>
    <row r="190" customFormat="false" ht="13.5" hidden="false" customHeight="true" outlineLevel="0" collapsed="false">
      <c r="B190" s="41"/>
      <c r="C190" s="41"/>
      <c r="D190" s="41"/>
    </row>
    <row r="191" customFormat="false" ht="13.5" hidden="false" customHeight="true" outlineLevel="0" collapsed="false">
      <c r="B191" s="41"/>
      <c r="C191" s="41"/>
      <c r="D191" s="41"/>
    </row>
    <row r="192" customFormat="false" ht="13.5" hidden="false" customHeight="true" outlineLevel="0" collapsed="false">
      <c r="B192" s="41"/>
      <c r="C192" s="41"/>
      <c r="D192" s="41"/>
    </row>
    <row r="193" customFormat="false" ht="13.5" hidden="false" customHeight="true" outlineLevel="0" collapsed="false">
      <c r="B193" s="41"/>
      <c r="C193" s="41"/>
      <c r="D193" s="41"/>
    </row>
    <row r="194" customFormat="false" ht="13.5" hidden="false" customHeight="true" outlineLevel="0" collapsed="false">
      <c r="B194" s="41"/>
      <c r="C194" s="41"/>
      <c r="D194" s="41"/>
    </row>
    <row r="195" customFormat="false" ht="13.5" hidden="false" customHeight="true" outlineLevel="0" collapsed="false">
      <c r="B195" s="41"/>
      <c r="C195" s="41"/>
      <c r="D195" s="41"/>
    </row>
    <row r="196" customFormat="false" ht="13.5" hidden="false" customHeight="true" outlineLevel="0" collapsed="false">
      <c r="B196" s="41"/>
      <c r="C196" s="41"/>
      <c r="D196" s="41"/>
    </row>
    <row r="197" customFormat="false" ht="13.5" hidden="false" customHeight="true" outlineLevel="0" collapsed="false">
      <c r="B197" s="41"/>
      <c r="C197" s="41"/>
      <c r="D197" s="41"/>
    </row>
    <row r="198" customFormat="false" ht="13.5" hidden="false" customHeight="true" outlineLevel="0" collapsed="false">
      <c r="B198" s="41"/>
      <c r="C198" s="41"/>
      <c r="D198" s="41"/>
    </row>
    <row r="199" customFormat="false" ht="13.5" hidden="false" customHeight="true" outlineLevel="0" collapsed="false">
      <c r="B199" s="41"/>
      <c r="C199" s="41"/>
      <c r="D199" s="41"/>
    </row>
    <row r="200" customFormat="false" ht="13.5" hidden="false" customHeight="true" outlineLevel="0" collapsed="false">
      <c r="B200" s="41"/>
      <c r="C200" s="41"/>
      <c r="D200" s="41"/>
    </row>
    <row r="201" customFormat="false" ht="13.5" hidden="false" customHeight="true" outlineLevel="0" collapsed="false">
      <c r="B201" s="41"/>
      <c r="C201" s="41"/>
      <c r="D201" s="41"/>
    </row>
    <row r="202" customFormat="false" ht="13.5" hidden="false" customHeight="true" outlineLevel="0" collapsed="false">
      <c r="B202" s="41"/>
      <c r="C202" s="41"/>
      <c r="D202" s="41"/>
    </row>
    <row r="203" customFormat="false" ht="13.5" hidden="false" customHeight="true" outlineLevel="0" collapsed="false">
      <c r="B203" s="41"/>
      <c r="C203" s="41"/>
      <c r="D203" s="41"/>
    </row>
    <row r="204" customFormat="false" ht="13.5" hidden="false" customHeight="true" outlineLevel="0" collapsed="false">
      <c r="B204" s="41"/>
      <c r="C204" s="41"/>
      <c r="D204" s="41"/>
    </row>
    <row r="205" customFormat="false" ht="14.25" hidden="false" customHeight="true" outlineLevel="0" collapsed="false">
      <c r="B205" s="41"/>
      <c r="C205" s="41"/>
      <c r="D205" s="41"/>
    </row>
    <row r="206" customFormat="false" ht="14.25" hidden="false" customHeight="true" outlineLevel="0" collapsed="false">
      <c r="B206" s="41"/>
      <c r="C206" s="41"/>
      <c r="D206" s="41"/>
    </row>
    <row r="207" customFormat="false" ht="21.75" hidden="false" customHeight="true" outlineLevel="0" collapsed="false">
      <c r="B207" s="41"/>
      <c r="C207" s="41"/>
      <c r="D207" s="41"/>
    </row>
    <row r="208" customFormat="false" ht="15.75" hidden="false" customHeight="true" outlineLevel="0" collapsed="false">
      <c r="B208" s="41"/>
      <c r="C208" s="41"/>
      <c r="D208" s="41"/>
    </row>
    <row r="209" customFormat="false" ht="15.75" hidden="false" customHeight="true" outlineLevel="0" collapsed="false">
      <c r="B209" s="41"/>
      <c r="C209" s="41"/>
      <c r="D209" s="41"/>
    </row>
    <row r="210" customFormat="false" ht="15.75" hidden="false" customHeight="true" outlineLevel="0" collapsed="false"/>
    <row r="211" customFormat="false" ht="15.75" hidden="false" customHeight="true" outlineLevel="0" collapsed="false"/>
    <row r="213" customFormat="false" ht="21.75" hidden="false" customHeight="true" outlineLevel="0" collapsed="false"/>
    <row r="214" customFormat="false" ht="48" hidden="false" customHeight="true" outlineLevel="0" collapsed="false">
      <c r="B214" s="41"/>
      <c r="C214" s="41"/>
      <c r="D214" s="41"/>
    </row>
    <row r="215" customFormat="false" ht="48" hidden="false" customHeight="true" outlineLevel="0" collapsed="false">
      <c r="B215" s="41"/>
      <c r="C215" s="41"/>
      <c r="D215" s="41"/>
    </row>
    <row r="216" customFormat="false" ht="48" hidden="false" customHeight="true" outlineLevel="0" collapsed="false">
      <c r="B216" s="41"/>
      <c r="D216" s="41"/>
    </row>
    <row r="217" customFormat="false" ht="31.5" hidden="false" customHeight="true" outlineLevel="0" collapsed="false">
      <c r="B217" s="41"/>
      <c r="D217" s="41"/>
    </row>
    <row r="218" customFormat="false" ht="31.5" hidden="false" customHeight="true" outlineLevel="0" collapsed="false">
      <c r="B218" s="41"/>
      <c r="D218" s="41"/>
    </row>
    <row r="219" customFormat="false" ht="31.5" hidden="false" customHeight="true" outlineLevel="0" collapsed="false">
      <c r="B219" s="41"/>
      <c r="D219" s="41"/>
    </row>
    <row r="220" customFormat="false" ht="31.5" hidden="false" customHeight="true" outlineLevel="0" collapsed="false">
      <c r="B220" s="41"/>
      <c r="D220" s="41"/>
    </row>
    <row r="221" customFormat="false" ht="15.75" hidden="false" customHeight="true" outlineLevel="0" collapsed="false">
      <c r="B221" s="41"/>
      <c r="D221" s="41"/>
    </row>
    <row r="222" customFormat="false" ht="14.25" hidden="false" customHeight="true" outlineLevel="0" collapsed="false">
      <c r="B222" s="41"/>
      <c r="D222" s="41"/>
    </row>
    <row r="223" customFormat="false" ht="14.25" hidden="false" customHeight="true" outlineLevel="0" collapsed="false">
      <c r="B223" s="41"/>
      <c r="D223" s="41"/>
    </row>
    <row r="224" customFormat="false" ht="21.75" hidden="false" customHeight="true" outlineLevel="0" collapsed="false">
      <c r="B224" s="41"/>
      <c r="D224" s="41"/>
    </row>
    <row r="225" customFormat="false" ht="31.5" hidden="false" customHeight="true" outlineLevel="0" collapsed="false">
      <c r="B225" s="41"/>
      <c r="D225" s="41"/>
    </row>
    <row r="226" customFormat="false" ht="14.25" hidden="false" customHeight="true" outlineLevel="0" collapsed="false">
      <c r="B226" s="41"/>
      <c r="D226" s="41"/>
    </row>
    <row r="227" customFormat="false" ht="14.25" hidden="false" customHeight="true" outlineLevel="0" collapsed="false">
      <c r="B227" s="41"/>
      <c r="D227" s="41"/>
    </row>
    <row r="228" customFormat="false" ht="14.25" hidden="false" customHeight="true" outlineLevel="0" collapsed="false">
      <c r="B228" s="41"/>
      <c r="D228" s="41"/>
    </row>
    <row r="229" customFormat="false" ht="14.25" hidden="false" customHeight="true" outlineLevel="0" collapsed="false">
      <c r="B229" s="41"/>
      <c r="D229" s="41"/>
    </row>
    <row r="230" customFormat="false" ht="14.25" hidden="false" customHeight="true" outlineLevel="0" collapsed="false">
      <c r="B230" s="41"/>
      <c r="D230" s="41"/>
    </row>
    <row r="231" customFormat="false" ht="14.25" hidden="false" customHeight="true" outlineLevel="0" collapsed="false">
      <c r="B231" s="41"/>
      <c r="D231" s="41"/>
    </row>
    <row r="232" customFormat="false" ht="14.25" hidden="false" customHeight="true" outlineLevel="0" collapsed="false">
      <c r="B232" s="41"/>
      <c r="C232" s="49"/>
    </row>
    <row r="233" customFormat="false" ht="14.25" hidden="false" customHeight="true" outlineLevel="0" collapsed="false">
      <c r="B233" s="41"/>
      <c r="C233" s="52"/>
    </row>
    <row r="234" customFormat="false" ht="14.25" hidden="false" customHeight="true" outlineLevel="0" collapsed="false">
      <c r="B234" s="41"/>
      <c r="D234" s="41"/>
    </row>
    <row r="235" customFormat="false" ht="14.25" hidden="false" customHeight="true" outlineLevel="0" collapsed="false">
      <c r="B235" s="52"/>
      <c r="D235" s="41"/>
    </row>
    <row r="236" customFormat="false" ht="14.25" hidden="false" customHeight="true" outlineLevel="0" collapsed="false">
      <c r="B236" s="52"/>
      <c r="D236" s="53"/>
    </row>
  </sheetData>
  <mergeCells count="1">
    <mergeCell ref="B1:D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6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3" activeCellId="0" sqref="B3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9.21"/>
    <col collapsed="false" customWidth="true" hidden="false" outlineLevel="0" max="3" min="3" style="1" width="19.79"/>
    <col collapsed="false" customWidth="true" hidden="false" outlineLevel="0" max="8" min="4" style="1" width="13"/>
    <col collapsed="false" customWidth="true" hidden="false" outlineLevel="0" max="9" min="9" style="1" width="6"/>
    <col collapsed="false" customWidth="true" hidden="false" outlineLevel="0" max="10" min="10" style="1" width="2"/>
  </cols>
  <sheetData>
    <row r="2" customFormat="false" ht="31.5" hidden="false" customHeight="true" outlineLevel="0" collapsed="false">
      <c r="B2" s="55" t="s">
        <v>359</v>
      </c>
      <c r="C2" s="55"/>
      <c r="D2" s="55"/>
      <c r="E2" s="55"/>
      <c r="F2" s="55"/>
      <c r="G2" s="55"/>
      <c r="H2" s="55"/>
      <c r="I2" s="55"/>
    </row>
    <row r="3" customFormat="false" ht="18" hidden="false" customHeight="true" outlineLevel="0" collapsed="false">
      <c r="B3" s="56" t="s">
        <v>360</v>
      </c>
      <c r="C3" s="56"/>
      <c r="D3" s="56"/>
      <c r="E3" s="56"/>
      <c r="F3" s="56"/>
      <c r="G3" s="56"/>
      <c r="H3" s="56"/>
      <c r="I3" s="56"/>
    </row>
    <row r="5" customFormat="false" ht="49.5" hidden="false" customHeight="true" outlineLevel="0" collapsed="false">
      <c r="B5" s="57" t="s">
        <v>361</v>
      </c>
      <c r="C5" s="57"/>
      <c r="D5" s="57"/>
      <c r="E5" s="57"/>
      <c r="F5" s="57"/>
      <c r="G5" s="57"/>
      <c r="H5" s="57"/>
      <c r="I5" s="57"/>
    </row>
    <row r="7" customFormat="false" ht="25.5" hidden="false" customHeight="true" outlineLevel="0" collapsed="false">
      <c r="B7" s="58" t="s">
        <v>362</v>
      </c>
      <c r="C7" s="58"/>
      <c r="D7" s="58"/>
      <c r="E7" s="58"/>
      <c r="F7" s="58"/>
      <c r="G7" s="58"/>
      <c r="H7" s="58"/>
      <c r="I7" s="58"/>
    </row>
    <row r="8" customFormat="false" ht="42" hidden="false" customHeight="true" outlineLevel="0" collapsed="false">
      <c r="B8" s="59" t="s">
        <v>363</v>
      </c>
      <c r="C8" s="59"/>
      <c r="D8" s="59"/>
      <c r="E8" s="59"/>
      <c r="F8" s="59"/>
      <c r="G8" s="59"/>
      <c r="H8" s="59"/>
      <c r="I8" s="59"/>
    </row>
    <row r="10" customFormat="false" ht="25.5" hidden="false" customHeight="true" outlineLevel="0" collapsed="false">
      <c r="B10" s="58" t="s">
        <v>364</v>
      </c>
      <c r="C10" s="58"/>
      <c r="D10" s="58"/>
      <c r="E10" s="58"/>
      <c r="F10" s="58"/>
      <c r="G10" s="58"/>
      <c r="H10" s="58"/>
      <c r="I10" s="58"/>
    </row>
    <row r="11" customFormat="false" ht="21.75" hidden="false" customHeight="true" outlineLevel="0" collapsed="false">
      <c r="B11" s="60" t="s">
        <v>365</v>
      </c>
      <c r="C11" s="60"/>
      <c r="D11" s="60"/>
      <c r="E11" s="60"/>
      <c r="F11" s="60"/>
      <c r="G11" s="60"/>
      <c r="H11" s="60"/>
      <c r="I11" s="60"/>
    </row>
    <row r="12" customFormat="false" ht="37.5" hidden="false" customHeight="true" outlineLevel="0" collapsed="false">
      <c r="B12" s="61" t="s">
        <v>366</v>
      </c>
      <c r="C12" s="62" t="s">
        <v>60</v>
      </c>
      <c r="D12" s="63" t="s">
        <v>367</v>
      </c>
      <c r="E12" s="63"/>
      <c r="F12" s="63"/>
      <c r="G12" s="63"/>
      <c r="H12" s="63"/>
      <c r="I12" s="63"/>
    </row>
    <row r="13" customFormat="false" ht="37.5" hidden="false" customHeight="true" outlineLevel="0" collapsed="false">
      <c r="B13" s="61" t="s">
        <v>368</v>
      </c>
      <c r="C13" s="62" t="s">
        <v>369</v>
      </c>
      <c r="D13" s="63" t="s">
        <v>370</v>
      </c>
      <c r="E13" s="63"/>
      <c r="F13" s="63"/>
      <c r="G13" s="63"/>
      <c r="H13" s="63"/>
      <c r="I13" s="63"/>
    </row>
    <row r="14" customFormat="false" ht="37.5" hidden="false" customHeight="true" outlineLevel="0" collapsed="false">
      <c r="B14" s="61" t="s">
        <v>371</v>
      </c>
      <c r="C14" s="62" t="s">
        <v>64</v>
      </c>
      <c r="D14" s="63" t="s">
        <v>372</v>
      </c>
      <c r="E14" s="63"/>
      <c r="F14" s="63"/>
      <c r="G14" s="63"/>
      <c r="H14" s="63"/>
      <c r="I14" s="63"/>
    </row>
    <row r="15" customFormat="false" ht="37.5" hidden="false" customHeight="true" outlineLevel="0" collapsed="false">
      <c r="B15" s="61" t="s">
        <v>373</v>
      </c>
      <c r="C15" s="64" t="s">
        <v>374</v>
      </c>
      <c r="D15" s="63" t="s">
        <v>375</v>
      </c>
      <c r="E15" s="63"/>
      <c r="F15" s="63"/>
      <c r="G15" s="63"/>
      <c r="H15" s="63"/>
      <c r="I15" s="63"/>
    </row>
    <row r="16" customFormat="false" ht="37.5" hidden="false" customHeight="true" outlineLevel="0" collapsed="false">
      <c r="B16" s="61" t="s">
        <v>376</v>
      </c>
      <c r="C16" s="62" t="s">
        <v>377</v>
      </c>
      <c r="D16" s="63" t="s">
        <v>378</v>
      </c>
      <c r="E16" s="63"/>
      <c r="F16" s="63"/>
      <c r="G16" s="63"/>
      <c r="H16" s="63"/>
      <c r="I16" s="63"/>
    </row>
    <row r="17" customFormat="false" ht="37.5" hidden="false" customHeight="true" outlineLevel="0" collapsed="false">
      <c r="B17" s="61" t="s">
        <v>379</v>
      </c>
      <c r="C17" s="62" t="s">
        <v>380</v>
      </c>
      <c r="D17" s="63" t="s">
        <v>381</v>
      </c>
      <c r="E17" s="63"/>
      <c r="F17" s="63"/>
      <c r="G17" s="63"/>
      <c r="H17" s="63"/>
      <c r="I17" s="63"/>
    </row>
    <row r="18" customFormat="false" ht="37.5" hidden="false" customHeight="true" outlineLevel="0" collapsed="false">
      <c r="B18" s="61" t="s">
        <v>382</v>
      </c>
      <c r="C18" s="62" t="s">
        <v>383</v>
      </c>
      <c r="D18" s="63" t="s">
        <v>384</v>
      </c>
      <c r="E18" s="63"/>
      <c r="F18" s="63"/>
      <c r="G18" s="63"/>
      <c r="H18" s="63"/>
      <c r="I18" s="63"/>
    </row>
    <row r="19" customFormat="false" ht="43.5" hidden="false" customHeight="true" outlineLevel="0" collapsed="false">
      <c r="B19" s="58" t="s">
        <v>385</v>
      </c>
      <c r="C19" s="58"/>
      <c r="D19" s="58"/>
      <c r="E19" s="58"/>
      <c r="F19" s="58"/>
      <c r="G19" s="58"/>
      <c r="H19" s="58"/>
      <c r="I19" s="58"/>
    </row>
    <row r="20" customFormat="false" ht="178.5" hidden="false" customHeight="true" outlineLevel="0" collapsed="false">
      <c r="B20" s="65" t="s">
        <v>386</v>
      </c>
    </row>
    <row r="21" customFormat="false" ht="25.5" hidden="false" customHeight="true" outlineLevel="0" collapsed="false">
      <c r="B21" s="66"/>
      <c r="C21" s="66"/>
      <c r="D21" s="66"/>
      <c r="E21" s="66"/>
      <c r="F21" s="66"/>
      <c r="G21" s="66"/>
      <c r="H21" s="66"/>
      <c r="I21" s="66"/>
    </row>
    <row r="22" customFormat="false" ht="31.5" hidden="false" customHeight="true" outlineLevel="0" collapsed="false">
      <c r="B22" s="58" t="s">
        <v>387</v>
      </c>
      <c r="C22" s="58"/>
      <c r="D22" s="58"/>
      <c r="E22" s="58"/>
      <c r="F22" s="58"/>
      <c r="G22" s="58"/>
      <c r="H22" s="58"/>
      <c r="I22" s="58"/>
    </row>
    <row r="23" customFormat="false" ht="30" hidden="false" customHeight="true" outlineLevel="0" collapsed="false">
      <c r="B23" s="65" t="s">
        <v>388</v>
      </c>
      <c r="D23" s="66"/>
      <c r="E23" s="66"/>
      <c r="F23" s="66"/>
      <c r="G23" s="66"/>
      <c r="H23" s="66"/>
      <c r="I23" s="66"/>
    </row>
    <row r="24" customFormat="false" ht="30" hidden="false" customHeight="true" outlineLevel="0" collapsed="false">
      <c r="B24" s="61" t="s">
        <v>366</v>
      </c>
      <c r="C24" s="62" t="s">
        <v>389</v>
      </c>
      <c r="D24" s="63" t="s">
        <v>390</v>
      </c>
      <c r="E24" s="63"/>
      <c r="F24" s="63"/>
      <c r="G24" s="63"/>
      <c r="H24" s="63"/>
      <c r="I24" s="63"/>
    </row>
    <row r="25" customFormat="false" ht="30" hidden="false" customHeight="true" outlineLevel="0" collapsed="false">
      <c r="B25" s="61" t="s">
        <v>368</v>
      </c>
      <c r="C25" s="62" t="s">
        <v>391</v>
      </c>
      <c r="D25" s="63" t="s">
        <v>392</v>
      </c>
      <c r="E25" s="63"/>
      <c r="F25" s="63"/>
      <c r="G25" s="63"/>
      <c r="H25" s="63"/>
      <c r="I25" s="63"/>
    </row>
    <row r="26" customFormat="false" ht="30" hidden="false" customHeight="true" outlineLevel="0" collapsed="false">
      <c r="B26" s="61" t="s">
        <v>371</v>
      </c>
      <c r="C26" s="62" t="s">
        <v>393</v>
      </c>
      <c r="D26" s="63" t="s">
        <v>394</v>
      </c>
      <c r="E26" s="63"/>
      <c r="F26" s="63"/>
      <c r="G26" s="63"/>
      <c r="H26" s="63"/>
      <c r="I26" s="63"/>
    </row>
    <row r="27" customFormat="false" ht="30" hidden="false" customHeight="true" outlineLevel="0" collapsed="false">
      <c r="B27" s="61" t="s">
        <v>373</v>
      </c>
      <c r="C27" s="62" t="s">
        <v>395</v>
      </c>
      <c r="D27" s="63" t="s">
        <v>396</v>
      </c>
      <c r="E27" s="63"/>
      <c r="F27" s="63"/>
      <c r="G27" s="63"/>
      <c r="H27" s="63"/>
      <c r="I27" s="63"/>
    </row>
    <row r="28" customFormat="false" ht="30" hidden="false" customHeight="true" outlineLevel="0" collapsed="false">
      <c r="B28" s="61" t="s">
        <v>376</v>
      </c>
      <c r="C28" s="62" t="s">
        <v>397</v>
      </c>
      <c r="D28" s="63" t="s">
        <v>398</v>
      </c>
      <c r="E28" s="63"/>
      <c r="F28" s="63"/>
      <c r="G28" s="63"/>
      <c r="H28" s="63"/>
      <c r="I28" s="63"/>
    </row>
    <row r="29" customFormat="false" ht="30" hidden="false" customHeight="true" outlineLevel="0" collapsed="false">
      <c r="B29" s="61" t="s">
        <v>379</v>
      </c>
      <c r="C29" s="62" t="s">
        <v>399</v>
      </c>
      <c r="D29" s="63" t="s">
        <v>400</v>
      </c>
      <c r="E29" s="63"/>
      <c r="F29" s="63"/>
      <c r="G29" s="63"/>
      <c r="H29" s="63"/>
      <c r="I29" s="63"/>
    </row>
    <row r="30" customFormat="false" ht="32.25" hidden="false" customHeight="true" outlineLevel="0" collapsed="false"/>
    <row r="31" customFormat="false" ht="7.5" hidden="false" customHeight="true" outlineLevel="0" collapsed="false">
      <c r="B31" s="67"/>
      <c r="C31" s="68"/>
      <c r="D31" s="68"/>
      <c r="E31" s="68"/>
      <c r="F31" s="68"/>
      <c r="G31" s="68"/>
      <c r="H31" s="68"/>
      <c r="I31" s="68"/>
    </row>
    <row r="32" customFormat="false" ht="36" hidden="false" customHeight="true" outlineLevel="0" collapsed="false">
      <c r="B32" s="69" t="s">
        <v>401</v>
      </c>
      <c r="C32" s="69"/>
      <c r="D32" s="69"/>
      <c r="E32" s="69"/>
      <c r="F32" s="69"/>
      <c r="G32" s="69"/>
      <c r="H32" s="69"/>
      <c r="I32" s="69"/>
    </row>
    <row r="33" customFormat="false" ht="74.25" hidden="false" customHeight="true" outlineLevel="0" collapsed="false"/>
    <row r="34" customFormat="false" ht="42" hidden="false" customHeight="true" outlineLevel="0" collapsed="false">
      <c r="B34" s="70" t="s">
        <v>91</v>
      </c>
      <c r="C34" s="71" t="e">
        <f aca="false">[1]계약서!c11</f>
        <v>#NAME?</v>
      </c>
      <c r="D34" s="71"/>
      <c r="E34" s="71"/>
      <c r="F34" s="71"/>
      <c r="G34" s="71"/>
      <c r="H34" s="71"/>
      <c r="I34" s="72" t="s">
        <v>402</v>
      </c>
    </row>
    <row r="35" customFormat="false" ht="14.25" hidden="false" customHeight="true" outlineLevel="0" collapsed="false"/>
    <row r="36" customFormat="false" ht="42" hidden="false" customHeight="true" outlineLevel="0" collapsed="false">
      <c r="B36" s="70" t="s">
        <v>93</v>
      </c>
      <c r="C36" s="73" t="s">
        <v>35</v>
      </c>
      <c r="D36" s="73"/>
      <c r="E36" s="73"/>
      <c r="F36" s="73"/>
      <c r="G36" s="73"/>
      <c r="H36" s="73"/>
      <c r="I36" s="72" t="s">
        <v>402</v>
      </c>
    </row>
    <row r="37" customFormat="false" ht="14.25" hidden="false" customHeight="true" outlineLevel="0" collapsed="false"/>
  </sheetData>
  <mergeCells count="27">
    <mergeCell ref="B2:I2"/>
    <mergeCell ref="B3:I3"/>
    <mergeCell ref="B5:I5"/>
    <mergeCell ref="B7:I7"/>
    <mergeCell ref="B8:I8"/>
    <mergeCell ref="B10:I10"/>
    <mergeCell ref="B11:I11"/>
    <mergeCell ref="D12:I12"/>
    <mergeCell ref="D13:I13"/>
    <mergeCell ref="D14:I14"/>
    <mergeCell ref="D15:I15"/>
    <mergeCell ref="D16:I16"/>
    <mergeCell ref="D17:I17"/>
    <mergeCell ref="D18:I18"/>
    <mergeCell ref="B19:I19"/>
    <mergeCell ref="B21:I21"/>
    <mergeCell ref="B22:I22"/>
    <mergeCell ref="D23:I23"/>
    <mergeCell ref="D24:I24"/>
    <mergeCell ref="D25:I25"/>
    <mergeCell ref="D26:I26"/>
    <mergeCell ref="D27:I27"/>
    <mergeCell ref="D28:I28"/>
    <mergeCell ref="D29:I29"/>
    <mergeCell ref="B32:I32"/>
    <mergeCell ref="C34:H34"/>
    <mergeCell ref="C36:H36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2026-04-27T06:03:32Z</dcterms:created>
  <dc:creator>openpyxl</dc:creator>
  <dc:description/>
  <dc:language>en-US</dc:language>
  <cp:lastModifiedBy>유주 박</cp:lastModifiedBy>
  <cp:lastPrinted>2026-05-11T07:37:38Z</cp:lastPrinted>
  <dcterms:modified xsi:type="dcterms:W3CDTF">2026-05-11T09:35:44Z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