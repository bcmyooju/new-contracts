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계약리스트" sheetId="1" state="visible" r:id="rId3"/>
    <sheet name="계약서" sheetId="2" state="visible" r:id="rId4"/>
    <sheet name="이용약관" sheetId="3" state="visible" r:id="rId5"/>
  </sheets>
  <definedNames>
    <definedName function="false" hidden="false" localSheetId="1" name="_xlnm.Print_Area" vbProcedure="false">계약서!$A$1:$K$50</definedName>
    <definedName function="false" hidden="false" localSheetId="2" name="_xlnm.Print_Area" vbProcedure="false">이용약관!$A$1:$D$138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<sst xmlns="http://schemas.openxmlformats.org/spreadsheetml/2006/main" count="374" uniqueCount="354">
  <si>
    <t xml:space="preserve">계약번호</t>
  </si>
  <si>
    <t xml:space="preserve">계약일자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</si>
  <si>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</si>
  <si>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</si>
  <si>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</si>
  <si>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</si>
  <si>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일사용료</t>
  </si>
  <si>
    <t xml:space="preserve">사용일수</t>
  </si>
  <si>
    <t xml:space="preserve">보증금</t>
  </si>
  <si>
    <t xml:space="preserve">라이더명</t>
  </si>
  <si>
    <t xml:space="preserve">라이더 주민번호</t>
  </si>
  <si>
    <t xml:space="preserve">라이더 연락처</t>
  </si>
  <si>
    <t xml:space="preserve">라이더 이메일</t>
  </si>
  <si>
    <t xml:space="preserve">라이더 주소</t>
  </si>
  <si>
    <t xml:space="preserve">라이더 본인명의 은행</t>
  </si>
  <si>
    <t xml:space="preserve">라이더 본인명의 계좌번호</t>
  </si>
  <si>
    <r>
      <rPr>
        <b val="true"/>
        <sz val="9"/>
        <color rgb="FFFFFFFF"/>
        <rFont val="DejaVu Sans"/>
        <family val="2"/>
      </rPr>
      <t xml:space="preserve">라이더 업종</t>
    </r>
    <r>
      <rPr>
        <b val="true"/>
        <sz val="9"/>
        <color rgb="FFFFFFFF"/>
        <rFont val="DejaVu Sans"/>
        <family val="2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담당업무</t>
    </r>
  </si>
  <si>
    <t xml:space="preserve">사업장 업체명</t>
  </si>
  <si>
    <t xml:space="preserve">사업장 사업자번호</t>
  </si>
  <si>
    <t xml:space="preserve">사업장 대표자명</t>
  </si>
  <si>
    <t xml:space="preserve">사업장 대표자 주민번호</t>
  </si>
  <si>
    <t xml:space="preserve">사업장 대표자 연락처</t>
  </si>
  <si>
    <t xml:space="preserve">사업장 주소</t>
  </si>
  <si>
    <t xml:space="preserve">사업장 대표자 주소</t>
  </si>
  <si>
    <t xml:space="preserve">사업장 이메일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</si>
  <si>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</si>
  <si>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</si>
  <si>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</si>
  <si>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</si>
  <si>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</si>
  <si>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2026-04-23</t>
  </si>
  <si>
    <t xml:space="preserve">PCX125</t>
  </si>
  <si>
    <t xml:space="preserve">MLHJF81H2ST000001</t>
  </si>
  <si>
    <r>
      <rPr>
        <sz val="10"/>
        <color rgb="FF000000"/>
        <rFont val="DejaVu Sans"/>
        <family val="2"/>
      </rPr>
      <t xml:space="preserve">서울바</t>
    </r>
    <r>
      <rPr>
        <sz val="10"/>
        <color rgb="FF000000"/>
        <rFont val="DejaVu Sans"/>
        <family val="2"/>
        <charset val="1"/>
      </rPr>
      <t xml:space="preserve">1234</t>
    </r>
  </si>
  <si>
    <t xml:space="preserve">블랙</t>
  </si>
  <si>
    <t xml:space="preserve">홍길동</t>
  </si>
  <si>
    <t xml:space="preserve">900101-1234567</t>
  </si>
  <si>
    <t xml:space="preserve">010-1234-5678</t>
  </si>
  <si>
    <t xml:space="preserve"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</si>
  <si>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 xml:space="preserve">123</t>
    </r>
  </si>
  <si>
    <t xml:space="preserve">국민은행</t>
  </si>
  <si>
    <t xml:space="preserve">123456-78-901234</t>
  </si>
  <si>
    <t xml:space="preserve">배달 라이더</t>
  </si>
  <si>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주</t>
    </r>
    <r>
      <rPr>
        <sz val="10"/>
        <color rgb="FF000000"/>
        <rFont val="맑은 고딕"/>
        <family val="3"/>
        <charset val="129"/>
      </rPr>
      <t xml:space="preserve">)</t>
    </r>
    <r>
      <rPr>
        <sz val="10"/>
        <color rgb="FF000000"/>
        <rFont val="DejaVu Sans"/>
        <family val="2"/>
      </rPr>
      <t xml:space="preserve">퀵배달</t>
    </r>
  </si>
  <si>
    <t xml:space="preserve">123-45-67890</t>
  </si>
  <si>
    <t xml:space="preserve">김대표</t>
  </si>
  <si>
    <t xml:space="preserve">700101-1234567</t>
  </si>
  <si>
    <t xml:space="preserve"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</si>
  <si>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 xml:space="preserve"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</si>
  <si>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 xml:space="preserve">200</t>
    </r>
  </si>
  <si>
    <t xml:space="preserve">biz@example.com</t>
  </si>
  <si>
    <t xml:space="preserve">할부 판매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</si>
  <si>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</si>
  <si>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</si>
  <si>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929-028519-04-010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</si>
  <si>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</si>
  <si>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</si>
  <si>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할부판매 계약서</t>
  </si>
  <si>
    <t xml:space="preserve">한국모터사이클리스 유한회사</t>
  </si>
  <si>
    <t xml:space="preserve">■ 차량 정보</t>
  </si>
  <si>
    <t xml:space="preserve">정비여부</t>
  </si>
  <si>
    <t xml:space="preserve">미포함</t>
  </si>
  <si>
    <t xml:space="preserve">■ 계약자</t>
  </si>
  <si>
    <t xml:space="preserve">성명</t>
  </si>
  <si>
    <t xml:space="preserve">주민등록번호</t>
  </si>
  <si>
    <t xml:space="preserve">연락처</t>
  </si>
  <si>
    <t xml:space="preserve">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</si>
  <si>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3"/>
        <charset val="129"/>
      </rPr>
      <t xml:space="preserve">: </t>
    </r>
    <r>
      <rPr>
        <i val="true"/>
        <sz val="8"/>
        <color rgb="FF595959"/>
        <rFont val="DejaVu Sans"/>
        <family val="2"/>
      </rPr>
      <t xml:space="preserve">라이더 신분증 사본</t>
    </r>
  </si>
  <si>
    <t xml:space="preserve">■ 연대보증인</t>
  </si>
  <si>
    <t xml:space="preserve">업체명</t>
  </si>
  <si>
    <t xml:space="preserve">사업자번호</t>
  </si>
  <si>
    <t xml:space="preserve">이메일</t>
  </si>
  <si>
    <t xml:space="preserve">대표자명</t>
  </si>
  <si>
    <t xml:space="preserve">대표자
주민번호</t>
  </si>
  <si>
    <t xml:space="preserve">대표자
연락처</t>
  </si>
  <si>
    <t xml:space="preserve">업체 주소</t>
  </si>
  <si>
    <t xml:space="preserve">대표자
주소</t>
  </si>
  <si>
    <t xml:space="preserve">■ 계약 조건</t>
  </si>
  <si>
    <t xml:space="preserve">할부판매
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</si>
  <si>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</si>
  <si>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</si>
  <si>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차량 인도일부터</t>
  </si>
  <si>
    <r>
      <rPr>
        <b val="true"/>
        <sz val="11"/>
        <color rgb="FFFFFFFF"/>
        <rFont val="DejaVu Sans"/>
        <family val="2"/>
      </rPr>
      <t xml:space="preserve">■ 회사 정보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공급자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</si>
  <si>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상호</t>
  </si>
  <si>
    <t xml:space="preserve">104-86-62883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</si>
  <si>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</si>
  <si>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</si>
  <si>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맑은 고딕"/>
        <family val="3"/>
        <charset val="129"/>
      </rPr>
      <t xml:space="preserve">188, 201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3"/>
        <charset val="129"/>
      </rPr>
      <t xml:space="preserve">, 211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3"/>
        <charset val="129"/>
      </rPr>
      <t xml:space="preserve">-</t>
    </r>
    <r>
      <rPr>
        <sz val="10"/>
        <color rgb="FF000000"/>
        <rFont val="DejaVu Sans"/>
        <family val="2"/>
      </rPr>
      <t xml:space="preserve">에이</t>
    </r>
    <r>
      <rPr>
        <sz val="10"/>
        <color rgb="FF000000"/>
        <rFont val="맑은 고딕"/>
        <family val="3"/>
        <charset val="129"/>
      </rPr>
      <t xml:space="preserve">66</t>
    </r>
    <r>
      <rPr>
        <sz val="10"/>
        <color rgb="FF000000"/>
        <rFont val="DejaVu Sans"/>
        <family val="2"/>
      </rPr>
      <t xml:space="preserve">호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</si>
  <si>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</si>
  <si>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</si>
  <si>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</si>
  <si>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 xml:space="preserve">본 계약에 따른 모든 대금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할부금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부대비용 등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수납 및 세금계산서 발행 업무는 포어스바이크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타 계좌 입금 시 입금 확인이 불가합니다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</si>
  <si>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위약금과는 별도로 회수비용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출장비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운송비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원상복구비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은 계약자가 부담합니다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</si>
  <si>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 xml:space="preserve"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 xml:space="preserve"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 xml:space="preserve"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 xml:space="preserve">등록비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번호판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보험료 등 회사가 이미 지출한 부대비용을 배상합니다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</si>
  <si>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 xml:space="preserve">배달통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슬라이더 등 무상 지원 비품은 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안내 장소로 반납하여야 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</si>
  <si>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 xml:space="preserve"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본 계약서에 기재된 연대보증인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사업장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사업자등록번호를 기준으로 발급됩니다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</si>
  <si>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</si>
  <si>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</si>
  <si>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통계 분석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</si>
  <si>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</si>
  <si>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</si>
  <si>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</si>
  <si>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</si>
  <si>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</si>
  <si>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수납기관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및 결제대행사</t>
    </r>
    <r>
      <rPr>
        <sz val="8"/>
        <color rgb="FF404040"/>
        <rFont val="DejaVu Sans"/>
        <family val="2"/>
        <charset val="1"/>
      </rPr>
      <t xml:space="preserve"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</si>
  <si>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</si>
  <si>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</si>
  <si>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</si>
  <si>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수납대행사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)(</t>
    </r>
    <r>
      <rPr>
        <sz val="8"/>
        <color rgb="FF404040"/>
        <rFont val="DejaVu Sans"/>
        <family val="2"/>
      </rPr>
      <t xml:space="preserve">대금 수납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세금계산서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</si>
  <si>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3"/>
        <charset val="129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3"/>
        <charset val="129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3"/>
        <charset val="129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3"/>
        <charset val="129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3"/>
        <charset val="129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3"/>
        <charset val="129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3"/>
        <charset val="129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</si>
  <si>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</si>
  <si>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할부판매 계약서와 별지 이용약관의 내용을 전부 설명 듣고 확인하였으며</t>
    </r>
    <r>
      <rPr>
        <sz val="9"/>
        <color rgb="FF000000"/>
        <rFont val="DejaVu Sans"/>
        <family val="3"/>
        <charset val="129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3"/>
        <charset val="129"/>
      </rPr>
      <t xml:space="preserve">·</t>
    </r>
    <r>
      <rPr>
        <sz val="9"/>
        <color rgb="FF000000"/>
        <rFont val="DejaVu Sans"/>
        <family val="2"/>
      </rPr>
      <t xml:space="preserve">의무와 제반 동의 사항에 이의 없이 동의합니다</t>
    </r>
    <r>
      <rPr>
        <sz val="9"/>
        <color rgb="FF000000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</si>
  <si>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계약자
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라이더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</si>
  <si>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</si>
  <si>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연대보증인
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사업장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</si>
  <si>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서명일</t>
  </si>
  <si>
    <t xml:space="preserve">공급자</t>
  </si>
  <si>
    <r>
      <rPr>
        <b val="true"/>
        <sz val="14"/>
        <color rgb="FFFFFFFF"/>
        <rFont val="맑은 고딕"/>
        <family val="3"/>
        <charset val="129"/>
      </rPr>
      <t xml:space="preserve">[</t>
    </r>
    <r>
      <rPr>
        <b val="true"/>
        <sz val="14"/>
        <color rgb="FFFFFFFF"/>
        <rFont val="DejaVu Sans"/>
        <family val="2"/>
      </rPr>
      <t xml:space="preserve">별지</t>
    </r>
    <r>
      <rPr>
        <b val="true"/>
        <sz val="14"/>
        <color rgb="FFFFFFFF"/>
        <rFont val="맑은 고딕"/>
        <family val="3"/>
        <charset val="129"/>
      </rPr>
      <t xml:space="preserve">] </t>
    </r>
    <r>
      <rPr>
        <b val="true"/>
        <sz val="14"/>
        <color rgb="FFFFFFFF"/>
        <rFont val="DejaVu Sans"/>
        <family val="2"/>
      </rPr>
      <t xml:space="preserve">이륜차 할부판매 계약 이용약관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</si>
  <si>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</si>
  <si>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전항의 유예기간 내 지급이 이루어지지 않을 경우 본 계약은 자동 해지되며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</si>
  <si>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3"/>
        <charset val="129"/>
      </rPr>
      <t xml:space="preserve">")</t>
    </r>
    <r>
      <rPr>
        <sz val="8"/>
        <color rgb="FF2B2B2B"/>
        <rFont val="DejaVu Sans"/>
        <family val="2"/>
      </rPr>
      <t xml:space="preserve">와 본 계약을 체결한 계약자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DejaVu Sans"/>
        <family val="3"/>
        <charset val="129"/>
      </rPr>
      <t xml:space="preserve">,</t>
    </r>
  </si>
  <si>
    <r>
      <rPr>
        <sz val="8"/>
        <color rgb="FF2B2B2B"/>
        <rFont val="DejaVu Sans"/>
        <family val="2"/>
      </rPr>
      <t xml:space="preserve">즉시 이륜차를 반환함과 동시에 </t>
    </r>
    <r>
      <rPr>
        <sz val="8"/>
        <color rgb="FF2B2B2B"/>
        <rFont val="DejaVu Sans"/>
        <family val="3"/>
        <charset val="129"/>
      </rPr>
      <t xml:space="preserve">(1) </t>
    </r>
    <r>
      <rPr>
        <sz val="8"/>
        <color rgb="FF2B2B2B"/>
        <rFont val="DejaVu Sans"/>
        <family val="2"/>
      </rPr>
      <t xml:space="preserve">인도일부터 반환일까지의 일할 사용료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 xml:space="preserve">이륜차의</t>
    </r>
  </si>
  <si>
    <r>
      <rPr>
        <sz val="8"/>
        <color rgb="FF2B2B2B"/>
        <rFont val="DejaVu Sans"/>
        <family val="2"/>
      </rPr>
      <t xml:space="preserve"> 이하 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DejaVu Sans"/>
        <family val="3"/>
        <charset val="129"/>
      </rPr>
      <t xml:space="preserve">") </t>
    </r>
    <r>
      <rPr>
        <sz val="8"/>
        <color rgb="FF2B2B2B"/>
        <rFont val="DejaVu Sans"/>
        <family val="2"/>
      </rPr>
      <t xml:space="preserve">간의 이륜차 할부판매에 관한 권리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</si>
  <si>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번호판 비용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보험료 등 회사가 이미 지출한 부대비용 일체를</t>
    </r>
  </si>
  <si>
    <r>
      <rPr>
        <sz val="8"/>
        <color rgb="FF2B2B2B"/>
        <rFont val="DejaVu Sans"/>
        <family val="2"/>
      </rPr>
      <t xml:space="preserve">회사에 배상하여야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</si>
  <si>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</si>
  <si>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③ 보증금은 계약기간 만료 및 계약자가 모든 채무를 이행한 경우 수납대행사를 통해 반환</t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</si>
  <si>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할부판매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요청한 기종의 이륜차를 회사가 판매하고 계약자가 그</t>
    </r>
  </si>
  <si>
    <r>
      <rPr>
        <sz val="8"/>
        <color rgb="FF2B2B2B"/>
        <rFont val="DejaVu Sans"/>
        <family val="2"/>
      </rPr>
      <t xml:space="preserve"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수리비 등이 확인될 수 있으므로 계약기간 만료일로부터 </t>
    </r>
    <r>
      <rPr>
        <sz val="8"/>
        <color rgb="FF2B2B2B"/>
        <rFont val="DejaVu Sans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개월이</t>
    </r>
  </si>
  <si>
    <r>
      <rPr>
        <sz val="8"/>
        <color rgb="FF2B2B2B"/>
        <rFont val="DejaVu Sans"/>
        <family val="2"/>
      </rPr>
      <t xml:space="preserve">대금을 일정 기간에 걸쳐 분할 지급하는 매매계약을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</si>
  <si>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경과한 이후에 반환한다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</si>
  <si>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본 계약서에 특정한 이륜차를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인도 시</t>
    </r>
  </si>
  <si>
    <r>
      <rPr>
        <sz val="8"/>
        <color rgb="FF2B2B2B"/>
        <rFont val="DejaVu Sans"/>
        <family val="2"/>
      </rPr>
      <t xml:space="preserve">④ 반환된 이륜차 상태에 따라 보증금에서 수리비를 공제하며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초과하면 </t>
    </r>
  </si>
  <si>
    <r>
      <rPr>
        <sz val="8"/>
        <color rgb="FF2B2B2B"/>
        <rFont val="DejaVu Sans"/>
        <family val="2"/>
      </rPr>
      <t xml:space="preserve">부착된 부속품 및 장착물을 포함한다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</si>
  <si>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계약자는 차액을 추가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</si>
  <si>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</si>
  <si>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⑤ 미납 과태료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</si>
  <si>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할부금 지급 및 본 계약상 채무이행을 담보하기 위해 계약자가 회사에</t>
    </r>
  </si>
  <si>
    <r>
      <rPr>
        <sz val="8"/>
        <color rgb="FF2B2B2B"/>
        <rFont val="DejaVu Sans"/>
        <family val="2"/>
      </rPr>
      <t xml:space="preserve">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</si>
  <si>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납부하는 금원을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계약기간 만료 시 계약자가 모든 채무를 이행 완료한 경우</t>
    </r>
  </si>
  <si>
    <t xml:space="preserve">⑥ 계약이 중도 해지된 경우 계약자는 어떠한 사유로도 납부한 보증금 및 계약금을 반환</t>
  </si>
  <si>
    <r>
      <rPr>
        <sz val="8"/>
        <color rgb="FF2B2B2B"/>
        <rFont val="DejaVu Sans"/>
        <family val="2"/>
      </rPr>
      <t xml:space="preserve">반환한다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</si>
  <si>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받을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</si>
  <si>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3"/>
        <charset val="129"/>
      </rPr>
      <t xml:space="preserve">)"</t>
    </r>
    <r>
      <rPr>
        <sz val="8"/>
        <color rgb="FF2B2B2B"/>
        <rFont val="DejaVu Sans"/>
        <family val="2"/>
      </rPr>
      <t xml:space="preserve">는 본 계약 제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3"/>
        <charset val="129"/>
      </rPr>
      <t xml:space="preserve">)"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</t>
    </r>
  </si>
  <si>
    <r>
      <rPr>
        <sz val="8"/>
        <color rgb="FF2B2B2B"/>
        <rFont val="DejaVu Sans"/>
        <family val="2"/>
      </rPr>
      <t xml:space="preserve">본 계약상 주채무자이다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</si>
  <si>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할부금 및 기타 지급금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</si>
  <si>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사업장</t>
    </r>
    <r>
      <rPr>
        <sz val="8"/>
        <color rgb="FF2B2B2B"/>
        <rFont val="맑은 고딕"/>
        <family val="3"/>
        <charset val="129"/>
      </rPr>
      <t xml:space="preserve">)"</t>
    </r>
    <r>
      <rPr>
        <sz val="8"/>
        <color rgb="FF2B2B2B"/>
        <rFont val="DejaVu Sans"/>
        <family val="2"/>
      </rPr>
      <t xml:space="preserve">은 본 계약 제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기재된 사업장 및 그 대표자를 말하며</t>
    </r>
    <r>
      <rPr>
        <sz val="8"/>
        <color rgb="FF2B2B2B"/>
        <rFont val="맑은 고딕"/>
        <family val="3"/>
        <charset val="129"/>
      </rPr>
      <t xml:space="preserve">,</t>
    </r>
  </si>
  <si>
    <t xml:space="preserve">① 계약자는 계약서에 기재된 할부금 및 운행 관련 제 비용을 공휴일과 무관하게 정해진</t>
  </si>
  <si>
    <r>
      <rPr>
        <sz val="8"/>
        <color rgb="FF2B2B2B"/>
        <rFont val="DejaVu Sans"/>
        <family val="2"/>
      </rPr>
      <t xml:space="preserve">계약자와 연대하여 본 계약상 채무를 부담함과 동시에 세금계산서 수취 대상을 겸한다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</si>
  <si>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결제일에 수납대행사 계좌로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</si>
  <si>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⑦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</t>
    </r>
  </si>
  <si>
    <r>
      <rPr>
        <sz val="8"/>
        <color rgb="FF2B2B2B"/>
        <rFont val="DejaVu Sans"/>
        <family val="2"/>
      </rPr>
      <t xml:space="preserve">② 결제방법이란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회사가 안내한 수납대행사 은행계좌로 한국은행 발행 통화를 지급하거나</t>
    </r>
  </si>
  <si>
    <r>
      <rPr>
        <sz val="8"/>
        <color rgb="FF2B2B2B"/>
        <rFont val="DejaVu Sans"/>
        <family val="2"/>
      </rPr>
      <t xml:space="preserve">하는 금액을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</si>
  <si>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 결제 수단을 통해 납부하는 것을 의미한다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</si>
  <si>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할부금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</t>
    </r>
  </si>
  <si>
    <r>
      <rPr>
        <sz val="8"/>
        <color rgb="FF2B2B2B"/>
        <rFont val="DejaVu Sans"/>
        <family val="2"/>
      </rPr>
      <t xml:space="preserve">③ 매도인의 가격 인상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 등 불가피한 사정으로 할부금이 변동될 경우 회사는 계약</t>
    </r>
  </si>
  <si>
    <r>
      <rPr>
        <sz val="8"/>
        <color rgb="FF2B2B2B"/>
        <rFont val="DejaVu Sans"/>
        <family val="2"/>
      </rPr>
      <t xml:space="preserve"> 추가 비용을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</si>
  <si>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자에게 개별 통지하며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이륜차 출고 이전까지 계약을 취소할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</si>
  <si>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맑은 고딕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</si>
  <si>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이륜차의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훼손으로 운행이 불가능한 사유가 발생하더라도 계약자는 할부금</t>
    </r>
  </si>
  <si>
    <r>
      <rPr>
        <sz val="8"/>
        <color rgb="FF2B2B2B"/>
        <rFont val="DejaVu Sans"/>
        <family val="2"/>
      </rPr>
      <t xml:space="preserve">지급의무를 거부할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</si>
  <si>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서류 제출 및 보완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</si>
  <si>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⑤ 납부주기 변경으로 할부금이 조정되는 경우 최초 계약 당시의 단가표 기준에 따라</t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</si>
  <si>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추후 보완 요구에도</t>
    </r>
  </si>
  <si>
    <r>
      <rPr>
        <sz val="8"/>
        <color rgb="FF2B2B2B"/>
        <rFont val="DejaVu Sans"/>
        <family val="2"/>
      </rPr>
      <t xml:space="preserve">산정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적용한다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</si>
  <si>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성실히 응하여야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</si>
  <si>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⑥ 회사는 연체된 할부금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위약금 등 본 계약상 채권의 회수 및 추심 업무를 수납대행사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포어</t>
    </r>
  </si>
  <si>
    <r>
      <rPr>
        <sz val="8"/>
        <color rgb="FF2B2B2B"/>
        <rFont val="DejaVu Sans"/>
        <family val="2"/>
      </rPr>
      <t xml:space="preserve">② 제출된 서류는 어떠한 경우에도 반환하지 아니한다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</si>
  <si>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스바이크 유한회사</t>
    </r>
    <r>
      <rPr>
        <sz val="8"/>
        <color rgb="FF2B2B2B"/>
        <rFont val="DejaVu Sans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에 위임하며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수납대행사는 회사를 대리하여 계약자에게 독촉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추심</t>
    </r>
  </si>
  <si>
    <r>
      <rPr>
        <sz val="8"/>
        <color rgb="FF2B2B2B"/>
        <rFont val="DejaVu Sans"/>
        <family val="2"/>
      </rPr>
      <t xml:space="preserve">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</si>
  <si>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소유권 유보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</si>
  <si>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① 본 계약에 따른 이륜차의 소유권은 계약자가 모든 채무를 전액 이행할 때까지 회사에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</si>
  <si>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지연손해금 및 반환지연금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</si>
  <si>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유보된다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</si>
  <si>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계약자가 약정 금액을 기한 내에 이행하지 않는 경우 위약금이 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</t>
    </r>
  </si>
  <si>
    <t xml:space="preserve">② 계약자가 계약기간 동안 할부금을 성실히 납부하고 본 계약상 모든 채무를 완전히 이행한</t>
  </si>
  <si>
    <r>
      <rPr>
        <sz val="8"/>
        <color rgb="FF2B2B2B"/>
        <rFont val="DejaVu Sans"/>
        <family val="2"/>
      </rPr>
      <t xml:space="preserve">의 청구일로부터 </t>
    </r>
    <r>
      <rPr>
        <sz val="8"/>
        <color rgb="FF2B2B2B"/>
        <rFont val="DejaVu Sans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</si>
  <si>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회사의 내부 행정 절차에 따라 이륜차의 소유권을 계약자에게 이전한다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</si>
  <si>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지연손해금 계산식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1"/>
        <charset val="1"/>
      </rPr>
      <t xml:space="preserve">20%</t>
    </r>
  </si>
  <si>
    <r>
      <rPr>
        <sz val="8"/>
        <color rgb="FF2B2B2B"/>
        <rFont val="DejaVu Sans"/>
        <family val="2"/>
      </rPr>
      <t xml:space="preserve">③ 반환지연금은 계약 만료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해지에도 불구하고 계약자가 이륜차를 반환하지 않고 점유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</si>
  <si>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계약자의 책임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</si>
  <si>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을 계속하는 경우 발생하며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계산식은 다음과 같다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</si>
  <si>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운행 중 발생하는</t>
    </r>
  </si>
  <si>
    <r>
      <rPr>
        <sz val="8"/>
        <color rgb="FF2B2B2B"/>
        <rFont val="DejaVu Sans"/>
        <family val="2"/>
      </rPr>
      <t xml:space="preserve">ㆍ반환지연금 </t>
    </r>
    <r>
      <rPr>
        <sz val="8"/>
        <color rgb="FF2B2B2B"/>
        <rFont val="DejaVu Sans"/>
        <family val="3"/>
        <charset val="129"/>
      </rPr>
      <t xml:space="preserve">= 1</t>
    </r>
    <r>
      <rPr>
        <sz val="8"/>
        <color rgb="FF2B2B2B"/>
        <rFont val="DejaVu Sans"/>
        <family val="2"/>
      </rPr>
      <t xml:space="preserve">일 사용료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3"/>
        <charset val="129"/>
      </rPr>
      <t xml:space="preserve">20%</t>
    </r>
  </si>
  <si>
    <r>
      <rPr>
        <sz val="8"/>
        <color rgb="FF2B2B2B"/>
        <rFont val="DejaVu Sans"/>
        <family val="2"/>
      </rPr>
      <t xml:space="preserve">모든 사고에 대해 책임을 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회사가 소유권을 보유하더라도 운행자성이 없으므로</t>
    </r>
  </si>
  <si>
    <r>
      <rPr>
        <sz val="8"/>
        <color rgb="FF2B2B2B"/>
        <rFont val="DejaVu Sans"/>
        <family val="2"/>
      </rPr>
      <t xml:space="preserve">④ 지연손해금과 반환지연금은 회사의 손해배상청구와 별도로 부과될 수 있다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</si>
  <si>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인적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물적 관리책임은 전적으로 계약자에게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</si>
  <si>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⑤ 연체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미납이 발생하는 경우 회사는 계약자의 별도 동의 없이 해당 채무를 신용정보집중</t>
    </r>
  </si>
  <si>
    <r>
      <rPr>
        <sz val="8"/>
        <color rgb="FF2B2B2B"/>
        <rFont val="DejaVu Sans"/>
        <family val="2"/>
      </rPr>
      <t xml:space="preserve">② 계약자는 계약기간 중 임의로 타부착물을 장착하거나 이륜차의 구조를 변경할 수 없다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</si>
  <si>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기관에 등록하거나 신용정보업체에 채권추심을 의뢰할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</si>
  <si>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이륜차의 소유권은 회사에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사용수익권과 운행이익권을 가진다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</si>
  <si>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3"/>
        <charset val="129"/>
      </rPr>
      <t xml:space="preserve">16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3"/>
        <charset val="129"/>
      </rPr>
      <t xml:space="preserve">17</t>
    </r>
    <r>
      <rPr>
        <sz val="8"/>
        <color rgb="FF2B2B2B"/>
        <rFont val="DejaVu Sans"/>
        <family val="2"/>
      </rPr>
      <t xml:space="preserve">조에 따라 계약이 해지된 경우 계약자는 즉시 운행을 중단하고 이륜차를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</si>
  <si>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연대보증인의 책임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</si>
  <si>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반환하여야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</si>
  <si>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연대보증인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사업장 및 대표자</t>
    </r>
    <r>
      <rPr>
        <sz val="8"/>
        <color rgb="FF2B2B2B"/>
        <rFont val="DejaVu Sans"/>
        <family val="1"/>
        <charset val="1"/>
      </rPr>
      <t xml:space="preserve">)</t>
    </r>
    <r>
      <rPr>
        <sz val="8"/>
        <color rgb="FF2B2B2B"/>
        <rFont val="DejaVu Sans"/>
        <family val="2"/>
      </rPr>
      <t xml:space="preserve">은 할부금 지급채무를 포함하여 계약자가 회사에 대하여</t>
    </r>
  </si>
  <si>
    <t xml:space="preserve">④ 계약자는 인수형 할부판매라 하더라도 계약기간 만료 및 약정 금액 완납 전에는</t>
  </si>
  <si>
    <r>
      <rPr>
        <sz val="8"/>
        <color rgb="FF2B2B2B"/>
        <rFont val="DejaVu Sans"/>
        <family val="2"/>
      </rPr>
      <t xml:space="preserve">본 계약과 관련하여 부담하는 일체의 채무를 보증하며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 및 상호 간에 연대하여 그</t>
    </r>
  </si>
  <si>
    <r>
      <rPr>
        <sz val="8"/>
        <color rgb="FF2B2B2B"/>
        <rFont val="DejaVu Sans"/>
        <family val="2"/>
      </rPr>
      <t xml:space="preserve">이륜차의 소유권을 주장할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</si>
  <si>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채무를 이행한다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</si>
  <si>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대하여 권리를 주장하거나 보전처분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강제집행 등으로 회사의 소유권</t>
    </r>
  </si>
  <si>
    <r>
      <rPr>
        <sz val="8"/>
        <color rgb="FF2B2B2B"/>
        <rFont val="DejaVu Sans"/>
        <family val="2"/>
      </rPr>
      <t xml:space="preserve">② 계약자가 회사의 동의 없이 본 계약상 채무를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</t>
    </r>
  </si>
  <si>
    <r>
      <rPr>
        <sz val="8"/>
        <color rgb="FF2B2B2B"/>
        <rFont val="DejaVu Sans"/>
        <family val="2"/>
      </rPr>
      <t xml:space="preserve">을 침해할 위험이 있는 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이륜차가 회사의 소유임을 주장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입증하여 침해를</t>
    </r>
  </si>
  <si>
    <r>
      <rPr>
        <sz val="8"/>
        <color rgb="FF2B2B2B"/>
        <rFont val="DejaVu Sans"/>
        <family val="2"/>
      </rPr>
      <t xml:space="preserve">증인은 채무가 전액 변제될 때까지 보증채무를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</si>
  <si>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방지하고 즉시 그 사실을 회사에 통지하여야 한다</t>
    </r>
    <r>
      <rPr>
        <sz val="8"/>
        <color rgb="FF2B2B2B"/>
        <rFont val="DejaVu Sans"/>
        <family val="3"/>
        <charset val="129"/>
      </rPr>
      <t xml:space="preserve">.</t>
    </r>
  </si>
  <si>
    <t xml:space="preserve">③ 연대보증인은 계약자의 미변제 채무가 남아 있는 경우 계약자의 채무를 회사보다 먼저</t>
  </si>
  <si>
    <r>
      <rPr>
        <sz val="8"/>
        <color rgb="FF2B2B2B"/>
        <rFont val="DejaVu Sans"/>
        <family val="2"/>
      </rPr>
      <t xml:space="preserve">⑥ 계약자는 이륜차를 인도받은 시점부터 반환 시까지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 등 일체의 사고에</t>
    </r>
  </si>
  <si>
    <r>
      <rPr>
        <sz val="8"/>
        <color rgb="FF2B2B2B"/>
        <rFont val="DejaVu Sans"/>
        <family val="2"/>
      </rPr>
      <t xml:space="preserve"> 변제받을 권리를 행사할 수 없다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</si>
  <si>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대한 책임을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</si>
  <si>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보험 연령 변경 등 일부 계약 내용이 변경되는 경우 연대보증인이 별도로 서명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</t>
    </r>
  </si>
  <si>
    <r>
      <rPr>
        <sz val="8"/>
        <color rgb="FF2B2B2B"/>
        <rFont val="DejaVu Sans"/>
        <family val="2"/>
      </rPr>
      <t xml:space="preserve">⑦ 이륜차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 시 계약자는 지체 없이 회사에 통보하고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자신의 비용으로</t>
    </r>
  </si>
  <si>
    <r>
      <rPr>
        <sz val="8"/>
        <color rgb="FF2B2B2B"/>
        <rFont val="DejaVu Sans"/>
        <family val="2"/>
      </rPr>
      <t xml:space="preserve">않더라도 그 변경에 동의한 것으로 본다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변경 내용이 연대보증인에게 불리한 경우</t>
    </r>
  </si>
  <si>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DejaVu Sans"/>
        <family val="2"/>
      </rPr>
      <t xml:space="preserve">이륜차를 원상태로 완전복구 또는 </t>
    </r>
    <r>
      <rPr>
        <sz val="8"/>
        <color rgb="FF2B2B2B"/>
        <rFont val="DejaVu Sans"/>
        <family val="1"/>
        <charset val="1"/>
      </rPr>
      <t xml:space="preserve">(2) </t>
    </r>
    <r>
      <rPr>
        <sz val="8"/>
        <color rgb="FF2B2B2B"/>
        <rFont val="DejaVu Sans"/>
        <family val="2"/>
      </rPr>
      <t xml:space="preserve">동일모델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 중 하나를 이행해야한다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</si>
  <si>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즉시 연대보증인에게 통지하여야 하며</t>
    </r>
    <r>
      <rPr>
        <sz val="8"/>
        <color rgb="FF2B2B2B"/>
        <rFont val="DejaVu Sans"/>
        <family val="3"/>
        <charset val="129"/>
      </rPr>
      <t xml:space="preserve">, 14</t>
    </r>
    <r>
      <rPr>
        <sz val="8"/>
        <color rgb="FF2B2B2B"/>
        <rFont val="DejaVu Sans"/>
        <family val="2"/>
      </rPr>
      <t xml:space="preserve">일 이내 이의 제기 시 회사는 새로운</t>
    </r>
  </si>
  <si>
    <r>
      <rPr>
        <sz val="8"/>
        <color rgb="FF2B2B2B"/>
        <rFont val="DejaVu Sans"/>
        <family val="2"/>
      </rPr>
      <t xml:space="preserve">⑧ 계약자는 계약 개시 시점에 차량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일체의 부속품을 인수하므로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 종료 시까지 관련</t>
    </r>
  </si>
  <si>
    <r>
      <rPr>
        <sz val="8"/>
        <color rgb="FF2B2B2B"/>
        <rFont val="DejaVu Sans"/>
        <family val="2"/>
      </rPr>
      <t xml:space="preserve">보증인의 추가 또는 교체를 요구할 수 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연대보증인은 미성년자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배우자 등 불법 강제보</t>
    </r>
  </si>
  <si>
    <r>
      <rPr>
        <sz val="8"/>
        <color rgb="FF2B2B2B"/>
        <rFont val="DejaVu Sans"/>
        <family val="2"/>
      </rPr>
      <t xml:space="preserve">도난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훼손에 대한 모든 책임을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</si>
  <si>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증인으로 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</si>
  <si>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이륜차의 인도 및 계약자 확인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</si>
  <si>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이관 및 승계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</si>
  <si>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 개시일은 계약자가 이륜차를 인도받은 날로 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</si>
  <si>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회사의 사전 승인 없이 본 계약상의 권리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임의로 승계할 수</t>
    </r>
  </si>
  <si>
    <t xml:space="preserve">② 회사는 계약자가 인수증을 발급하거나 협력업체를 통해 직접 수령한 경우 해당 이륜차의</t>
  </si>
  <si>
    <r>
      <rPr>
        <sz val="8"/>
        <color rgb="FF2B2B2B"/>
        <rFont val="DejaVu Sans"/>
        <family val="2"/>
      </rPr>
      <t xml:space="preserve">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</si>
  <si>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인도가 완료된 것으로 본다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</si>
  <si>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</t>
    </r>
  </si>
  <si>
    <r>
      <rPr>
        <sz val="8"/>
        <color rgb="FF2B2B2B"/>
        <rFont val="DejaVu Sans"/>
        <family val="2"/>
      </rPr>
      <t xml:space="preserve">③ 이륜차 인도 이후에는 계약자는 이륜차의 하자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할부금 지급의무를 거부</t>
    </r>
  </si>
  <si>
    <r>
      <rPr>
        <sz val="8"/>
        <color rgb="FF2B2B2B"/>
        <rFont val="DejaVu Sans"/>
        <family val="2"/>
      </rPr>
      <t xml:space="preserve">제공하여야 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3"/>
        <charset val="129"/>
      </rPr>
      <t xml:space="preserve">.</t>
    </r>
  </si>
  <si>
    <t xml:space="preserve">할 수 없다</t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</si>
  <si>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할부금 지급의무 및 기타 채</t>
    </r>
  </si>
  <si>
    <r>
      <rPr>
        <sz val="8"/>
        <color rgb="FF2B2B2B"/>
        <rFont val="DejaVu Sans"/>
        <family val="2"/>
      </rPr>
      <t xml:space="preserve">무를 계속 이행하여야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</si>
  <si>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보증금 및 계약금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</si>
  <si>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계약이관을 하기 위해서는 할부금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 미납금이 없어야 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</si>
  <si>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 체결 시 회사가 지정하는 수납 대행사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1"/>
        <charset val="1"/>
      </rPr>
      <t xml:space="preserve">)</t>
    </r>
    <r>
      <rPr>
        <sz val="8"/>
        <color rgb="FF2B2B2B"/>
        <rFont val="DejaVu Sans"/>
        <family val="2"/>
      </rPr>
      <t xml:space="preserve">의 계좌로</t>
    </r>
  </si>
  <si>
    <r>
      <rPr>
        <sz val="8"/>
        <color rgb="FF2B2B2B"/>
        <rFont val="DejaVu Sans"/>
        <family val="2"/>
      </rPr>
      <t xml:space="preserve">⑤ 승계받고자 하는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</si>
  <si>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보증금을 지급하여야 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사전 동의를 받아 보증금 지급이 지연된 경우 회사는 최대</t>
    </r>
  </si>
  <si>
    <r>
      <rPr>
        <sz val="8"/>
        <color rgb="FF2B2B2B"/>
        <rFont val="DejaVu Sans"/>
        <family val="1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</si>
  <si>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위치정보 등 제공 동의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</si>
  <si>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</t>
    </r>
  </si>
  <si>
    <r>
      <rPr>
        <sz val="8"/>
        <color rgb="FF2B2B2B"/>
        <rFont val="DejaVu Sans"/>
        <family val="2"/>
      </rPr>
      <t xml:space="preserve">① 해당 이륜차에는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위하여 위치정보 수집 장치가 부착되어 있</t>
    </r>
  </si>
  <si>
    <r>
      <rPr>
        <sz val="8"/>
        <color rgb="FF2B2B2B"/>
        <rFont val="DejaVu Sans"/>
        <family val="2"/>
      </rPr>
      <t xml:space="preserve">는 민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형사상 어떠한 이의도 제기할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</si>
  <si>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으며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이를 인지하고 동의한다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</si>
  <si>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회수에 소요된 일체의 비용은 계약자가 부담한다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</si>
  <si>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이륜차가 운행되는 전 기간에 대하여 위치정보 수집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</t>
    </r>
  </si>
  <si>
    <r>
      <rPr>
        <sz val="8"/>
        <color rgb="FF2B2B2B"/>
        <rFont val="DejaVu Sans"/>
        <family val="2"/>
      </rPr>
      <t xml:space="preserve">④ 계약자는 계약해지일부터 이륜차 최종반환일까지의 손해배상금을 회사에 지급해야 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</si>
  <si>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보할 책임을 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3"/>
        <charset val="129"/>
      </rPr>
      <t xml:space="preserve">·</t>
    </r>
  </si>
  <si>
    <r>
      <rPr>
        <sz val="8"/>
        <color rgb="FF2B2B2B"/>
        <rFont val="DejaVu Sans"/>
        <family val="2"/>
      </rPr>
      <t xml:space="preserve">과태료에 대하여 계약자가 전적으로 책임을 진다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</si>
  <si>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후 처리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</si>
  <si>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</t>
    </r>
  </si>
  <si>
    <r>
      <rPr>
        <sz val="8"/>
        <color rgb="FF2B2B2B"/>
        <rFont val="DejaVu Sans"/>
        <family val="2"/>
      </rPr>
      <t xml:space="preserve">하는 사고에 회사는 민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</si>
  <si>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</si>
  <si>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DejaVu Sans"/>
        <family val="2"/>
      </rPr>
      <t xml:space="preserve">계약자 명의 이전 시 보험가입증명서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</t>
    </r>
  </si>
  <si>
    <r>
      <rPr>
        <sz val="8"/>
        <color rgb="FF2B2B2B"/>
        <rFont val="DejaVu Sans"/>
        <family val="2"/>
      </rPr>
      <t xml:space="preserve">④ 회사는 채무불이행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보험사고 처리 등 본 계약 이행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</t>
    </r>
  </si>
  <si>
    <r>
      <rPr>
        <sz val="8"/>
        <color rgb="FF2B2B2B"/>
        <rFont val="DejaVu Sans"/>
        <family val="2"/>
      </rPr>
      <t xml:space="preserve">만료일 익일에 번호판을 등기우편 발송 중 하나를 선택한다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</si>
  <si>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범위 내에서만 위치정보를 활용한다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</si>
  <si>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명의이전이 이루어지는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미납금 존재 여부와 관계없이 </t>
    </r>
  </si>
  <si>
    <r>
      <rPr>
        <sz val="8"/>
        <color rgb="FF2B2B2B"/>
        <rFont val="DejaVu Sans"/>
        <family val="2"/>
      </rPr>
      <t xml:space="preserve">계약자가 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신고는 회사가 대행한다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회사는 취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등록세를 보증금에서 차감할 수 있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</si>
  <si>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유지비용 및 제세공과금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</si>
  <si>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고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영수증을 발송하는 경우 계약자는 즉시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</si>
  <si>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계약자는 관련 법령과 관할관청</t>
    </r>
    <r>
      <rPr>
        <sz val="8"/>
        <color rgb="FF2B2B2B"/>
        <rFont val="DejaVu Sans"/>
        <family val="1"/>
        <charset val="129"/>
      </rPr>
      <t xml:space="preserve">·</t>
    </r>
    <r>
      <rPr>
        <sz val="8"/>
        <color rgb="FF2B2B2B"/>
        <rFont val="DejaVu Sans"/>
        <family val="2"/>
      </rPr>
      <t xml:space="preserve">회사의 지시를 준수한다</t>
    </r>
    <r>
      <rPr>
        <sz val="8"/>
        <color rgb="FF2B2B2B"/>
        <rFont val="DejaVu Sans"/>
        <family val="1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</si>
  <si>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인수형 계약에 미납금이 있는 경우 계약만료일까지 전액 완납되어야 인수가 가능하며</t>
    </r>
    <r>
      <rPr>
        <sz val="8"/>
        <color rgb="FF2B2B2B"/>
        <rFont val="DejaVu Sans"/>
        <family val="1"/>
        <charset val="129"/>
      </rPr>
      <t xml:space="preserve">,</t>
    </r>
  </si>
  <si>
    <r>
      <rPr>
        <sz val="8"/>
        <color rgb="FF2B2B2B"/>
        <rFont val="DejaVu Sans"/>
        <family val="2"/>
      </rPr>
      <t xml:space="preserve">② 회사는 계약기간 중 언제든 계약자의 본 계약 준수 여부를 점검할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</t>
    </r>
  </si>
  <si>
    <r>
      <rPr>
        <sz val="8"/>
        <color rgb="FF2B2B2B"/>
        <rFont val="DejaVu Sans"/>
        <family val="2"/>
      </rPr>
      <t xml:space="preserve">만료일</t>
    </r>
    <r>
      <rPr>
        <sz val="8"/>
        <color rgb="FF2B2B2B"/>
        <rFont val="DejaVu Sans"/>
        <family val="3"/>
        <charset val="129"/>
      </rPr>
      <t xml:space="preserve">(D) </t>
    </r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DejaVu Sans"/>
        <family val="3"/>
        <charset val="129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3"/>
        <charset val="129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</t>
    </r>
  </si>
  <si>
    <r>
      <rPr>
        <sz val="8"/>
        <color rgb="FF2B2B2B"/>
        <rFont val="DejaVu Sans"/>
        <family val="2"/>
      </rPr>
      <t xml:space="preserve">성실히 협조하여야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</si>
  <si>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기한이익을 상실하며 회사는 차량을 자체 처분할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</si>
  <si>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이륜차 보관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사용 등으로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손해가 발생한 경우 회사의 고의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과실이 없는 한 그</t>
    </r>
  </si>
  <si>
    <r>
      <rPr>
        <sz val="8"/>
        <color rgb="FF2B2B2B"/>
        <rFont val="DejaVu Sans"/>
        <family val="2"/>
      </rPr>
      <t xml:space="preserve">⑤ 반납형 계약의 경우 만료일 익일에 이륜차를 반환한다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</t>
    </r>
  </si>
  <si>
    <r>
      <rPr>
        <sz val="8"/>
        <color rgb="FF2B2B2B"/>
        <rFont val="DejaVu Sans"/>
        <family val="2"/>
      </rPr>
      <t xml:space="preserve">책임은 계약자가 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보험 가입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처리 책임은 전적으로 계약자에게 있으며</t>
    </r>
    <r>
      <rPr>
        <sz val="8"/>
        <color rgb="FF2B2B2B"/>
        <rFont val="DejaVu Sans"/>
        <family val="3"/>
        <charset val="129"/>
      </rPr>
      <t xml:space="preserve">,</t>
    </r>
    <r>
      <rPr>
        <sz val="8"/>
        <color rgb="FF2B2B2B"/>
        <rFont val="DejaVu Sans"/>
        <family val="2"/>
      </rPr>
      <t xml:space="preserve">계약자의</t>
    </r>
  </si>
  <si>
    <r>
      <rPr>
        <sz val="8"/>
        <color rgb="FF2B2B2B"/>
        <rFont val="DejaVu Sans"/>
        <family val="2"/>
      </rPr>
      <t xml:space="preserve">비를 보증금에서 차감 후 잔액을 계약자에게 지급하며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</t>
    </r>
  </si>
  <si>
    <r>
      <rPr>
        <sz val="8"/>
        <color rgb="FF2B2B2B"/>
        <rFont val="DejaVu Sans"/>
        <family val="2"/>
      </rPr>
      <t xml:space="preserve">귀책사유로 보험처리가 불가하거나 보험금으로 충당되지 않는 손해는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</si>
  <si>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차액을 계약자가 납부한다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</si>
  <si>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이륜차의 등록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할부금에 포함되지 않은 비용 및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</si>
  <si>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반납 절차에 필요한 서류 전달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번호판 등기 발송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보험가입증명서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신분증 제출</t>
    </r>
  </si>
  <si>
    <r>
      <rPr>
        <sz val="8"/>
        <color rgb="FF2B2B2B"/>
        <rFont val="DejaVu Sans"/>
        <family val="2"/>
      </rPr>
      <t xml:space="preserve">제세공과금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</si>
  <si>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등 포함</t>
    </r>
    <r>
      <rPr>
        <sz val="8"/>
        <color rgb="FF2B2B2B"/>
        <rFont val="DejaVu Sans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은 만료일 익일까지 완료되어야 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이를 지체하는 경우 계약자는 제</t>
    </r>
    <r>
      <rPr>
        <sz val="8"/>
        <color rgb="FF2B2B2B"/>
        <rFont val="DejaVu Sans"/>
        <family val="3"/>
        <charset val="129"/>
      </rPr>
      <t xml:space="preserve">9</t>
    </r>
    <r>
      <rPr>
        <sz val="8"/>
        <color rgb="FF2B2B2B"/>
        <rFont val="DejaVu Sans"/>
        <family val="2"/>
      </rPr>
      <t xml:space="preserve">조에 따른 손</t>
    </r>
  </si>
  <si>
    <r>
      <rPr>
        <sz val="8"/>
        <color rgb="FF2B2B2B"/>
        <rFont val="DejaVu Sans"/>
        <family val="2"/>
      </rPr>
      <t xml:space="preserve">해배상금 및 부당사용이익을 회사에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</si>
  <si>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금지행위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</si>
  <si>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DejaVu Sans"/>
        <family val="2"/>
      </rPr>
      <t xml:space="preserve">이륜차를 양도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전대 또는 본 계약상 권리를 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</si>
  <si>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전 할부금 완납 시 절차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</si>
  <si>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양도하는 행위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자에게 이륜차를 사용하게 하는</t>
    </r>
  </si>
  <si>
    <r>
      <rPr>
        <sz val="8"/>
        <color rgb="FF2B2B2B"/>
        <rFont val="DejaVu Sans"/>
        <family val="2"/>
      </rPr>
      <t xml:space="preserve">① 계약자는 계약만료일까지 이륜차를 운행할 수 있다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</si>
  <si>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행위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기능을 임의로 변경하거나 번호판을 훼손하는 행위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이륜차</t>
    </r>
  </si>
  <si>
    <r>
      <rPr>
        <sz val="8"/>
        <color rgb="FF2B2B2B"/>
        <rFont val="DejaVu Sans"/>
        <family val="2"/>
      </rPr>
      <t xml:space="preserve">② 계약 만료 전 할부금을 모두 완납하여 계약이 종료되는 경우 계약자는 제</t>
    </r>
    <r>
      <rPr>
        <sz val="8"/>
        <color rgb="FF2B2B2B"/>
        <rFont val="DejaVu Sans"/>
        <family val="1"/>
        <charset val="1"/>
      </rPr>
      <t xml:space="preserve">20</t>
    </r>
    <r>
      <rPr>
        <sz val="8"/>
        <color rgb="FF2B2B2B"/>
        <rFont val="DejaVu Sans"/>
        <family val="2"/>
      </rPr>
      <t xml:space="preserve">조에서 정한 절</t>
    </r>
  </si>
  <si>
    <r>
      <rPr>
        <sz val="8"/>
        <color rgb="FF2B2B2B"/>
        <rFont val="DejaVu Sans"/>
        <family val="2"/>
      </rPr>
      <t xml:space="preserve">를 제</t>
    </r>
    <r>
      <rPr>
        <sz val="8"/>
        <color rgb="FF2B2B2B"/>
        <rFont val="맑은 고딕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담보 목적으로 제공하는 등 회사의 소유권 침해 행위</t>
    </r>
    <r>
      <rPr>
        <sz val="8"/>
        <color rgb="FF2B2B2B"/>
        <rFont val="맑은 고딕"/>
        <family val="3"/>
        <charset val="129"/>
      </rPr>
      <t xml:space="preserve">, (5) </t>
    </r>
    <r>
      <rPr>
        <sz val="8"/>
        <color rgb="FF2B2B2B"/>
        <rFont val="DejaVu Sans"/>
        <family val="2"/>
      </rPr>
      <t xml:space="preserve">이륜차 부착 표지</t>
    </r>
  </si>
  <si>
    <r>
      <rPr>
        <sz val="8"/>
        <color rgb="FF2B2B2B"/>
        <rFont val="DejaVu Sans"/>
        <family val="2"/>
      </rPr>
      <t xml:space="preserve">차를 진행한다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</si>
  <si>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를 제거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훼손하거나 내용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위치를 변경하는 행위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</si>
  <si>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계약자의 요청에 따라 만료일보다 일찍 명의이전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사용폐지를 진행하는 경우 보험환급금</t>
    </r>
  </si>
  <si>
    <r>
      <rPr>
        <sz val="8"/>
        <color rgb="FF2B2B2B"/>
        <rFont val="DejaVu Sans"/>
        <family val="2"/>
      </rPr>
      <t xml:space="preserve">등 추가 환급은 청구할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</si>
  <si>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자에 대한 면책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</si>
  <si>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반환일까지의 기간 동안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</si>
  <si>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변제충당 순서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</si>
  <si>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가 회사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소유자</t>
    </r>
    <r>
      <rPr>
        <sz val="8"/>
        <color rgb="FF2B2B2B"/>
        <rFont val="DejaVu Sans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를 상대로 인적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책임</t>
    </r>
  </si>
  <si>
    <r>
      <rPr>
        <sz val="8"/>
        <color rgb="FF2B2B2B"/>
        <rFont val="DejaVu Sans"/>
        <family val="2"/>
      </rPr>
      <t xml:space="preserve">① 계약자가 납입한 금액이 납입일 현재 채무 전액을 충당하기에 부족한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</t>
    </r>
  </si>
  <si>
    <r>
      <rPr>
        <sz val="8"/>
        <color rgb="FF2B2B2B"/>
        <rFont val="DejaVu Sans"/>
        <family val="2"/>
      </rPr>
      <t xml:space="preserve">으로 회사를 면책시켜야 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</si>
  <si>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기준으로 먼저 도래한 채무액부터 우선 충당한다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</si>
  <si>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회사가 소유자라는 이유로 직접 손해배상을 한 경우 계약자는 회사가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지급한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</si>
  <si>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</si>
  <si>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금액과 관련 제비용을 즉시 상환하여야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</si>
  <si>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각 계약자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DejaVu Sans"/>
        <family val="1"/>
        <charset val="1"/>
      </rPr>
      <t xml:space="preserve">)</t>
    </r>
    <r>
      <rPr>
        <sz val="8"/>
        <color rgb="FF2B2B2B"/>
        <rFont val="DejaVu Sans"/>
        <family val="2"/>
      </rPr>
      <t xml:space="preserve">별 납부금은 해당 계약자 본인 명의 계좌로부터 입금된 금원에 한하여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</si>
  <si>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</t>
    </r>
  </si>
  <si>
    <r>
      <rPr>
        <sz val="8"/>
        <color rgb="FF2B2B2B"/>
        <rFont val="DejaVu Sans"/>
        <family val="2"/>
      </rPr>
      <t xml:space="preserve"> 충당되며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타 계약자의 입금은 타인의 채무에 충당되지 아니한다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</si>
  <si>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부담하여야 한다</t>
    </r>
    <r>
      <rPr>
        <sz val="8"/>
        <color rgb="FF2B2B2B"/>
        <rFont val="DejaVu Sans"/>
        <family val="2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</si>
  <si>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세금계산서 발급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</si>
  <si>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계약자에 의한 중도 해지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</si>
  <si>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세금계산서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또는 현금영수증</t>
    </r>
    <r>
      <rPr>
        <sz val="8"/>
        <color rgb="FF2B2B2B"/>
        <rFont val="DejaVu Sans"/>
        <family val="1"/>
        <charset val="1"/>
      </rPr>
      <t xml:space="preserve">)</t>
    </r>
    <r>
      <rPr>
        <sz val="8"/>
        <color rgb="FF2B2B2B"/>
        <rFont val="DejaVu Sans"/>
        <family val="2"/>
      </rPr>
      <t xml:space="preserve">는 회사 명의로 발행하며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본 계약서에 기재된 연대보증인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사업장</t>
    </r>
    <r>
      <rPr>
        <sz val="8"/>
        <color rgb="FF2B2B2B"/>
        <rFont val="DejaVu Sans"/>
        <family val="1"/>
        <charset val="1"/>
      </rPr>
      <t xml:space="preserve">)</t>
    </r>
    <r>
      <rPr>
        <sz val="8"/>
        <color rgb="FF2B2B2B"/>
        <rFont val="DejaVu Sans"/>
        <family val="2"/>
      </rPr>
      <t xml:space="preserve">의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</si>
  <si>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DejaVu Sans"/>
        <family val="1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</t>
    </r>
  </si>
  <si>
    <r>
      <rPr>
        <sz val="8"/>
        <color rgb="FF2B2B2B"/>
        <rFont val="DejaVu Sans"/>
        <family val="2"/>
      </rPr>
      <t xml:space="preserve">사업자등록번호를 기준으로 발급한다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</si>
  <si>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에 사전 통보하여야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</si>
  <si>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계산서 발행 대상이 변경되는 경우 계약자는 익월 </t>
    </r>
    <r>
      <rPr>
        <sz val="8"/>
        <color rgb="FF2B2B2B"/>
        <rFont val="DejaVu Sans"/>
        <family val="1"/>
        <charset val="129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1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</si>
  <si>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제</t>
    </r>
    <r>
      <rPr>
        <sz val="8"/>
        <color rgb="FF2B2B2B"/>
        <rFont val="DejaVu Sans"/>
        <family val="1"/>
        <charset val="1"/>
      </rPr>
      <t xml:space="preserve">9</t>
    </r>
    <r>
      <rPr>
        <sz val="8"/>
        <color rgb="FF2B2B2B"/>
        <rFont val="DejaVu Sans"/>
        <family val="2"/>
      </rPr>
      <t xml:space="preserve">조 및 계약에서 정한 위약금을 회사에 </t>
    </r>
  </si>
  <si>
    <r>
      <rPr>
        <sz val="8"/>
        <color rgb="FF2B2B2B"/>
        <rFont val="DejaVu Sans"/>
        <family val="2"/>
      </rPr>
      <t xml:space="preserve">③ 계약자는 주소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전화번호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상호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사업자등록번호 등 세금계산서 발행에 영향을 미치는 사항에 </t>
    </r>
  </si>
  <si>
    <r>
      <rPr>
        <sz val="8"/>
        <color rgb="FF2B2B2B"/>
        <rFont val="DejaVu Sans"/>
        <family val="2"/>
      </rPr>
      <t xml:space="preserve">지급하여야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</si>
  <si>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변경이 발생한 경우 즉시 회사에 통지하여야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</si>
  <si>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관련 비</t>
    </r>
  </si>
  <si>
    <r>
      <rPr>
        <sz val="8"/>
        <color rgb="FF2B2B2B"/>
        <rFont val="DejaVu Sans"/>
        <family val="2"/>
      </rPr>
      <t xml:space="preserve">④ 계약자의 통지의무 해태로 발생하는 불이익은 계약자가 부담한다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</si>
  <si>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용은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</si>
  <si>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최종 해지일은 이륜차가 회사에 반환된 날을 기준으로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평가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정산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</si>
  <si>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적용범위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</si>
  <si>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절차에 성실히 협조하여야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</si>
  <si>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본 계약서 이륜차에 관하여 할부금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미납금이 발생한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</t>
    </r>
  </si>
  <si>
    <r>
      <rPr>
        <sz val="8"/>
        <color rgb="FF2B2B2B"/>
        <rFont val="DejaVu Sans"/>
        <family val="2"/>
      </rPr>
      <t xml:space="preserve">가 회사와 체결한 다른 이륜차 계약의 처분에도 영향을 미칠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</si>
  <si>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해지 사유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</si>
  <si>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반대로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회사와 체결한 다른 이륜차 계약에서 미납금이 발생한 경우에도 본 계약</t>
    </r>
  </si>
  <si>
    <r>
      <rPr>
        <sz val="8"/>
        <color rgb="FF2B2B2B"/>
        <rFont val="DejaVu Sans"/>
        <family val="2"/>
      </rPr>
      <t xml:space="preserve">다음 각 호에 해당하는 경우 계약자는 사전 통지나 최고 없이 기한이익을 상실하며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</t>
    </r>
  </si>
  <si>
    <r>
      <rPr>
        <sz val="8"/>
        <color rgb="FF2B2B2B"/>
        <rFont val="DejaVu Sans"/>
        <family val="2"/>
      </rPr>
      <t xml:space="preserve">서 이륜차의 처분에 영향을 미칠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</si>
  <si>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유보된 소유권에 근거하여 차량 인도를 청구한다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DejaVu Sans"/>
        <family val="2"/>
      </rPr>
      <t xml:space="preserve">이륜차 무단 양도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전대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 xml:space="preserve">법령 위반 </t>
    </r>
  </si>
  <si>
    <r>
      <rPr>
        <sz val="8"/>
        <color rgb="FF2B2B2B"/>
        <rFont val="DejaVu Sans"/>
        <family val="2"/>
      </rPr>
      <t xml:space="preserve">사용 또는 보험인정 사용자 이외의 자에게 사용하게 하는 행위</t>
    </r>
    <r>
      <rPr>
        <sz val="8"/>
        <color rgb="FF2B2B2B"/>
        <rFont val="맑은 고딕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정해진 입금일에 할부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</si>
  <si>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약관에 정하지 않은 사항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</si>
  <si>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금 미납 및 보증금 이상 연체</t>
    </r>
    <r>
      <rPr>
        <sz val="8"/>
        <color rgb="FF2B2B2B"/>
        <rFont val="맑은 고딕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통지받은 수리비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등을 정당한 사유 없이 </t>
    </r>
    <r>
      <rPr>
        <sz val="8"/>
        <color rgb="FF2B2B2B"/>
        <rFont val="맑은 고딕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 이</t>
    </r>
  </si>
  <si>
    <r>
      <rPr>
        <sz val="8"/>
        <color rgb="FF2B2B2B"/>
        <rFont val="DejaVu Sans"/>
        <family val="2"/>
      </rPr>
      <t xml:space="preserve">본 계약에서 정하지 아니한 사항에 관하여는 관계 법령 및 회사의 관련 규정을 따른다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</si>
  <si>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내 미납</t>
    </r>
    <r>
      <rPr>
        <sz val="8"/>
        <color rgb="FF2B2B2B"/>
        <rFont val="맑은 고딕"/>
        <family val="3"/>
        <charset val="129"/>
      </rPr>
      <t xml:space="preserve">, (5) </t>
    </r>
    <r>
      <rPr>
        <sz val="8"/>
        <color rgb="FF2B2B2B"/>
        <rFont val="DejaVu Sans"/>
        <family val="2"/>
      </rPr>
      <t xml:space="preserve">무면허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음주운전 등 사용자 귀책사유로 배상금이 청구된 후 </t>
    </r>
    <r>
      <rPr>
        <sz val="8"/>
        <color rgb="FF2B2B2B"/>
        <rFont val="맑은 고딕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일 이내 미납</t>
    </r>
    <r>
      <rPr>
        <sz val="8"/>
        <color rgb="FF2B2B2B"/>
        <rFont val="맑은 고딕"/>
        <family val="3"/>
        <charset val="129"/>
      </rPr>
      <t xml:space="preserve">, </t>
    </r>
  </si>
  <si>
    <r>
      <rPr>
        <sz val="8"/>
        <color rgb="FF2B2B2B"/>
        <rFont val="맑은 고딕"/>
        <family val="3"/>
        <charset val="129"/>
      </rPr>
      <t xml:space="preserve">(6) 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맑은 고딕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 담보 제공 등 회사 소유권 침해행위</t>
    </r>
    <r>
      <rPr>
        <sz val="8"/>
        <color rgb="FF2B2B2B"/>
        <rFont val="맑은 고딕"/>
        <family val="3"/>
        <charset val="129"/>
      </rPr>
      <t xml:space="preserve">, (7) </t>
    </r>
    <r>
      <rPr>
        <sz val="8"/>
        <color rgb="FF2B2B2B"/>
        <rFont val="DejaVu Sans"/>
        <family val="2"/>
      </rPr>
      <t xml:space="preserve">규격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성능 무단 변경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부착 표지 임의 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</si>
  <si>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준거법 및 관할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</si>
  <si>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훼손</t>
    </r>
    <r>
      <rPr>
        <sz val="8"/>
        <color rgb="FF2B2B2B"/>
        <rFont val="맑은 고딕"/>
        <family val="3"/>
        <charset val="129"/>
      </rPr>
      <t xml:space="preserve">, (8) </t>
    </r>
    <r>
      <rPr>
        <sz val="8"/>
        <color rgb="FF2B2B2B"/>
        <rFont val="DejaVu Sans"/>
        <family val="2"/>
      </rPr>
      <t xml:space="preserve">위치정보 수집 장치 훼손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</si>
  <si>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</t>
    </r>
  </si>
  <si>
    <r>
      <rPr>
        <sz val="8"/>
        <color rgb="FF2B2B2B"/>
        <rFont val="DejaVu Sans"/>
        <family val="2"/>
      </rPr>
      <t xml:space="preserve">회사의 계약 이행 지점 소재지를 관할하는 법원을 전속 관할 법원으로 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</si>
  <si>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해지위약금 등의 부과방법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</si>
  <si>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위약금 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DejaVu Sans"/>
        <family val="2"/>
      </rPr>
      <t xml:space="preserve">보증금 </t>
    </r>
    <r>
      <rPr>
        <sz val="8"/>
        <color rgb="FF2B2B2B"/>
        <rFont val="DejaVu Sans"/>
        <family val="1"/>
        <charset val="1"/>
      </rPr>
      <t xml:space="preserve">+ (</t>
    </r>
    <r>
      <rPr>
        <sz val="8"/>
        <color rgb="FF2B2B2B"/>
        <rFont val="DejaVu Sans"/>
        <family val="2"/>
      </rPr>
      <t xml:space="preserve">잔여기간에 대한 총 할부금 </t>
    </r>
    <r>
      <rPr>
        <sz val="8"/>
        <color rgb="FF2B2B2B"/>
        <rFont val="DejaVu Sans"/>
        <family val="1"/>
        <charset val="1"/>
      </rPr>
      <t xml:space="preserve">× 20%). </t>
    </r>
    <r>
      <rPr>
        <sz val="8"/>
        <color rgb="FF2B2B2B"/>
        <rFont val="DejaVu Sans"/>
        <family val="2"/>
      </rPr>
      <t xml:space="preserve">계약자는 위약금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</si>
  <si>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3"/>
        <charset val="129"/>
      </rPr>
      <t xml:space="preserve">27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차량 평가 및 감가 기준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</si>
  <si>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을 계약 해지일까지 회사에 지급하여야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</si>
  <si>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계약 만료 또는 해지로 이륜차가 회사에 반환된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반환된 이륜차의 상태를 평가</t>
    </r>
  </si>
  <si>
    <r>
      <rPr>
        <sz val="8"/>
        <color rgb="FF2B2B2B"/>
        <rFont val="DejaVu Sans"/>
        <family val="2"/>
      </rPr>
      <t xml:space="preserve">② 선납한 보증금은 어떠한 경우에도 반환되지 않는다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</si>
  <si>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하여 보증금에서 수리비를 공제하거나 계약자에게 추가 납부를 청구할 수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그 감가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</si>
  <si>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</t>
    </r>
  </si>
  <si>
    <r>
      <rPr>
        <sz val="8"/>
        <color rgb="FF2B2B2B"/>
        <rFont val="DejaVu Sans"/>
        <family val="2"/>
      </rPr>
      <t xml:space="preserve">액 산정 기준은 다음 각 호와 같다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</si>
  <si>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</si>
  <si>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커버류의 교체 또는 수리가 필요한 경우</t>
    </r>
    <r>
      <rPr>
        <sz val="8"/>
        <color rgb="FF2B2B2B"/>
        <rFont val="맑은 고딕"/>
        <family val="3"/>
        <charset val="129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3"/>
        <charset val="129"/>
      </rPr>
      <t xml:space="preserve">4%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</si>
  <si>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차대의 교체 또는 수리가 필요한 경우</t>
    </r>
    <r>
      <rPr>
        <sz val="8"/>
        <color rgb="FF2B2B2B"/>
        <rFont val="맑은 고딕"/>
        <family val="3"/>
        <charset val="129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3"/>
        <charset val="129"/>
      </rPr>
      <t xml:space="preserve">6%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</si>
  <si>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반환 및 회수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</si>
  <si>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도장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판금 작업이 필요한 경우</t>
    </r>
    <r>
      <rPr>
        <sz val="8"/>
        <color rgb="FF2B2B2B"/>
        <rFont val="맑은 고딕"/>
        <family val="3"/>
        <charset val="129"/>
      </rPr>
      <t xml:space="preserve">: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맑은 고딕"/>
        <family val="3"/>
        <charset val="129"/>
      </rPr>
      <t xml:space="preserve">~ 50</t>
    </r>
    <r>
      <rPr>
        <sz val="8"/>
        <color rgb="FF2B2B2B"/>
        <rFont val="DejaVu Sans"/>
        <family val="2"/>
      </rPr>
      <t xml:space="preserve">만원 범위에서 산정한다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</si>
  <si>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제</t>
    </r>
    <r>
      <rPr>
        <sz val="8"/>
        <color rgb="FF2B2B2B"/>
        <rFont val="DejaVu Sans"/>
        <family val="1"/>
        <charset val="1"/>
      </rPr>
      <t xml:space="preserve">16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1"/>
        <charset val="1"/>
      </rPr>
      <t xml:space="preserve">17</t>
    </r>
    <r>
      <rPr>
        <sz val="8"/>
        <color rgb="FF2B2B2B"/>
        <rFont val="DejaVu Sans"/>
        <family val="2"/>
      </rPr>
      <t xml:space="preserve">조에 따라 계약이 해지되는 경우 계약자는 즉시 회사가 지정하는 장소로 이</t>
    </r>
  </si>
  <si>
    <r>
      <rPr>
        <sz val="8"/>
        <color rgb="FF2B2B2B"/>
        <rFont val="DejaVu Sans"/>
        <family val="2"/>
      </rPr>
      <t xml:space="preserve">④ 제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호부터 제</t>
    </r>
    <r>
      <rPr>
        <sz val="8"/>
        <color rgb="FF2B2B2B"/>
        <rFont val="맑은 고딕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호까지의 기준에도 불구하고 실제 수리비가 본 기준 금액을 초과하는 경</t>
    </r>
  </si>
  <si>
    <r>
      <rPr>
        <sz val="8"/>
        <color rgb="FF2B2B2B"/>
        <rFont val="DejaVu Sans"/>
        <family val="2"/>
      </rPr>
      <t xml:space="preserve">륜차를 반환하여야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</si>
  <si>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실비를 기준으로 청구할 수 있다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</si>
  <si>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9"/>
        <color rgb="FF1F3864"/>
        <rFont val="맑은 고딕"/>
        <family val="3"/>
        <charset val="129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</si>
</sst>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b val="true"/>
      <sz val="9"/>
      <color rgb="FFFFFFFF"/>
      <name val="DejaVu Sans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3"/>
      <charset val="129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b val="true"/>
      <sz val="9"/>
      <color rgb="FF1F3864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b val="true"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 val="true"/>
      <sz val="14"/>
      <color rgb="FFFFFFFF"/>
      <name val="맑은 고딕"/>
      <family val="3"/>
      <charset val="129"/>
    </font>
    <font>
      <b val="true"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1"/>
      <charset val="129"/>
    </font>
    <font>
      <sz val="8"/>
      <color rgb="FF2B2B2B"/>
      <name val="DejaVu Sans"/>
      <family val="2"/>
      <charset val="129"/>
    </font>
    <font>
      <b val="true"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sz val="10"/>
      <color theme="1"/>
      <name val="Calibri"/>
      <family val="2"/>
      <charset val="1"/>
    </font>
    <font>
      <b val="true"/>
      <sz val="10"/>
      <name val="DejaVu Sans"/>
      <family val="2"/>
    </font>
    <font>
      <sz val="8"/>
      <color rgb="FF2B2B2B"/>
      <name val="DejaVu San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F7F9FC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medium">
        <color rgb="FF1F3864"/>
      </right>
      <top style="thin">
        <color rgb="FFBFBFBF"/>
      </top>
      <bottom style="thin">
        <color theme="0" tint="-0.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R15" activePane="bottomRight" state="frozen"/>
      <selection pane="topLeft" activeCell="A1" activeCellId="0" sqref="A1"/>
      <selection pane="topRight" activeCell="R1" activeCellId="0" sqref="R1"/>
      <selection pane="bottomLeft" activeCell="A15" activeCellId="0" sqref="A15"/>
      <selection pane="bottomRight" activeCell="R53" activeCellId="0" sqref="R53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30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30.75" hidden="false" customHeight="true" outlineLevel="0" collapsed="false">
      <c r="A2" s="2" t="n">
        <v>1</v>
      </c>
      <c r="B2" s="2" t="s">
        <v>30</v>
      </c>
      <c r="C2" s="2" t="s">
        <v>31</v>
      </c>
      <c r="D2" s="2" t="s">
        <v>32</v>
      </c>
      <c r="E2" s="3" t="s">
        <v>33</v>
      </c>
      <c r="F2" s="3" t="s">
        <v>34</v>
      </c>
      <c r="G2" s="2" t="n">
        <v>12000</v>
      </c>
      <c r="H2" s="2" t="n">
        <v>365</v>
      </c>
      <c r="I2" s="2" t="n">
        <v>300000</v>
      </c>
      <c r="J2" s="3" t="s">
        <v>35</v>
      </c>
      <c r="K2" s="2" t="s">
        <v>36</v>
      </c>
      <c r="L2" s="2" t="s">
        <v>37</v>
      </c>
      <c r="M2" s="2" t="s">
        <v>38</v>
      </c>
      <c r="N2" s="3" t="s">
        <v>39</v>
      </c>
      <c r="O2" s="3" t="s">
        <v>40</v>
      </c>
      <c r="P2" s="2" t="s">
        <v>41</v>
      </c>
      <c r="Q2" s="3" t="s">
        <v>42</v>
      </c>
      <c r="R2" s="2" t="s">
        <v>43</v>
      </c>
      <c r="S2" s="2" t="s">
        <v>44</v>
      </c>
      <c r="T2" s="3" t="s">
        <v>45</v>
      </c>
      <c r="U2" s="2" t="s">
        <v>46</v>
      </c>
      <c r="V2" s="2" t="s">
        <v>47</v>
      </c>
      <c r="W2" s="3" t="s">
        <v>48</v>
      </c>
      <c r="X2" s="3" t="s">
        <v>49</v>
      </c>
      <c r="Y2" s="2" t="s">
        <v>50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8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B45" activeCellId="0" sqref="B45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.56"/>
    <col collapsed="false" customWidth="true" hidden="false" outlineLevel="0" max="3" min="2" style="0" width="10"/>
    <col collapsed="false" customWidth="true" hidden="false" outlineLevel="0" max="4" min="4" style="0" width="17.4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.56"/>
    <col collapsed="false" customWidth="true" hidden="false" outlineLevel="0" max="12" min="12" style="0" width="6"/>
  </cols>
  <sheetData>
    <row r="1" customFormat="false" ht="7.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56</v>
      </c>
    </row>
    <row r="2" customFormat="false" ht="48" hidden="false" customHeight="true" outlineLevel="0" collapsed="false">
      <c r="A2" s="4"/>
      <c r="B2" s="6" t="s">
        <v>57</v>
      </c>
      <c r="C2" s="6"/>
      <c r="D2" s="6"/>
      <c r="E2" s="6"/>
      <c r="F2" s="6"/>
      <c r="G2" s="6"/>
      <c r="H2" s="6"/>
      <c r="I2" s="6"/>
      <c r="J2" s="6"/>
      <c r="K2" s="4"/>
      <c r="L2" s="7" t="n">
        <v>1</v>
      </c>
    </row>
    <row r="3" customFormat="false" ht="24" hidden="false" customHeight="true" outlineLevel="0" collapsed="false">
      <c r="A3" s="4"/>
      <c r="B3" s="8" t="s">
        <v>58</v>
      </c>
      <c r="C3" s="8"/>
      <c r="D3" s="8"/>
      <c r="E3" s="8"/>
      <c r="F3" s="9" t="s">
        <v>0</v>
      </c>
      <c r="G3" s="9"/>
      <c r="H3" s="9"/>
      <c r="I3" s="10" t="str">
        <f aca="false">IFERROR(TEXT($L$2,"0000"),"")</f>
        <v>0001</v>
      </c>
      <c r="J3" s="10"/>
      <c r="K3" s="4"/>
      <c r="L3" s="4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5.5" hidden="false" customHeight="true" outlineLevel="0" collapsed="false">
      <c r="A5" s="4"/>
      <c r="B5" s="11" t="s">
        <v>59</v>
      </c>
      <c r="C5" s="11"/>
      <c r="D5" s="11"/>
      <c r="E5" s="11"/>
      <c r="F5" s="11"/>
      <c r="G5" s="11"/>
      <c r="H5" s="11"/>
      <c r="I5" s="11"/>
      <c r="J5" s="11"/>
      <c r="K5" s="4"/>
      <c r="L5" s="4"/>
    </row>
    <row r="6" customFormat="false" ht="21.75" hidden="false" customHeight="true" outlineLevel="0" collapsed="false">
      <c r="A6" s="4"/>
      <c r="B6" s="12" t="s">
        <v>2</v>
      </c>
      <c r="C6" s="13" t="str">
        <f aca="false">IFERROR(IF(VLOOKUP($L$2,계약리스트!$A$2:$AD$10000,3,0)="","",VLOOKUP($L$2,계약리스트!$A$2:$AD$10000,3,0)),"")</f>
        <v>PCX125</v>
      </c>
      <c r="D6" s="13"/>
      <c r="E6" s="12" t="s">
        <v>4</v>
      </c>
      <c r="F6" s="13" t="str">
        <f aca="false">IFERROR(IF(VLOOKUP($L$2,계약리스트!$A$2:$AD$10000,5,0)="","",VLOOKUP($L$2,계약리스트!$A$2:$AD$10000,5,0)),"")</f>
        <v>서울바1234</v>
      </c>
      <c r="G6" s="13"/>
      <c r="H6" s="12" t="s">
        <v>5</v>
      </c>
      <c r="I6" s="13" t="str">
        <f aca="false">IFERROR(IF(VLOOKUP($L$2,계약리스트!$A$2:$AD$10000,6,0)="","",VLOOKUP($L$2,계약리스트!$A$2:$AD$10000,6,0)),"")</f>
        <v>블랙</v>
      </c>
      <c r="J6" s="13"/>
      <c r="K6" s="4"/>
      <c r="L6" s="4"/>
    </row>
    <row r="7" customFormat="false" ht="21.75" hidden="false" customHeight="true" outlineLevel="0" collapsed="false">
      <c r="A7" s="4"/>
      <c r="B7" s="12" t="s">
        <v>3</v>
      </c>
      <c r="C7" s="13" t="str">
        <f aca="false">IFERROR(IF(VLOOKUP($L$2,계약리스트!$A$2:$AD$10000,4,0)="","",VLOOKUP($L$2,계약리스트!$A$2:$AD$10000,4,0)),"")</f>
        <v>MLHJF81H2ST000001</v>
      </c>
      <c r="D7" s="13"/>
      <c r="E7" s="12" t="s">
        <v>60</v>
      </c>
      <c r="F7" s="14" t="s">
        <v>61</v>
      </c>
      <c r="G7" s="14"/>
      <c r="H7" s="12" t="s">
        <v>1</v>
      </c>
      <c r="I7" s="13" t="str">
        <f aca="false">IFERROR(IF(VLOOKUP($L$2,계약리스트!$A$2:$AD$10000,2,0)="","",VLOOKUP($L$2,계약리스트!$A$2:$AD$10000,2,0)),"")</f>
        <v>2026-04-23</v>
      </c>
      <c r="J7" s="13"/>
      <c r="K7" s="4"/>
      <c r="L7" s="4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25.5" hidden="false" customHeight="true" outlineLevel="0" collapsed="false">
      <c r="A9" s="4"/>
      <c r="B9" s="11" t="s">
        <v>62</v>
      </c>
      <c r="C9" s="11"/>
      <c r="D9" s="11"/>
      <c r="E9" s="11"/>
      <c r="F9" s="11"/>
      <c r="G9" s="11"/>
      <c r="H9" s="11"/>
      <c r="I9" s="11"/>
      <c r="J9" s="11"/>
      <c r="K9" s="4"/>
      <c r="L9" s="4"/>
    </row>
    <row r="10" customFormat="false" ht="21.75" hidden="false" customHeight="true" outlineLevel="0" collapsed="false">
      <c r="A10" s="4"/>
      <c r="B10" s="12" t="s">
        <v>63</v>
      </c>
      <c r="C10" s="13" t="str">
        <f aca="false">IFERROR(IF(VLOOKUP($L$2,계약리스트!$A$2:$AD$10000,10,0)="","",VLOOKUP($L$2,계약리스트!$A$2:$AD$10000,10,0)),"")</f>
        <v>홍길동</v>
      </c>
      <c r="D10" s="13"/>
      <c r="E10" s="12" t="s">
        <v>64</v>
      </c>
      <c r="F10" s="13" t="str">
        <f aca="false">IFERROR(IF(VLOOKUP($L$2,계약리스트!$A$2:$AD$10000,11,0)="","",VLOOKUP($L$2,계약리스트!$A$2:$AD$10000,11,0)),"")</f>
        <v>900101-1234567</v>
      </c>
      <c r="G10" s="13"/>
      <c r="H10" s="12" t="s">
        <v>65</v>
      </c>
      <c r="I10" s="13" t="str">
        <f aca="false">IFERROR(IF(VLOOKUP($L$2,계약리스트!$A$2:$AD$10000,12,0)="","",VLOOKUP($L$2,계약리스트!$A$2:$AD$10000,12,0)),"")</f>
        <v>010-1234-5678</v>
      </c>
      <c r="J10" s="13"/>
      <c r="K10" s="4"/>
      <c r="L10" s="4"/>
    </row>
    <row r="11" customFormat="false" ht="21.75" hidden="false" customHeight="true" outlineLevel="0" collapsed="false">
      <c r="A11" s="4"/>
      <c r="B11" s="12" t="s">
        <v>66</v>
      </c>
      <c r="C11" s="14" t="str">
        <f aca="false">IFERROR(IF(VLOOKUP($L$2,계약리스트!$A$2:$AD$10000,14,0)="","",VLOOKUP($L$2,계약리스트!$A$2:$AD$10000,14,0)),"")</f>
        <v>서울시 강남구 테헤란로 123</v>
      </c>
      <c r="D11" s="14"/>
      <c r="E11" s="14"/>
      <c r="F11" s="14"/>
      <c r="G11" s="14"/>
      <c r="H11" s="14"/>
      <c r="I11" s="14"/>
      <c r="J11" s="14"/>
      <c r="K11" s="4"/>
      <c r="L11" s="4"/>
    </row>
    <row r="12" customFormat="false" ht="19.5" hidden="false" customHeight="true" outlineLevel="0" collapsed="false">
      <c r="A12" s="4"/>
      <c r="B12" s="15" t="s">
        <v>67</v>
      </c>
      <c r="C12" s="15"/>
      <c r="D12" s="15"/>
      <c r="E12" s="15"/>
      <c r="F12" s="15"/>
      <c r="G12" s="15"/>
      <c r="H12" s="15"/>
      <c r="I12" s="15"/>
      <c r="J12" s="15"/>
      <c r="K12" s="4"/>
      <c r="L12" s="4"/>
    </row>
    <row r="13" customFormat="false" ht="7.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25.5" hidden="false" customHeight="true" outlineLevel="0" collapsed="false">
      <c r="A14" s="4"/>
      <c r="B14" s="11" t="s">
        <v>68</v>
      </c>
      <c r="C14" s="11"/>
      <c r="D14" s="11"/>
      <c r="E14" s="11"/>
      <c r="F14" s="11"/>
      <c r="G14" s="11"/>
      <c r="H14" s="11"/>
      <c r="I14" s="11"/>
      <c r="J14" s="11"/>
      <c r="K14" s="4"/>
      <c r="L14" s="4"/>
    </row>
    <row r="15" customFormat="false" ht="21.75" hidden="false" customHeight="true" outlineLevel="0" collapsed="false">
      <c r="A15" s="4"/>
      <c r="B15" s="12" t="s">
        <v>69</v>
      </c>
      <c r="C15" s="13" t="str">
        <f aca="false">IFERROR(IF(VLOOKUP($L$2,계약리스트!$A$2:$AD$10000,18,0)="","",VLOOKUP($L$2,계약리스트!$A$2:$AD$10000,18,0)),"")</f>
        <v>(주)퀵배달</v>
      </c>
      <c r="D15" s="13"/>
      <c r="E15" s="12" t="s">
        <v>70</v>
      </c>
      <c r="F15" s="13" t="str">
        <f aca="false">IFERROR(IF(VLOOKUP($L$2,계약리스트!$A$2:$AD$10000,19,0)="","",VLOOKUP($L$2,계약리스트!$A$2:$AD$10000,19,0)),"")</f>
        <v>123-45-67890</v>
      </c>
      <c r="G15" s="13"/>
      <c r="H15" s="12" t="s">
        <v>71</v>
      </c>
      <c r="I15" s="13" t="str">
        <f aca="false">IFERROR(IF(VLOOKUP($L$2,계약리스트!$A$2:$AD$10000,25,0)="","",VLOOKUP($L$2,계약리스트!$A$2:$AD$10000,25,0)),"")</f>
        <v>biz@example.com</v>
      </c>
      <c r="J15" s="13"/>
      <c r="K15" s="4"/>
      <c r="L15" s="4"/>
    </row>
    <row r="16" customFormat="false" ht="21.75" hidden="false" customHeight="true" outlineLevel="0" collapsed="false">
      <c r="A16" s="4"/>
      <c r="B16" s="12" t="s">
        <v>72</v>
      </c>
      <c r="C16" s="13" t="str">
        <f aca="false">IFERROR(IF(VLOOKUP($L$2,계약리스트!$A$2:$AD$10000,20,0)="","",VLOOKUP($L$2,계약리스트!$A$2:$AD$10000,20,0)),"")</f>
        <v>김대표</v>
      </c>
      <c r="D16" s="13"/>
      <c r="E16" s="12" t="s">
        <v>73</v>
      </c>
      <c r="F16" s="13" t="str">
        <f aca="false">IFERROR(IF(VLOOKUP($L$2,계약리스트!$A$2:$AD$10000,21,0)="","",VLOOKUP($L$2,계약리스트!$A$2:$AD$10000,21,0)),"")</f>
        <v>700101-1234567</v>
      </c>
      <c r="G16" s="13"/>
      <c r="H16" s="12" t="s">
        <v>74</v>
      </c>
      <c r="I16" s="13" t="str">
        <f aca="false">IFERROR(IF(VLOOKUP($L$2,계약리스트!$A$2:$AD$10000,22,0)="","",VLOOKUP($L$2,계약리스트!$A$2:$AD$10000,22,0)),"")</f>
        <v>010-9876-5432</v>
      </c>
      <c r="J16" s="13"/>
      <c r="K16" s="4"/>
      <c r="L16" s="4"/>
    </row>
    <row r="17" customFormat="false" ht="21.75" hidden="false" customHeight="true" outlineLevel="0" collapsed="false">
      <c r="A17" s="4"/>
      <c r="B17" s="12" t="s">
        <v>75</v>
      </c>
      <c r="C17" s="14" t="str">
        <f aca="false">IFERROR(IF(VLOOKUP($L$2,계약리스트!$A$2:$AD$10000,23,0)="","",VLOOKUP($L$2,계약리스트!$A$2:$AD$10000,23,0)),"")</f>
        <v>서울시 강남구 봉은사로 100</v>
      </c>
      <c r="D17" s="14"/>
      <c r="E17" s="14"/>
      <c r="F17" s="14"/>
      <c r="G17" s="14"/>
      <c r="H17" s="14"/>
      <c r="I17" s="14"/>
      <c r="J17" s="14"/>
      <c r="K17" s="4"/>
      <c r="L17" s="4"/>
    </row>
    <row r="18" customFormat="false" ht="21.75" hidden="false" customHeight="true" outlineLevel="0" collapsed="false">
      <c r="A18" s="4"/>
      <c r="B18" s="12" t="s">
        <v>76</v>
      </c>
      <c r="C18" s="14" t="str">
        <f aca="false">IFERROR(IF(VLOOKUP($L$2,계약리스트!$A$2:$AD$10000,24,0)="","",VLOOKUP($L$2,계약리스트!$A$2:$AD$10000,24,0)),"")</f>
        <v>서울시 송파구 잠실동 200</v>
      </c>
      <c r="D18" s="14"/>
      <c r="E18" s="14"/>
      <c r="F18" s="14"/>
      <c r="G18" s="14"/>
      <c r="H18" s="14"/>
      <c r="I18" s="14"/>
      <c r="J18" s="14"/>
      <c r="K18" s="4"/>
      <c r="L18" s="4"/>
    </row>
    <row r="19" customFormat="false" ht="21.75" hidden="false" customHeight="true" outlineLevel="0" collapsed="false">
      <c r="A19" s="4"/>
      <c r="B19" s="15" t="str">
        <f aca="false"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15"/>
      <c r="D19" s="15"/>
      <c r="E19" s="15"/>
      <c r="F19" s="15"/>
      <c r="G19" s="15"/>
      <c r="H19" s="15"/>
      <c r="I19" s="15"/>
      <c r="J19" s="15"/>
      <c r="K19" s="4"/>
      <c r="L19" s="4"/>
    </row>
    <row r="20" customFormat="false" ht="7.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25.5" hidden="false" customHeight="true" outlineLevel="0" collapsed="false">
      <c r="A21" s="4"/>
      <c r="B21" s="11" t="s">
        <v>77</v>
      </c>
      <c r="C21" s="11"/>
      <c r="D21" s="11"/>
      <c r="E21" s="11"/>
      <c r="F21" s="11"/>
      <c r="G21" s="11"/>
      <c r="H21" s="11"/>
      <c r="I21" s="11"/>
      <c r="J21" s="11"/>
      <c r="K21" s="4"/>
      <c r="L21" s="4"/>
    </row>
    <row r="22" customFormat="false" ht="21.75" hidden="false" customHeight="true" outlineLevel="0" collapsed="false">
      <c r="A22" s="4"/>
      <c r="B22" s="12" t="s">
        <v>25</v>
      </c>
      <c r="C22" s="13" t="str">
        <f aca="false">IFERROR(IF(VLOOKUP($L$2,계약리스트!$A$2:$AD$10000,26,0)="","",VLOOKUP($L$2,계약리스트!$A$2:$AD$10000,26,0)),"")</f>
        <v>할부 판매</v>
      </c>
      <c r="D22" s="13"/>
      <c r="E22" s="12" t="s">
        <v>26</v>
      </c>
      <c r="F22" s="13" t="str">
        <f aca="false">IFERROR(IF(VLOOKUP($L$2,계약리스트!$A$2:$AD$10000,27,0)="","",VLOOKUP($L$2,계약리스트!$A$2:$AD$10000,27,0)),"")</f>
        <v>인수형</v>
      </c>
      <c r="G22" s="13"/>
      <c r="H22" s="12" t="s">
        <v>78</v>
      </c>
      <c r="I22" s="13" t="str">
        <f aca="false">IFERROR(VLOOKUP($L$2,계약리스트!$A$2:$AD$10000,8,0)&amp;"일","")</f>
        <v>365일</v>
      </c>
      <c r="J22" s="13"/>
      <c r="K22" s="4"/>
      <c r="L22" s="4"/>
    </row>
    <row r="23" customFormat="false" ht="21.75" hidden="false" customHeight="true" outlineLevel="0" collapsed="false">
      <c r="A23" s="4"/>
      <c r="B23" s="12" t="s">
        <v>79</v>
      </c>
      <c r="C23" s="13" t="str">
        <f aca="false">IFERROR(TEXT(VLOOKUP($L$2,계약리스트!$A$2:$AD$10000,7,0),"#,##0")&amp;" 원","")</f>
        <v>12,000 원</v>
      </c>
      <c r="D23" s="13"/>
      <c r="E23" s="12" t="s">
        <v>8</v>
      </c>
      <c r="F23" s="13" t="str">
        <f aca="false">IFERROR(TEXT(VLOOKUP($L$2,계약리스트!$A$2:$AD$10000,9,0),"#,##0")&amp;" 원","")</f>
        <v>300,000 원</v>
      </c>
      <c r="G23" s="13"/>
      <c r="H23" s="12" t="s">
        <v>29</v>
      </c>
      <c r="I23" s="13" t="str">
        <f aca="false">IFERROR(IF(VLOOKUP($L$2,계약리스트!$A$2:$AD$10000,30,0)="","",VLOOKUP($L$2,계약리스트!$A$2:$AD$10000,30,0)),"")</f>
        <v>월2회(15일, 말일)</v>
      </c>
      <c r="J23" s="13"/>
      <c r="K23" s="4"/>
      <c r="L23" s="4"/>
    </row>
    <row r="24" customFormat="false" ht="21.75" hidden="false" customHeight="true" outlineLevel="0" collapsed="false">
      <c r="A24" s="4"/>
      <c r="B24" s="12" t="s">
        <v>27</v>
      </c>
      <c r="C24" s="14" t="s">
        <v>53</v>
      </c>
      <c r="D24" s="14"/>
      <c r="E24" s="12" t="s">
        <v>80</v>
      </c>
      <c r="F24" s="14" t="s">
        <v>81</v>
      </c>
      <c r="G24" s="14"/>
      <c r="H24" s="14"/>
      <c r="I24" s="14"/>
      <c r="J24" s="14"/>
      <c r="K24" s="4"/>
      <c r="L24" s="4"/>
    </row>
    <row r="25" customFormat="false" ht="21.75" hidden="false" customHeight="true" outlineLevel="0" collapsed="false">
      <c r="A25" s="4"/>
      <c r="B25" s="12" t="s">
        <v>28</v>
      </c>
      <c r="C25" s="14" t="s">
        <v>54</v>
      </c>
      <c r="D25" s="14"/>
      <c r="E25" s="14"/>
      <c r="F25" s="14"/>
      <c r="G25" s="14"/>
      <c r="H25" s="14"/>
      <c r="I25" s="14"/>
      <c r="J25" s="14"/>
      <c r="K25" s="4"/>
      <c r="L25" s="4"/>
    </row>
    <row r="26" customFormat="false" ht="7.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25.5" hidden="false" customHeight="true" outlineLevel="0" collapsed="false">
      <c r="A27" s="4"/>
      <c r="B27" s="11" t="s">
        <v>82</v>
      </c>
      <c r="C27" s="11"/>
      <c r="D27" s="11"/>
      <c r="E27" s="11"/>
      <c r="F27" s="11"/>
      <c r="G27" s="11"/>
      <c r="H27" s="11"/>
      <c r="I27" s="11"/>
      <c r="J27" s="11"/>
      <c r="K27" s="4"/>
      <c r="L27" s="4"/>
    </row>
    <row r="28" customFormat="false" ht="21.75" hidden="false" customHeight="true" outlineLevel="0" collapsed="false">
      <c r="A28" s="4"/>
      <c r="B28" s="12" t="s">
        <v>83</v>
      </c>
      <c r="C28" s="14" t="s">
        <v>58</v>
      </c>
      <c r="D28" s="14"/>
      <c r="E28" s="12" t="s">
        <v>70</v>
      </c>
      <c r="F28" s="13" t="s">
        <v>84</v>
      </c>
      <c r="G28" s="13"/>
      <c r="H28" s="12" t="s">
        <v>85</v>
      </c>
      <c r="I28" s="14" t="s">
        <v>86</v>
      </c>
      <c r="J28" s="14"/>
      <c r="K28" s="4"/>
      <c r="L28" s="4"/>
    </row>
    <row r="29" customFormat="false" ht="21.75" hidden="false" customHeight="true" outlineLevel="0" collapsed="false">
      <c r="A29" s="4"/>
      <c r="B29" s="12" t="s">
        <v>66</v>
      </c>
      <c r="C29" s="14" t="s">
        <v>87</v>
      </c>
      <c r="D29" s="14"/>
      <c r="E29" s="14"/>
      <c r="F29" s="14"/>
      <c r="G29" s="12" t="s">
        <v>88</v>
      </c>
      <c r="H29" s="13" t="s">
        <v>89</v>
      </c>
      <c r="I29" s="13"/>
      <c r="J29" s="13"/>
      <c r="K29" s="4"/>
      <c r="L29" s="4"/>
    </row>
    <row r="30" customFormat="false" ht="7.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25.5" hidden="false" customHeight="true" outlineLevel="0" collapsed="false">
      <c r="A31" s="4"/>
      <c r="B31" s="11" t="s">
        <v>90</v>
      </c>
      <c r="C31" s="11"/>
      <c r="D31" s="11"/>
      <c r="E31" s="11"/>
      <c r="F31" s="11"/>
      <c r="G31" s="11"/>
      <c r="H31" s="11"/>
      <c r="I31" s="11"/>
      <c r="J31" s="11"/>
      <c r="K31" s="4"/>
      <c r="L31" s="4"/>
    </row>
    <row r="32" customFormat="false" ht="27.75" hidden="false" customHeight="true" outlineLevel="0" collapsed="false">
      <c r="A32" s="4"/>
      <c r="B32" s="16" t="s">
        <v>91</v>
      </c>
      <c r="C32" s="16"/>
      <c r="D32" s="16"/>
      <c r="E32" s="16"/>
      <c r="F32" s="16"/>
      <c r="G32" s="16"/>
      <c r="H32" s="16"/>
      <c r="I32" s="16"/>
      <c r="J32" s="16"/>
      <c r="K32" s="4"/>
      <c r="L32" s="4"/>
    </row>
    <row r="33" customFormat="false" ht="27.75" hidden="false" customHeight="true" outlineLevel="0" collapsed="false">
      <c r="A33" s="4"/>
      <c r="B33" s="17" t="s">
        <v>92</v>
      </c>
      <c r="C33" s="17"/>
      <c r="D33" s="17"/>
      <c r="E33" s="17"/>
      <c r="F33" s="17"/>
      <c r="G33" s="17"/>
      <c r="H33" s="17"/>
      <c r="I33" s="17"/>
      <c r="J33" s="17"/>
      <c r="K33" s="4"/>
      <c r="L33" s="4"/>
    </row>
    <row r="34" customFormat="false" ht="27.75" hidden="false" customHeight="true" outlineLevel="0" collapsed="false">
      <c r="A34" s="4"/>
      <c r="B34" s="16" t="s">
        <v>93</v>
      </c>
      <c r="C34" s="16"/>
      <c r="D34" s="16"/>
      <c r="E34" s="16"/>
      <c r="F34" s="16"/>
      <c r="G34" s="16"/>
      <c r="H34" s="16"/>
      <c r="I34" s="16"/>
      <c r="J34" s="16"/>
      <c r="K34" s="4"/>
      <c r="L34" s="4"/>
    </row>
    <row r="35" customFormat="false" ht="27.75" hidden="false" customHeight="true" outlineLevel="0" collapsed="false">
      <c r="A35" s="4"/>
      <c r="B35" s="17" t="s">
        <v>94</v>
      </c>
      <c r="C35" s="17"/>
      <c r="D35" s="17"/>
      <c r="E35" s="17"/>
      <c r="F35" s="17"/>
      <c r="G35" s="17"/>
      <c r="H35" s="17"/>
      <c r="I35" s="17"/>
      <c r="J35" s="17"/>
      <c r="K35" s="4"/>
      <c r="L35" s="4"/>
    </row>
    <row r="36" customFormat="false" ht="27.75" hidden="false" customHeight="true" outlineLevel="0" collapsed="false">
      <c r="A36" s="4"/>
      <c r="B36" s="16" t="s">
        <v>95</v>
      </c>
      <c r="C36" s="16"/>
      <c r="D36" s="16"/>
      <c r="E36" s="16"/>
      <c r="F36" s="16"/>
      <c r="G36" s="16"/>
      <c r="H36" s="16"/>
      <c r="I36" s="16"/>
      <c r="J36" s="16"/>
      <c r="K36" s="4"/>
      <c r="L36" s="4"/>
    </row>
    <row r="37" customFormat="false" ht="7.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25.5" hidden="false" customHeight="true" outlineLevel="0" collapsed="false">
      <c r="A38" s="4"/>
      <c r="B38" s="18" t="s">
        <v>96</v>
      </c>
      <c r="C38" s="18"/>
      <c r="D38" s="18"/>
      <c r="E38" s="18"/>
      <c r="F38" s="18"/>
      <c r="G38" s="18"/>
      <c r="H38" s="18"/>
      <c r="I38" s="18"/>
      <c r="J38" s="18"/>
      <c r="K38" s="4"/>
      <c r="L38" s="4"/>
    </row>
    <row r="39" customFormat="false" ht="27.75" hidden="false" customHeight="true" outlineLevel="0" collapsed="false">
      <c r="A39" s="4"/>
      <c r="B39" s="12" t="s">
        <v>97</v>
      </c>
      <c r="C39" s="12"/>
      <c r="D39" s="19" t="s">
        <v>98</v>
      </c>
      <c r="E39" s="19"/>
      <c r="F39" s="19"/>
      <c r="G39" s="19"/>
      <c r="H39" s="19"/>
      <c r="I39" s="19"/>
      <c r="J39" s="19"/>
      <c r="K39" s="4"/>
      <c r="L39" s="4"/>
    </row>
    <row r="40" customFormat="false" ht="27.75" hidden="false" customHeight="true" outlineLevel="0" collapsed="false">
      <c r="A40" s="4"/>
      <c r="B40" s="12" t="s">
        <v>99</v>
      </c>
      <c r="C40" s="12"/>
      <c r="D40" s="19" t="s">
        <v>100</v>
      </c>
      <c r="E40" s="19"/>
      <c r="F40" s="19"/>
      <c r="G40" s="19"/>
      <c r="H40" s="19"/>
      <c r="I40" s="19"/>
      <c r="J40" s="19"/>
      <c r="K40" s="4"/>
      <c r="L40" s="4"/>
    </row>
    <row r="41" customFormat="false" ht="27.75" hidden="false" customHeight="true" outlineLevel="0" collapsed="false">
      <c r="A41" s="4"/>
      <c r="B41" s="12" t="s">
        <v>101</v>
      </c>
      <c r="C41" s="12"/>
      <c r="D41" s="19" t="s">
        <v>102</v>
      </c>
      <c r="E41" s="19"/>
      <c r="F41" s="19"/>
      <c r="G41" s="19"/>
      <c r="H41" s="19"/>
      <c r="I41" s="19"/>
      <c r="J41" s="19"/>
      <c r="K41" s="4"/>
      <c r="L41" s="4"/>
    </row>
    <row r="42" customFormat="false" ht="27.75" hidden="false" customHeight="true" outlineLevel="0" collapsed="false">
      <c r="A42" s="4"/>
      <c r="B42" s="12" t="s">
        <v>103</v>
      </c>
      <c r="C42" s="12"/>
      <c r="D42" s="19" t="s">
        <v>104</v>
      </c>
      <c r="E42" s="19"/>
      <c r="F42" s="19"/>
      <c r="G42" s="19"/>
      <c r="H42" s="19"/>
      <c r="I42" s="19"/>
      <c r="J42" s="19"/>
      <c r="K42" s="4"/>
      <c r="L42" s="4"/>
    </row>
    <row r="43" customFormat="false" ht="27.75" hidden="false" customHeight="true" outlineLevel="0" collapsed="false">
      <c r="A43" s="4"/>
      <c r="B43" s="12" t="s">
        <v>105</v>
      </c>
      <c r="C43" s="12"/>
      <c r="D43" s="19" t="s">
        <v>106</v>
      </c>
      <c r="E43" s="19"/>
      <c r="F43" s="19"/>
      <c r="G43" s="19"/>
      <c r="H43" s="19"/>
      <c r="I43" s="19"/>
      <c r="J43" s="19"/>
      <c r="K43" s="4"/>
      <c r="L43" s="4"/>
    </row>
    <row r="44" customFormat="false" ht="27.75" hidden="false" customHeight="true" outlineLevel="0" collapsed="false">
      <c r="A44" s="4"/>
      <c r="B44" s="12" t="s">
        <v>107</v>
      </c>
      <c r="C44" s="12"/>
      <c r="D44" s="19" t="s">
        <v>108</v>
      </c>
      <c r="E44" s="19"/>
      <c r="F44" s="19"/>
      <c r="G44" s="19"/>
      <c r="H44" s="19"/>
      <c r="I44" s="19"/>
      <c r="J44" s="19"/>
      <c r="K44" s="4"/>
      <c r="L44" s="4"/>
    </row>
    <row r="45" customFormat="false" ht="25.5" hidden="false" customHeight="true" outlineLevel="0" collapsed="false">
      <c r="A45" s="4"/>
      <c r="B45" s="20" t="s">
        <v>109</v>
      </c>
      <c r="C45" s="20"/>
      <c r="D45" s="20"/>
      <c r="E45" s="20"/>
      <c r="F45" s="20"/>
      <c r="G45" s="20"/>
      <c r="H45" s="20"/>
      <c r="I45" s="20"/>
      <c r="J45" s="20"/>
      <c r="K45" s="4"/>
      <c r="L45" s="4"/>
    </row>
    <row r="46" customFormat="false" ht="12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25.5" hidden="false" customHeight="true" outlineLevel="0" collapsed="false">
      <c r="A47" s="4"/>
      <c r="B47" s="11" t="s">
        <v>110</v>
      </c>
      <c r="C47" s="11"/>
      <c r="D47" s="11"/>
      <c r="E47" s="11"/>
      <c r="F47" s="11"/>
      <c r="G47" s="11"/>
      <c r="H47" s="11"/>
      <c r="I47" s="11"/>
      <c r="J47" s="11"/>
      <c r="K47" s="4"/>
      <c r="L47" s="4"/>
    </row>
    <row r="48" customFormat="false" ht="31.5" hidden="false" customHeight="true" outlineLevel="0" collapsed="false">
      <c r="A48" s="4"/>
      <c r="B48" s="21" t="s">
        <v>111</v>
      </c>
      <c r="C48" s="21"/>
      <c r="D48" s="21"/>
      <c r="E48" s="21"/>
      <c r="F48" s="21"/>
      <c r="G48" s="21"/>
      <c r="H48" s="21"/>
      <c r="I48" s="21"/>
      <c r="J48" s="21"/>
      <c r="K48" s="4"/>
      <c r="L48" s="4"/>
    </row>
    <row r="49" customFormat="false" ht="48" hidden="false" customHeight="true" outlineLevel="0" collapsed="false">
      <c r="A49" s="4"/>
      <c r="B49" s="12" t="s">
        <v>112</v>
      </c>
      <c r="C49" s="22" t="str">
        <f aca="false">IFERROR(IF(VLOOKUP($L$2,계약리스트!$A$2:$AD$10000,10,0)="","",VLOOKUP($L$2,계약리스트!$A$2:$AD$10000,10,0)),"")</f>
        <v>홍길동</v>
      </c>
      <c r="D49" s="22"/>
      <c r="E49" s="22"/>
      <c r="F49" s="23" t="s">
        <v>113</v>
      </c>
      <c r="G49" s="12" t="s">
        <v>114</v>
      </c>
      <c r="H49" s="24" t="str">
        <f aca="false">IFERROR(IF(VLOOKUP($L$2,계약리스트!$A$2:$AD$10000,18,0)="","",VLOOKUP($L$2,계약리스트!$A$2:$AD$10000,18,0)),"")</f>
        <v>(주)퀵배달</v>
      </c>
      <c r="I49" s="24"/>
      <c r="J49" s="23" t="s">
        <v>113</v>
      </c>
      <c r="K49" s="4"/>
      <c r="L49" s="4"/>
    </row>
    <row r="50" customFormat="false" ht="24" hidden="false" customHeight="true" outlineLevel="0" collapsed="false">
      <c r="A50" s="4"/>
      <c r="B50" s="12" t="s">
        <v>115</v>
      </c>
      <c r="C50" s="22" t="str">
        <f aca="false">IFERROR(TEXT(VLOOKUP($L$2,계약리스트!$A$2:$AD$10000,2,0),"yyyy년 m월 d일"),"")</f>
        <v>2026년 4월 23일</v>
      </c>
      <c r="D50" s="22"/>
      <c r="E50" s="22"/>
      <c r="F50" s="12" t="s">
        <v>116</v>
      </c>
      <c r="G50" s="12"/>
      <c r="H50" s="22" t="s">
        <v>58</v>
      </c>
      <c r="I50" s="22"/>
      <c r="J50" s="23" t="s">
        <v>113</v>
      </c>
      <c r="K50" s="4"/>
      <c r="L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</sheetData>
  <mergeCells count="70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B9:J9"/>
    <mergeCell ref="C10:D10"/>
    <mergeCell ref="F10:G10"/>
    <mergeCell ref="I10:J10"/>
    <mergeCell ref="C11:J11"/>
    <mergeCell ref="B12:J12"/>
    <mergeCell ref="B14:J14"/>
    <mergeCell ref="C15:D15"/>
    <mergeCell ref="F15:G15"/>
    <mergeCell ref="I15:J15"/>
    <mergeCell ref="C16:D16"/>
    <mergeCell ref="F16:G16"/>
    <mergeCell ref="I16:J16"/>
    <mergeCell ref="C17:J17"/>
    <mergeCell ref="C18:J18"/>
    <mergeCell ref="B19:J19"/>
    <mergeCell ref="B21:J21"/>
    <mergeCell ref="C22:D22"/>
    <mergeCell ref="F22:G22"/>
    <mergeCell ref="I22:J22"/>
    <mergeCell ref="C23:D23"/>
    <mergeCell ref="F23:G23"/>
    <mergeCell ref="I23:J23"/>
    <mergeCell ref="C24:D24"/>
    <mergeCell ref="F24:J24"/>
    <mergeCell ref="C25:J25"/>
    <mergeCell ref="B27:J27"/>
    <mergeCell ref="C28:D28"/>
    <mergeCell ref="F28:G28"/>
    <mergeCell ref="I28:J28"/>
    <mergeCell ref="C29:F29"/>
    <mergeCell ref="H29:J29"/>
    <mergeCell ref="B31:J31"/>
    <mergeCell ref="B32:J32"/>
    <mergeCell ref="B33:J33"/>
    <mergeCell ref="B34:J34"/>
    <mergeCell ref="B35:J35"/>
    <mergeCell ref="B36:J36"/>
    <mergeCell ref="B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J45"/>
    <mergeCell ref="B47:J47"/>
    <mergeCell ref="B48:J48"/>
    <mergeCell ref="C49:E49"/>
    <mergeCell ref="H49:I49"/>
    <mergeCell ref="C50:E50"/>
    <mergeCell ref="F50:G50"/>
    <mergeCell ref="H50:I50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97"/>
  <sheetViews>
    <sheetView showFormulas="false" showGridLines="false" showRowColHeaders="true" showZeros="true" rightToLeft="false" tabSelected="false" showOutlineSymbols="true" defaultGridColor="true" view="normal" topLeftCell="A116" colorId="64" zoomScale="100" zoomScaleNormal="100" zoomScalePageLayoutView="145" workbookViewId="0">
      <selection pane="topLeft" activeCell="D26" activeCellId="0" sqref="D2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1.11"/>
    <col collapsed="false" customWidth="true" hidden="false" outlineLevel="0" max="3" min="3" style="0" width="1.56"/>
    <col collapsed="false" customWidth="true" hidden="false" outlineLevel="0" max="4" min="4" style="0" width="61.11"/>
    <col collapsed="false" customWidth="true" hidden="false" outlineLevel="0" max="5" min="5" style="0" width="2"/>
  </cols>
  <sheetData>
    <row r="1" customFormat="false" ht="31.5" hidden="false" customHeight="true" outlineLevel="0" collapsed="false">
      <c r="B1" s="25" t="s">
        <v>117</v>
      </c>
      <c r="C1" s="25"/>
      <c r="D1" s="25"/>
    </row>
    <row r="3" customFormat="false" ht="14.25" hidden="false" customHeight="true" outlineLevel="0" collapsed="false">
      <c r="B3" s="26" t="s">
        <v>118</v>
      </c>
      <c r="D3" s="27" t="s">
        <v>119</v>
      </c>
    </row>
    <row r="4" customFormat="false" ht="14.25" hidden="false" customHeight="true" outlineLevel="0" collapsed="false">
      <c r="B4" s="27" t="s">
        <v>120</v>
      </c>
      <c r="D4" s="27" t="s">
        <v>121</v>
      </c>
    </row>
    <row r="5" customFormat="false" ht="14.25" hidden="false" customHeight="true" outlineLevel="0" collapsed="false">
      <c r="B5" s="27" t="s">
        <v>122</v>
      </c>
      <c r="D5" s="27" t="s">
        <v>123</v>
      </c>
    </row>
    <row r="6" customFormat="false" ht="14.25" hidden="false" customHeight="true" outlineLevel="0" collapsed="false">
      <c r="B6" s="27"/>
      <c r="D6" s="27" t="s">
        <v>124</v>
      </c>
    </row>
    <row r="7" customFormat="false" ht="14.25" hidden="false" customHeight="true" outlineLevel="0" collapsed="false">
      <c r="B7" s="26" t="s">
        <v>125</v>
      </c>
      <c r="D7" s="27" t="s">
        <v>126</v>
      </c>
    </row>
    <row r="8" customFormat="false" ht="14.25" hidden="false" customHeight="true" outlineLevel="0" collapsed="false">
      <c r="B8" s="28" t="s">
        <v>127</v>
      </c>
      <c r="D8" s="27" t="s">
        <v>128</v>
      </c>
    </row>
    <row r="9" customFormat="false" ht="14.25" hidden="false" customHeight="true" outlineLevel="0" collapsed="false">
      <c r="B9" s="27" t="s">
        <v>129</v>
      </c>
      <c r="D9" s="27" t="s">
        <v>130</v>
      </c>
    </row>
    <row r="10" customFormat="false" ht="14.25" hidden="false" customHeight="true" outlineLevel="0" collapsed="false">
      <c r="B10" s="28" t="s">
        <v>131</v>
      </c>
      <c r="D10" s="27" t="s">
        <v>132</v>
      </c>
    </row>
    <row r="11" customFormat="false" ht="14.25" hidden="false" customHeight="true" outlineLevel="0" collapsed="false">
      <c r="B11" s="27" t="s">
        <v>133</v>
      </c>
      <c r="D11" s="27" t="s">
        <v>134</v>
      </c>
    </row>
    <row r="12" customFormat="false" ht="14.25" hidden="false" customHeight="true" outlineLevel="0" collapsed="false">
      <c r="B12" s="28" t="s">
        <v>135</v>
      </c>
      <c r="D12" s="27" t="s">
        <v>136</v>
      </c>
    </row>
    <row r="13" customFormat="false" ht="14.25" hidden="false" customHeight="true" outlineLevel="0" collapsed="false">
      <c r="B13" s="28" t="s">
        <v>137</v>
      </c>
      <c r="D13" s="27" t="s">
        <v>138</v>
      </c>
    </row>
    <row r="14" customFormat="false" ht="14.25" hidden="false" customHeight="true" outlineLevel="0" collapsed="false">
      <c r="B14" s="27" t="s">
        <v>139</v>
      </c>
      <c r="D14" s="27" t="s">
        <v>140</v>
      </c>
    </row>
    <row r="15" customFormat="false" ht="14.25" hidden="false" customHeight="true" outlineLevel="0" collapsed="false">
      <c r="B15" s="27" t="s">
        <v>141</v>
      </c>
      <c r="D15" s="27" t="s">
        <v>142</v>
      </c>
    </row>
    <row r="16" customFormat="false" ht="14.25" hidden="false" customHeight="true" outlineLevel="0" collapsed="false">
      <c r="B16" s="28" t="s">
        <v>143</v>
      </c>
    </row>
    <row r="17" customFormat="false" ht="14.25" hidden="false" customHeight="true" outlineLevel="0" collapsed="false">
      <c r="B17" s="27" t="s">
        <v>144</v>
      </c>
      <c r="D17" s="26" t="s">
        <v>145</v>
      </c>
    </row>
    <row r="18" customFormat="false" ht="14.25" hidden="false" customHeight="true" outlineLevel="0" collapsed="false">
      <c r="B18" s="28" t="s">
        <v>146</v>
      </c>
      <c r="D18" s="27" t="s">
        <v>147</v>
      </c>
    </row>
    <row r="19" customFormat="false" ht="14.25" hidden="false" customHeight="true" outlineLevel="0" collapsed="false">
      <c r="B19" s="27" t="s">
        <v>148</v>
      </c>
      <c r="D19" s="27" t="s">
        <v>149</v>
      </c>
    </row>
    <row r="20" customFormat="false" ht="14.25" hidden="false" customHeight="true" outlineLevel="0" collapsed="false">
      <c r="B20" s="28" t="s">
        <v>150</v>
      </c>
      <c r="D20" s="27" t="s">
        <v>151</v>
      </c>
    </row>
    <row r="21" customFormat="false" ht="14.25" hidden="false" customHeight="true" outlineLevel="0" collapsed="false">
      <c r="B21" s="27" t="s">
        <v>152</v>
      </c>
      <c r="D21" s="27" t="s">
        <v>153</v>
      </c>
    </row>
    <row r="22" customFormat="false" ht="14.25" hidden="false" customHeight="true" outlineLevel="0" collapsed="false">
      <c r="B22" s="28" t="s">
        <v>154</v>
      </c>
      <c r="D22" s="27" t="s">
        <v>155</v>
      </c>
    </row>
    <row r="23" customFormat="false" ht="14.25" hidden="false" customHeight="true" outlineLevel="0" collapsed="false">
      <c r="B23" s="27" t="s">
        <v>156</v>
      </c>
      <c r="D23" s="27" t="s">
        <v>157</v>
      </c>
    </row>
    <row r="24" customFormat="false" ht="14.25" hidden="false" customHeight="true" outlineLevel="0" collapsed="false">
      <c r="B24" s="28" t="s">
        <v>158</v>
      </c>
      <c r="D24" s="27" t="s">
        <v>159</v>
      </c>
    </row>
    <row r="25" customFormat="false" ht="14.25" hidden="false" customHeight="true" outlineLevel="0" collapsed="false">
      <c r="D25" s="27" t="s">
        <v>160</v>
      </c>
    </row>
    <row r="26" customFormat="false" ht="14.25" hidden="false" customHeight="true" outlineLevel="0" collapsed="false">
      <c r="B26" s="26" t="s">
        <v>161</v>
      </c>
      <c r="D26" s="27" t="s">
        <v>162</v>
      </c>
    </row>
    <row r="27" customFormat="false" ht="14.25" hidden="false" customHeight="true" outlineLevel="0" collapsed="false">
      <c r="B27" s="27" t="s">
        <v>163</v>
      </c>
      <c r="D27" s="27" t="s">
        <v>164</v>
      </c>
    </row>
    <row r="28" customFormat="false" ht="14.25" hidden="false" customHeight="true" outlineLevel="0" collapsed="false">
      <c r="B28" s="27" t="s">
        <v>165</v>
      </c>
      <c r="D28" s="27" t="s">
        <v>166</v>
      </c>
    </row>
    <row r="29" customFormat="false" ht="14.25" hidden="false" customHeight="true" outlineLevel="0" collapsed="false">
      <c r="B29" s="27" t="s">
        <v>167</v>
      </c>
      <c r="D29" s="27" t="s">
        <v>168</v>
      </c>
    </row>
    <row r="30" customFormat="false" ht="14.25" hidden="false" customHeight="true" outlineLevel="0" collapsed="false">
      <c r="D30" s="27" t="s">
        <v>169</v>
      </c>
    </row>
    <row r="31" customFormat="false" ht="14.25" hidden="false" customHeight="true" outlineLevel="0" collapsed="false">
      <c r="B31" s="26" t="s">
        <v>170</v>
      </c>
    </row>
    <row r="32" customFormat="false" ht="14.25" hidden="false" customHeight="true" outlineLevel="0" collapsed="false">
      <c r="B32" s="27" t="s">
        <v>171</v>
      </c>
      <c r="D32" s="26" t="s">
        <v>172</v>
      </c>
    </row>
    <row r="33" customFormat="false" ht="14.25" hidden="false" customHeight="true" outlineLevel="0" collapsed="false">
      <c r="B33" s="27" t="s">
        <v>173</v>
      </c>
      <c r="D33" s="27" t="s">
        <v>174</v>
      </c>
    </row>
    <row r="34" customFormat="false" ht="14.25" hidden="false" customHeight="true" outlineLevel="0" collapsed="false">
      <c r="B34" s="27" t="s">
        <v>175</v>
      </c>
      <c r="D34" s="27" t="s">
        <v>176</v>
      </c>
    </row>
    <row r="35" customFormat="false" ht="14.25" hidden="false" customHeight="true" outlineLevel="0" collapsed="false">
      <c r="B35" s="27" t="s">
        <v>177</v>
      </c>
      <c r="D35" s="27" t="s">
        <v>178</v>
      </c>
    </row>
    <row r="36" customFormat="false" ht="14.25" hidden="false" customHeight="true" outlineLevel="0" collapsed="false">
      <c r="D36" s="27" t="s">
        <v>179</v>
      </c>
    </row>
    <row r="37" customFormat="false" ht="14.25" hidden="false" customHeight="true" outlineLevel="0" collapsed="false">
      <c r="B37" s="26" t="s">
        <v>180</v>
      </c>
      <c r="D37" s="27" t="s">
        <v>181</v>
      </c>
    </row>
    <row r="38" customFormat="false" ht="14.25" hidden="false" customHeight="true" outlineLevel="0" collapsed="false">
      <c r="B38" s="27" t="s">
        <v>182</v>
      </c>
      <c r="D38" s="27" t="s">
        <v>183</v>
      </c>
    </row>
    <row r="39" customFormat="false" ht="14.25" hidden="false" customHeight="true" outlineLevel="0" collapsed="false">
      <c r="B39" s="27" t="s">
        <v>184</v>
      </c>
      <c r="D39" s="27" t="s">
        <v>185</v>
      </c>
    </row>
    <row r="40" customFormat="false" ht="14.25" hidden="false" customHeight="true" outlineLevel="0" collapsed="false">
      <c r="B40" s="27" t="s">
        <v>186</v>
      </c>
      <c r="D40" s="27" t="s">
        <v>187</v>
      </c>
    </row>
    <row r="41" customFormat="false" ht="14.25" hidden="false" customHeight="true" outlineLevel="0" collapsed="false">
      <c r="B41" s="27" t="s">
        <v>188</v>
      </c>
      <c r="D41" s="27" t="s">
        <v>189</v>
      </c>
    </row>
    <row r="42" customFormat="false" ht="14.25" hidden="false" customHeight="true" outlineLevel="0" collapsed="false">
      <c r="B42" s="27" t="s">
        <v>190</v>
      </c>
    </row>
    <row r="43" customFormat="false" ht="14.25" hidden="false" customHeight="true" outlineLevel="0" collapsed="false">
      <c r="B43" s="27" t="s">
        <v>191</v>
      </c>
      <c r="D43" s="26" t="s">
        <v>192</v>
      </c>
    </row>
    <row r="44" customFormat="false" ht="14.25" hidden="false" customHeight="true" outlineLevel="0" collapsed="false">
      <c r="B44" s="27" t="s">
        <v>193</v>
      </c>
      <c r="D44" s="27" t="s">
        <v>194</v>
      </c>
    </row>
    <row r="45" customFormat="false" ht="14.25" hidden="false" customHeight="true" outlineLevel="0" collapsed="false">
      <c r="B45" s="27" t="s">
        <v>195</v>
      </c>
      <c r="D45" s="27" t="s">
        <v>196</v>
      </c>
    </row>
    <row r="46" customFormat="false" ht="14.25" hidden="false" customHeight="true" outlineLevel="0" collapsed="false">
      <c r="B46" s="27" t="s">
        <v>197</v>
      </c>
      <c r="D46" s="27" t="s">
        <v>198</v>
      </c>
    </row>
    <row r="47" customFormat="false" ht="14.25" hidden="false" customHeight="true" outlineLevel="0" collapsed="false">
      <c r="B47" s="27" t="s">
        <v>199</v>
      </c>
      <c r="D47" s="27" t="s">
        <v>200</v>
      </c>
    </row>
    <row r="48" customFormat="false" ht="14.25" hidden="false" customHeight="true" outlineLevel="0" collapsed="false">
      <c r="B48" s="27" t="s">
        <v>201</v>
      </c>
      <c r="D48" s="27" t="s">
        <v>202</v>
      </c>
    </row>
    <row r="49" customFormat="false" ht="14.25" hidden="false" customHeight="true" outlineLevel="0" collapsed="false">
      <c r="B49" s="27" t="s">
        <v>203</v>
      </c>
      <c r="D49" s="27" t="s">
        <v>204</v>
      </c>
    </row>
    <row r="50" customFormat="false" ht="14.25" hidden="false" customHeight="true" outlineLevel="0" collapsed="false">
      <c r="B50" s="27" t="s">
        <v>205</v>
      </c>
      <c r="D50" s="27" t="s">
        <v>206</v>
      </c>
    </row>
    <row r="51" customFormat="false" ht="14.25" hidden="false" customHeight="true" outlineLevel="0" collapsed="false">
      <c r="B51" s="27" t="s">
        <v>207</v>
      </c>
      <c r="D51" s="27" t="s">
        <v>208</v>
      </c>
    </row>
    <row r="52" customFormat="false" ht="14.25" hidden="false" customHeight="true" outlineLevel="0" collapsed="false">
      <c r="B52" s="27" t="s">
        <v>209</v>
      </c>
      <c r="D52" s="27" t="s">
        <v>210</v>
      </c>
    </row>
    <row r="53" customFormat="false" ht="14.25" hidden="false" customHeight="true" outlineLevel="0" collapsed="false">
      <c r="B53" s="29" t="s">
        <v>211</v>
      </c>
      <c r="D53" s="27" t="s">
        <v>212</v>
      </c>
    </row>
    <row r="54" customFormat="false" ht="14.25" hidden="false" customHeight="true" outlineLevel="0" collapsed="false">
      <c r="B54" s="27" t="s">
        <v>213</v>
      </c>
      <c r="D54" s="27" t="s">
        <v>214</v>
      </c>
    </row>
    <row r="55" customFormat="false" ht="14.25" hidden="false" customHeight="true" outlineLevel="0" collapsed="false">
      <c r="B55" s="27" t="s">
        <v>215</v>
      </c>
      <c r="D55" s="27" t="s">
        <v>216</v>
      </c>
    </row>
    <row r="56" customFormat="false" ht="14.25" hidden="false" customHeight="true" outlineLevel="0" collapsed="false">
      <c r="D56" s="27"/>
    </row>
    <row r="57" customFormat="false" ht="14.25" hidden="false" customHeight="true" outlineLevel="0" collapsed="false">
      <c r="B57" s="26" t="s">
        <v>217</v>
      </c>
      <c r="D57" s="26" t="s">
        <v>218</v>
      </c>
    </row>
    <row r="58" customFormat="false" ht="14.25" hidden="false" customHeight="true" outlineLevel="0" collapsed="false">
      <c r="B58" s="27" t="s">
        <v>219</v>
      </c>
      <c r="D58" s="27" t="s">
        <v>220</v>
      </c>
    </row>
    <row r="59" customFormat="false" ht="14.25" hidden="false" customHeight="true" outlineLevel="0" collapsed="false">
      <c r="B59" s="27" t="s">
        <v>221</v>
      </c>
      <c r="D59" s="27" t="s">
        <v>222</v>
      </c>
    </row>
    <row r="60" customFormat="false" ht="14.25" hidden="false" customHeight="true" outlineLevel="0" collapsed="false">
      <c r="B60" s="27" t="s">
        <v>223</v>
      </c>
      <c r="D60" s="27" t="s">
        <v>224</v>
      </c>
    </row>
    <row r="61" customFormat="false" ht="14.25" hidden="false" customHeight="true" outlineLevel="0" collapsed="false">
      <c r="B61" s="27" t="s">
        <v>225</v>
      </c>
      <c r="D61" s="27" t="s">
        <v>226</v>
      </c>
    </row>
    <row r="62" customFormat="false" ht="14.25" hidden="false" customHeight="true" outlineLevel="0" collapsed="false">
      <c r="B62" s="27" t="s">
        <v>227</v>
      </c>
      <c r="D62" s="27" t="s">
        <v>228</v>
      </c>
    </row>
    <row r="63" customFormat="false" ht="14.25" hidden="false" customHeight="true" outlineLevel="0" collapsed="false">
      <c r="B63" s="27"/>
      <c r="D63" s="27" t="s">
        <v>229</v>
      </c>
    </row>
    <row r="64" customFormat="false" ht="14.25" hidden="false" customHeight="true" outlineLevel="0" collapsed="false">
      <c r="B64" s="26" t="s">
        <v>230</v>
      </c>
      <c r="D64" s="27" t="s">
        <v>231</v>
      </c>
    </row>
    <row r="65" customFormat="false" ht="14.25" hidden="false" customHeight="true" outlineLevel="0" collapsed="false">
      <c r="B65" s="27" t="s">
        <v>232</v>
      </c>
      <c r="D65" s="27" t="s">
        <v>233</v>
      </c>
    </row>
    <row r="66" customFormat="false" ht="14.25" hidden="false" customHeight="true" outlineLevel="0" collapsed="false">
      <c r="B66" s="27" t="s">
        <v>234</v>
      </c>
      <c r="D66" s="27"/>
    </row>
    <row r="67" customFormat="false" ht="14.25" hidden="false" customHeight="true" outlineLevel="0" collapsed="false">
      <c r="B67" s="29" t="s">
        <v>235</v>
      </c>
      <c r="D67" s="27"/>
    </row>
    <row r="68" customFormat="false" ht="14.25" hidden="false" customHeight="true" outlineLevel="0" collapsed="false">
      <c r="D68" s="27"/>
    </row>
    <row r="69" customFormat="false" ht="14.25" hidden="false" customHeight="true" outlineLevel="0" collapsed="false">
      <c r="B69" s="26" t="s">
        <v>236</v>
      </c>
      <c r="D69" s="27" t="s">
        <v>237</v>
      </c>
    </row>
    <row r="70" customFormat="false" ht="14.25" hidden="false" customHeight="true" outlineLevel="0" collapsed="false">
      <c r="B70" s="27" t="s">
        <v>238</v>
      </c>
      <c r="D70" s="27" t="s">
        <v>239</v>
      </c>
    </row>
    <row r="71" customFormat="false" ht="14.25" hidden="false" customHeight="true" outlineLevel="0" collapsed="false">
      <c r="B71" s="27" t="s">
        <v>240</v>
      </c>
      <c r="D71" s="27" t="s">
        <v>241</v>
      </c>
    </row>
    <row r="72" customFormat="false" ht="14.25" hidden="false" customHeight="true" outlineLevel="0" collapsed="false">
      <c r="B72" s="27" t="s">
        <v>242</v>
      </c>
      <c r="D72" s="27" t="s">
        <v>243</v>
      </c>
    </row>
    <row r="73" customFormat="false" ht="14.25" hidden="false" customHeight="true" outlineLevel="0" collapsed="false">
      <c r="B73" s="27" t="s">
        <v>244</v>
      </c>
      <c r="D73" s="27"/>
    </row>
    <row r="74" customFormat="false" ht="14.25" hidden="false" customHeight="true" outlineLevel="0" collapsed="false">
      <c r="B74" s="27" t="s">
        <v>245</v>
      </c>
      <c r="D74" s="26" t="s">
        <v>246</v>
      </c>
    </row>
    <row r="75" customFormat="false" ht="14.25" hidden="false" customHeight="true" outlineLevel="0" collapsed="false">
      <c r="B75" s="27"/>
      <c r="D75" s="27" t="s">
        <v>247</v>
      </c>
    </row>
    <row r="76" customFormat="false" ht="14.25" hidden="false" customHeight="true" outlineLevel="0" collapsed="false">
      <c r="B76" s="27"/>
      <c r="D76" s="27" t="s">
        <v>248</v>
      </c>
    </row>
    <row r="77" customFormat="false" ht="14.25" hidden="false" customHeight="true" outlineLevel="0" collapsed="false">
      <c r="B77" s="27" t="s">
        <v>249</v>
      </c>
      <c r="D77" s="27" t="s">
        <v>250</v>
      </c>
    </row>
    <row r="78" customFormat="false" ht="14.25" hidden="false" customHeight="true" outlineLevel="0" collapsed="false">
      <c r="B78" s="27" t="s">
        <v>251</v>
      </c>
      <c r="D78" s="27" t="s">
        <v>252</v>
      </c>
    </row>
    <row r="79" customFormat="false" ht="14.25" hidden="false" customHeight="true" outlineLevel="0" collapsed="false">
      <c r="B79" s="27" t="s">
        <v>253</v>
      </c>
      <c r="D79" s="27" t="s">
        <v>254</v>
      </c>
    </row>
    <row r="80" customFormat="false" ht="14.25" hidden="false" customHeight="true" outlineLevel="0" collapsed="false">
      <c r="D80" s="27" t="s">
        <v>255</v>
      </c>
    </row>
    <row r="81" customFormat="false" ht="14.25" hidden="false" customHeight="true" outlineLevel="0" collapsed="false">
      <c r="B81" s="26" t="s">
        <v>256</v>
      </c>
      <c r="D81" s="27" t="s">
        <v>257</v>
      </c>
    </row>
    <row r="82" customFormat="false" ht="14.25" hidden="false" customHeight="true" outlineLevel="0" collapsed="false">
      <c r="B82" s="27" t="s">
        <v>258</v>
      </c>
      <c r="D82" s="27" t="s">
        <v>259</v>
      </c>
    </row>
    <row r="83" customFormat="false" ht="14.25" hidden="false" customHeight="true" outlineLevel="0" collapsed="false">
      <c r="B83" s="27" t="s">
        <v>260</v>
      </c>
      <c r="D83" s="27" t="s">
        <v>261</v>
      </c>
    </row>
    <row r="84" customFormat="false" ht="14.25" hidden="false" customHeight="true" outlineLevel="0" collapsed="false">
      <c r="B84" s="27" t="s">
        <v>262</v>
      </c>
      <c r="D84" s="27" t="s">
        <v>263</v>
      </c>
    </row>
    <row r="85" customFormat="false" ht="14.25" hidden="false" customHeight="true" outlineLevel="0" collapsed="false">
      <c r="B85" s="27" t="s">
        <v>264</v>
      </c>
      <c r="D85" s="27" t="s">
        <v>265</v>
      </c>
    </row>
    <row r="86" customFormat="false" ht="14.25" hidden="false" customHeight="true" outlineLevel="0" collapsed="false">
      <c r="B86" s="27" t="s">
        <v>266</v>
      </c>
      <c r="D86" s="27" t="s">
        <v>267</v>
      </c>
    </row>
    <row r="87" customFormat="false" ht="14.25" hidden="false" customHeight="true" outlineLevel="0" collapsed="false">
      <c r="B87" s="27" t="s">
        <v>268</v>
      </c>
      <c r="D87" s="27" t="s">
        <v>269</v>
      </c>
    </row>
    <row r="88" customFormat="false" ht="14.25" hidden="false" customHeight="true" outlineLevel="0" collapsed="false">
      <c r="B88" s="27" t="s">
        <v>270</v>
      </c>
      <c r="D88" s="27" t="s">
        <v>271</v>
      </c>
    </row>
    <row r="89" customFormat="false" ht="14.25" hidden="false" customHeight="true" outlineLevel="0" collapsed="false">
      <c r="B89" s="27" t="s">
        <v>272</v>
      </c>
      <c r="D89" s="27" t="s">
        <v>273</v>
      </c>
    </row>
    <row r="90" customFormat="false" ht="14.25" hidden="false" customHeight="true" outlineLevel="0" collapsed="false">
      <c r="B90" s="27"/>
      <c r="D90" s="27" t="s">
        <v>274</v>
      </c>
    </row>
    <row r="91" customFormat="false" ht="14.25" hidden="false" customHeight="true" outlineLevel="0" collapsed="false">
      <c r="B91" s="26" t="s">
        <v>275</v>
      </c>
      <c r="D91" s="27"/>
    </row>
    <row r="92" customFormat="false" ht="14.25" hidden="false" customHeight="true" outlineLevel="0" collapsed="false">
      <c r="B92" s="27" t="s">
        <v>276</v>
      </c>
      <c r="D92" s="26" t="s">
        <v>277</v>
      </c>
    </row>
    <row r="93" customFormat="false" ht="14.25" hidden="false" customHeight="true" outlineLevel="0" collapsed="false">
      <c r="B93" s="27" t="s">
        <v>278</v>
      </c>
      <c r="D93" s="27" t="s">
        <v>279</v>
      </c>
    </row>
    <row r="94" customFormat="false" ht="14.25" hidden="false" customHeight="true" outlineLevel="0" collapsed="false">
      <c r="B94" s="27" t="s">
        <v>280</v>
      </c>
      <c r="D94" s="27" t="s">
        <v>281</v>
      </c>
    </row>
    <row r="95" customFormat="false" ht="14.25" hidden="false" customHeight="true" outlineLevel="0" collapsed="false">
      <c r="B95" s="27" t="s">
        <v>282</v>
      </c>
      <c r="D95" s="27" t="s">
        <v>283</v>
      </c>
    </row>
    <row r="96" customFormat="false" ht="14.25" hidden="false" customHeight="true" outlineLevel="0" collapsed="false">
      <c r="B96" s="27" t="s">
        <v>284</v>
      </c>
      <c r="D96" s="27" t="s">
        <v>285</v>
      </c>
    </row>
    <row r="97" customFormat="false" ht="14.25" hidden="false" customHeight="true" outlineLevel="0" collapsed="false">
      <c r="B97" s="27"/>
      <c r="D97" s="27" t="s">
        <v>286</v>
      </c>
    </row>
    <row r="98" customFormat="false" ht="14.25" hidden="false" customHeight="true" outlineLevel="0" collapsed="false">
      <c r="B98" s="26" t="s">
        <v>287</v>
      </c>
    </row>
    <row r="99" customFormat="false" ht="14.25" hidden="false" customHeight="true" outlineLevel="0" collapsed="false">
      <c r="B99" s="27" t="s">
        <v>288</v>
      </c>
      <c r="D99" s="26" t="s">
        <v>289</v>
      </c>
    </row>
    <row r="100" customFormat="false" ht="14.25" hidden="false" customHeight="true" outlineLevel="0" collapsed="false">
      <c r="B100" s="27" t="s">
        <v>290</v>
      </c>
      <c r="D100" s="27" t="s">
        <v>291</v>
      </c>
    </row>
    <row r="101" customFormat="false" ht="14.25" hidden="false" customHeight="true" outlineLevel="0" collapsed="false">
      <c r="B101" s="27" t="s">
        <v>292</v>
      </c>
      <c r="D101" s="27" t="s">
        <v>293</v>
      </c>
    </row>
    <row r="102" customFormat="false" ht="14.25" hidden="false" customHeight="true" outlineLevel="0" collapsed="false">
      <c r="B102" s="27" t="s">
        <v>294</v>
      </c>
      <c r="D102" s="27" t="s">
        <v>295</v>
      </c>
    </row>
    <row r="103" customFormat="false" ht="14.25" hidden="false" customHeight="true" outlineLevel="0" collapsed="false">
      <c r="B103" s="27" t="s">
        <v>296</v>
      </c>
      <c r="D103" s="27" t="s">
        <v>297</v>
      </c>
    </row>
    <row r="104" customFormat="false" ht="14.25" hidden="false" customHeight="true" outlineLevel="0" collapsed="false">
      <c r="B104" s="27" t="s">
        <v>298</v>
      </c>
      <c r="D104" s="27" t="s">
        <v>299</v>
      </c>
    </row>
    <row r="105" customFormat="false" ht="14.25" hidden="false" customHeight="true" outlineLevel="0" collapsed="false">
      <c r="B105" s="27" t="s">
        <v>300</v>
      </c>
    </row>
    <row r="106" customFormat="false" ht="14.25" hidden="false" customHeight="true" outlineLevel="0" collapsed="false">
      <c r="B106" s="27"/>
      <c r="D106" s="26" t="s">
        <v>301</v>
      </c>
    </row>
    <row r="107" customFormat="false" ht="14.25" hidden="false" customHeight="true" outlineLevel="0" collapsed="false">
      <c r="B107" s="26" t="s">
        <v>302</v>
      </c>
      <c r="D107" s="27" t="s">
        <v>303</v>
      </c>
    </row>
    <row r="108" customFormat="false" ht="14.25" hidden="false" customHeight="true" outlineLevel="0" collapsed="false">
      <c r="B108" s="27" t="s">
        <v>304</v>
      </c>
      <c r="D108" s="27" t="s">
        <v>305</v>
      </c>
    </row>
    <row r="109" customFormat="false" ht="14.25" hidden="false" customHeight="true" outlineLevel="0" collapsed="false">
      <c r="B109" s="27" t="s">
        <v>306</v>
      </c>
      <c r="D109" s="27" t="s">
        <v>307</v>
      </c>
    </row>
    <row r="110" customFormat="false" ht="14.25" hidden="false" customHeight="true" outlineLevel="0" collapsed="false">
      <c r="B110" s="27" t="s">
        <v>308</v>
      </c>
      <c r="D110" s="27" t="s">
        <v>309</v>
      </c>
    </row>
    <row r="111" customFormat="false" ht="14.25" hidden="false" customHeight="true" outlineLevel="0" collapsed="false">
      <c r="B111" s="27" t="s">
        <v>310</v>
      </c>
      <c r="D111" s="27" t="s">
        <v>311</v>
      </c>
    </row>
    <row r="112" customFormat="false" ht="14.25" hidden="false" customHeight="true" outlineLevel="0" collapsed="false">
      <c r="B112" s="27" t="s">
        <v>312</v>
      </c>
      <c r="D112" s="27" t="s">
        <v>313</v>
      </c>
    </row>
    <row r="113" customFormat="false" ht="14.25" hidden="false" customHeight="true" outlineLevel="0" collapsed="false">
      <c r="B113" s="27" t="s">
        <v>314</v>
      </c>
    </row>
    <row r="114" customFormat="false" ht="14.25" hidden="false" customHeight="true" outlineLevel="0" collapsed="false">
      <c r="B114" s="27" t="s">
        <v>315</v>
      </c>
      <c r="D114" s="26" t="s">
        <v>316</v>
      </c>
    </row>
    <row r="115" customFormat="false" ht="14.25" hidden="false" customHeight="true" outlineLevel="0" collapsed="false">
      <c r="B115" s="27" t="s">
        <v>317</v>
      </c>
      <c r="D115" s="27" t="s">
        <v>318</v>
      </c>
    </row>
    <row r="116" customFormat="false" ht="14.25" hidden="false" customHeight="true" outlineLevel="0" collapsed="false">
      <c r="B116" s="27"/>
      <c r="D116" s="27" t="s">
        <v>319</v>
      </c>
    </row>
    <row r="117" customFormat="false" ht="14.25" hidden="false" customHeight="true" outlineLevel="0" collapsed="false">
      <c r="B117" s="26" t="s">
        <v>320</v>
      </c>
      <c r="D117" s="27" t="s">
        <v>321</v>
      </c>
    </row>
    <row r="118" customFormat="false" ht="14.25" hidden="false" customHeight="true" outlineLevel="0" collapsed="false">
      <c r="B118" s="27" t="s">
        <v>322</v>
      </c>
      <c r="D118" s="27" t="s">
        <v>323</v>
      </c>
    </row>
    <row r="119" customFormat="false" ht="14.25" hidden="false" customHeight="true" outlineLevel="0" collapsed="false">
      <c r="B119" s="27" t="s">
        <v>324</v>
      </c>
      <c r="D119" s="27"/>
    </row>
    <row r="120" customFormat="false" ht="14.25" hidden="false" customHeight="true" outlineLevel="0" collapsed="false">
      <c r="B120" s="27" t="s">
        <v>325</v>
      </c>
      <c r="D120" s="26" t="s">
        <v>326</v>
      </c>
    </row>
    <row r="121" customFormat="false" ht="14.25" hidden="false" customHeight="true" outlineLevel="0" collapsed="false">
      <c r="B121" s="27" t="s">
        <v>327</v>
      </c>
      <c r="D121" s="27" t="s">
        <v>328</v>
      </c>
    </row>
    <row r="122" customFormat="false" ht="14.25" hidden="false" customHeight="true" outlineLevel="0" collapsed="false">
      <c r="B122" s="27" t="s">
        <v>329</v>
      </c>
      <c r="C122" s="30"/>
    </row>
    <row r="123" customFormat="false" ht="14.25" hidden="false" customHeight="true" outlineLevel="0" collapsed="false">
      <c r="B123" s="28" t="s">
        <v>330</v>
      </c>
      <c r="C123" s="31"/>
      <c r="D123" s="26" t="s">
        <v>331</v>
      </c>
    </row>
    <row r="124" customFormat="false" ht="14.25" hidden="false" customHeight="true" outlineLevel="0" collapsed="false">
      <c r="B124" s="27" t="s">
        <v>332</v>
      </c>
      <c r="D124" s="27" t="s">
        <v>333</v>
      </c>
    </row>
    <row r="125" customFormat="false" ht="14.25" hidden="false" customHeight="true" outlineLevel="0" collapsed="false">
      <c r="B125" s="31"/>
      <c r="D125" s="27" t="s">
        <v>334</v>
      </c>
    </row>
    <row r="126" customFormat="false" ht="14.25" hidden="false" customHeight="true" outlineLevel="0" collapsed="false">
      <c r="B126" s="26" t="s">
        <v>335</v>
      </c>
      <c r="D126" s="32"/>
    </row>
    <row r="127" customFormat="false" ht="14.25" hidden="false" customHeight="true" outlineLevel="0" collapsed="false">
      <c r="B127" s="27" t="s">
        <v>336</v>
      </c>
      <c r="D127" s="26" t="s">
        <v>337</v>
      </c>
    </row>
    <row r="128" customFormat="false" ht="14.25" hidden="false" customHeight="true" outlineLevel="0" collapsed="false">
      <c r="B128" s="27" t="s">
        <v>338</v>
      </c>
      <c r="D128" s="27" t="s">
        <v>339</v>
      </c>
    </row>
    <row r="129" customFormat="false" ht="14.25" hidden="false" customHeight="false" outlineLevel="0" collapsed="false">
      <c r="B129" s="27" t="s">
        <v>340</v>
      </c>
      <c r="D129" s="27" t="s">
        <v>341</v>
      </c>
    </row>
    <row r="130" customFormat="false" ht="14.25" hidden="false" customHeight="false" outlineLevel="0" collapsed="false">
      <c r="B130" s="27" t="s">
        <v>342</v>
      </c>
      <c r="D130" s="27" t="s">
        <v>343</v>
      </c>
    </row>
    <row r="131" customFormat="false" ht="14.25" hidden="false" customHeight="false" outlineLevel="0" collapsed="false">
      <c r="B131" s="27" t="s">
        <v>344</v>
      </c>
      <c r="D131" s="27" t="s">
        <v>345</v>
      </c>
    </row>
    <row r="132" customFormat="false" ht="14.25" hidden="false" customHeight="false" outlineLevel="0" collapsed="false">
      <c r="D132" s="27" t="s">
        <v>346</v>
      </c>
    </row>
    <row r="133" customFormat="false" ht="14.25" hidden="false" customHeight="false" outlineLevel="0" collapsed="false">
      <c r="B133" s="26" t="s">
        <v>347</v>
      </c>
      <c r="D133" s="27" t="s">
        <v>348</v>
      </c>
    </row>
    <row r="134" customFormat="false" ht="14.25" hidden="false" customHeight="true" outlineLevel="0" collapsed="false">
      <c r="B134" s="27" t="s">
        <v>349</v>
      </c>
      <c r="D134" s="27" t="s">
        <v>350</v>
      </c>
    </row>
    <row r="135" customFormat="false" ht="14.25" hidden="false" customHeight="true" outlineLevel="0" collapsed="false">
      <c r="B135" s="27" t="s">
        <v>351</v>
      </c>
      <c r="D135" s="27" t="s">
        <v>352</v>
      </c>
    </row>
    <row r="136" customFormat="false" ht="14.25" hidden="false" customHeight="true" outlineLevel="0" collapsed="false">
      <c r="B136" s="27"/>
      <c r="D136" s="27"/>
    </row>
    <row r="137" customFormat="false" ht="14.25" hidden="false" customHeight="true" outlineLevel="0" collapsed="false">
      <c r="B137" s="33" t="s">
        <v>353</v>
      </c>
      <c r="C137" s="33"/>
      <c r="D137" s="33"/>
    </row>
    <row r="138" s="34" customFormat="true" ht="14.25" hidden="false" customHeight="true" outlineLevel="0" collapsed="false">
      <c r="B138" s="35" t="str">
        <f aca="false">"계약자             "&amp;계약서!C10&amp;"                       서명 또는 인"</f>
        <v>계약자             홍길동                       서명 또는 인</v>
      </c>
      <c r="C138" s="36"/>
      <c r="D138" s="35" t="str">
        <f aca="false">"연대보증인                 "&amp;계약서!C15&amp;"                 서명 또는 인"</f>
        <v>연대보증인                 (주)퀵배달                 서명 또는 인</v>
      </c>
    </row>
    <row r="139" customFormat="false" ht="14.25" hidden="false" customHeight="true" outlineLevel="0" collapsed="false">
      <c r="D139" s="27"/>
    </row>
    <row r="140" customFormat="false" ht="14.25" hidden="false" customHeight="true" outlineLevel="0" collapsed="false">
      <c r="D140" s="27"/>
    </row>
    <row r="141" customFormat="false" ht="14.25" hidden="false" customHeight="true" outlineLevel="0" collapsed="false">
      <c r="D141" s="27"/>
    </row>
    <row r="142" customFormat="false" ht="14.25" hidden="false" customHeight="true" outlineLevel="0" collapsed="false">
      <c r="D142" s="27"/>
    </row>
    <row r="143" customFormat="false" ht="14.25" hidden="false" customHeight="true" outlineLevel="0" collapsed="false">
      <c r="D143" s="27"/>
    </row>
    <row r="144" customFormat="false" ht="14.25" hidden="false" customHeight="true" outlineLevel="0" collapsed="false"/>
    <row r="145" customFormat="false" ht="14.25" hidden="false" customHeight="true" outlineLevel="0" collapsed="false">
      <c r="D145" s="32"/>
    </row>
    <row r="146" customFormat="false" ht="14.25" hidden="false" customHeight="true" outlineLevel="0" collapsed="false">
      <c r="D146" s="37"/>
    </row>
    <row r="147" customFormat="false" ht="14.25" hidden="false" customHeight="true" outlineLevel="0" collapsed="false">
      <c r="D147" s="27"/>
    </row>
    <row r="148" customFormat="false" ht="48" hidden="false" customHeight="true" outlineLevel="0" collapsed="false">
      <c r="D148" s="27"/>
    </row>
    <row r="149" customFormat="false" ht="31.5" hidden="false" customHeight="true" outlineLevel="0" collapsed="false">
      <c r="D149" s="27"/>
    </row>
    <row r="151" customFormat="false" ht="21.75" hidden="false" customHeight="true" outlineLevel="0" collapsed="false">
      <c r="D151" s="32"/>
    </row>
    <row r="152" customFormat="false" ht="15.75" hidden="false" customHeight="true" outlineLevel="0" collapsed="false">
      <c r="D152" s="27"/>
    </row>
    <row r="153" customFormat="false" ht="31.5" hidden="false" customHeight="true" outlineLevel="0" collapsed="false">
      <c r="D153" s="27"/>
    </row>
    <row r="154" customFormat="false" ht="31.5" hidden="false" customHeight="true" outlineLevel="0" collapsed="false">
      <c r="D154" s="27"/>
    </row>
    <row r="155" customFormat="false" ht="14.25" hidden="false" customHeight="false" outlineLevel="0" collapsed="false">
      <c r="D155" s="27"/>
    </row>
    <row r="156" customFormat="false" ht="21.75" hidden="false" customHeight="true" outlineLevel="0" collapsed="false">
      <c r="D156" s="27"/>
    </row>
    <row r="157" customFormat="false" ht="31.5" hidden="false" customHeight="true" outlineLevel="0" collapsed="false">
      <c r="D157" s="27"/>
    </row>
    <row r="158" customFormat="false" ht="31.5" hidden="false" customHeight="true" outlineLevel="0" collapsed="false">
      <c r="D158" s="27"/>
    </row>
    <row r="159" customFormat="false" ht="31.5" hidden="false" customHeight="true" outlineLevel="0" collapsed="false">
      <c r="D159" s="27"/>
    </row>
    <row r="161" customFormat="false" ht="21.75" hidden="false" customHeight="true" outlineLevel="0" collapsed="false"/>
    <row r="162" customFormat="false" ht="31.5" hidden="false" customHeight="true" outlineLevel="0" collapsed="false"/>
    <row r="163" customFormat="false" ht="31.5" hidden="false" customHeight="true" outlineLevel="0" collapsed="false">
      <c r="D163" s="30"/>
    </row>
    <row r="164" customFormat="false" ht="31.5" hidden="false" customHeight="true" outlineLevel="0" collapsed="false">
      <c r="D164" s="31"/>
    </row>
    <row r="165" customFormat="false" ht="15.75" hidden="false" customHeight="true" outlineLevel="0" collapsed="false"/>
    <row r="167" customFormat="false" ht="21.75" hidden="false" customHeight="true" outlineLevel="0" collapsed="false"/>
    <row r="168" customFormat="false" ht="31.5" hidden="false" customHeight="true" outlineLevel="0" collapsed="false"/>
    <row r="169" customFormat="false" ht="31.5" hidden="false" customHeight="true" outlineLevel="0" collapsed="false"/>
    <row r="171" customFormat="false" ht="21.75" hidden="false" customHeight="true" outlineLevel="0" collapsed="false"/>
    <row r="172" customFormat="false" ht="15.75" hidden="false" customHeight="true" outlineLevel="0" collapsed="false"/>
    <row r="174" customFormat="false" ht="21.75" hidden="false" customHeight="true" outlineLevel="0" collapsed="false"/>
    <row r="175" customFormat="false" ht="31.5" hidden="false" customHeight="true" outlineLevel="0" collapsed="false"/>
    <row r="179" customFormat="false" ht="21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5" customFormat="false" ht="21.75" hidden="false" customHeight="true" outlineLevel="0" collapsed="false"/>
    <row r="186" customFormat="false" ht="48" hidden="false" customHeight="true" outlineLevel="0" collapsed="false"/>
    <row r="187" customFormat="false" ht="48" hidden="false" customHeight="true" outlineLevel="0" collapsed="false"/>
    <row r="188" customFormat="false" ht="48" hidden="false" customHeight="true" outlineLevel="0" collapsed="false"/>
    <row r="189" customFormat="false" ht="31.5" hidden="false" customHeight="true" outlineLevel="0" collapsed="false"/>
    <row r="190" customFormat="false" ht="31.5" hidden="false" customHeight="true" outlineLevel="0" collapsed="false"/>
    <row r="191" customFormat="false" ht="31.5" hidden="false" customHeight="true" outlineLevel="0" collapsed="false"/>
    <row r="192" customFormat="false" ht="31.5" hidden="false" customHeight="true" outlineLevel="0" collapsed="false"/>
    <row r="193" customFormat="false" ht="15.75" hidden="false" customHeight="true" outlineLevel="0" collapsed="false"/>
    <row r="196" customFormat="false" ht="21.75" hidden="false" customHeight="true" outlineLevel="0" collapsed="false"/>
    <row r="197" customFormat="false" ht="31.5" hidden="false" customHeight="true" outlineLevel="0" collapsed="false"/>
  </sheetData>
  <mergeCells count="2">
    <mergeCell ref="B1:D1"/>
    <mergeCell ref="B137:D13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2026-04-23T08:36:35Z</dcterms:created>
  <dc:creator>openpyxl</dc:creator>
  <dc:description/>
  <dc:language>en-US</dc:language>
  <cp:lastModifiedBy>유주 박</cp:lastModifiedBy>
  <cp:lastPrinted>2026-04-24T03:21:24Z</cp:lastPrinted>
  <dcterms:modified xsi:type="dcterms:W3CDTF">2026-04-27T06:01:32Z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