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lsy\Downloads\"/>
    </mc:Choice>
  </mc:AlternateContent>
  <xr:revisionPtr revIDLastSave="0" documentId="13_ncr:1_{977C0F01-D0BE-4BDE-A914-CD46B7E37CEF}" xr6:coauthVersionLast="47" xr6:coauthVersionMax="47" xr10:uidLastSave="{00000000-0000-0000-0000-000000000000}"/>
  <bookViews>
    <workbookView xWindow="-108" yWindow="-108" windowWidth="30936" windowHeight="16776" tabRatio="500" activeTab="3" xr2:uid="{00000000-000D-0000-FFFF-FFFF00000000}"/>
  </bookViews>
  <sheets>
    <sheet name="계약리스트" sheetId="1" r:id="rId1"/>
    <sheet name="계약서" sheetId="2" r:id="rId2"/>
    <sheet name="이용약관" sheetId="3" r:id="rId3"/>
    <sheet name="이용약관 (2)" sheetId="4" r:id="rId4"/>
  </sheets>
  <externalReferences>
    <externalReference r:id="rId5"/>
  </externalReferences>
  <definedNames>
    <definedName name="_xlnm.Print_Area" localSheetId="1">계약서!$A$1:$K$52</definedName>
    <definedName name="_xlnm.Print_Area" localSheetId="3">'이용약관 (2)'!$A$1:$D$143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2" i="4" l="1"/>
  <c r="B142" i="4"/>
  <c r="C51" i="2"/>
  <c r="F12" i="2"/>
  <c r="C52" i="2"/>
  <c r="H51" i="2"/>
  <c r="C24" i="2"/>
  <c r="C23" i="2"/>
  <c r="I22" i="2"/>
  <c r="F22" i="2"/>
  <c r="C22" i="2"/>
  <c r="I21" i="2"/>
  <c r="F21" i="2"/>
  <c r="C21" i="2"/>
  <c r="C17" i="2"/>
  <c r="I16" i="2"/>
  <c r="F16" i="2"/>
  <c r="C16" i="2"/>
  <c r="C12" i="2"/>
  <c r="I11" i="2"/>
  <c r="F11" i="2"/>
  <c r="C11" i="2"/>
  <c r="C8" i="2"/>
  <c r="I7" i="2"/>
  <c r="F7" i="2"/>
  <c r="C7" i="2"/>
  <c r="I6" i="2"/>
  <c r="F6" i="2"/>
  <c r="C6" i="2"/>
  <c r="I3" i="2"/>
</calcChain>
</file>

<file path=xl/sharedStrings.xml><?xml version="1.0" encoding="utf-8"?>
<sst xmlns="http://schemas.openxmlformats.org/spreadsheetml/2006/main" count="534" uniqueCount="509">
  <si>
    <t>계약번호</t>
  </si>
  <si>
    <t>계약일자</t>
  </si>
  <si>
    <t>차종</t>
  </si>
  <si>
    <t>차대번호</t>
  </si>
  <si>
    <t>차량번호</t>
  </si>
  <si>
    <t>색상</t>
  </si>
  <si>
    <t>정비여부</t>
  </si>
  <si>
    <t>보험연령</t>
  </si>
  <si>
    <t>일사용료</t>
  </si>
  <si>
    <t>사용일수</t>
  </si>
  <si>
    <t>보증금</t>
  </si>
  <si>
    <t>사업장 업체명</t>
  </si>
  <si>
    <t>사업자번호</t>
  </si>
  <si>
    <t>대표자명</t>
  </si>
  <si>
    <t>업체주소</t>
  </si>
  <si>
    <t>사업장 연락처</t>
  </si>
  <si>
    <t>사업장 이메일</t>
  </si>
  <si>
    <t>대표자 주민번호</t>
  </si>
  <si>
    <t>대표자 연락처</t>
  </si>
  <si>
    <t>대표자 주소</t>
  </si>
  <si>
    <t>계약유형</t>
  </si>
  <si>
    <t>상품유형</t>
  </si>
  <si>
    <t>납입방법</t>
  </si>
  <si>
    <t>납입계좌</t>
  </si>
  <si>
    <t>요금결제일</t>
  </si>
  <si>
    <t>2026-04-24</t>
  </si>
  <si>
    <t>UHR150</t>
  </si>
  <si>
    <t>LWMTDKH95THJ00467</t>
  </si>
  <si>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DejaVu Sans"/>
        <family val="2"/>
      </rPr>
      <t>나</t>
    </r>
    <r>
      <rPr>
        <sz val="10"/>
        <color rgb="FF000000"/>
        <rFont val="맑은 고딕"/>
        <family val="3"/>
        <charset val="129"/>
      </rPr>
      <t>88370</t>
    </r>
  </si>
  <si>
    <t>화이트</t>
  </si>
  <si>
    <t>비포함</t>
  </si>
  <si>
    <r>
      <rPr>
        <sz val="10"/>
        <color rgb="FF000000"/>
        <rFont val="DejaVu Sans"/>
        <family val="2"/>
      </rPr>
      <t>만</t>
    </r>
    <r>
      <rPr>
        <sz val="10"/>
        <color rgb="FF000000"/>
        <rFont val="맑은 고딕"/>
        <family val="3"/>
        <charset val="129"/>
      </rPr>
      <t>30</t>
    </r>
    <r>
      <rPr>
        <sz val="10"/>
        <color rgb="FF000000"/>
        <rFont val="DejaVu Sans"/>
        <family val="2"/>
      </rPr>
      <t>세</t>
    </r>
  </si>
  <si>
    <t>중앙 오토바이 가수점</t>
  </si>
  <si>
    <t>737-55-00719</t>
  </si>
  <si>
    <t>안종식</t>
  </si>
  <si>
    <r>
      <rPr>
        <sz val="10"/>
        <color rgb="FF000000"/>
        <rFont val="DejaVu Sans"/>
        <family val="2"/>
      </rPr>
      <t xml:space="preserve">경기도 오산시 가장로 </t>
    </r>
    <r>
      <rPr>
        <sz val="10"/>
        <color rgb="FF000000"/>
        <rFont val="맑은 고딕"/>
        <family val="3"/>
        <charset val="129"/>
      </rPr>
      <t>763, 1</t>
    </r>
    <r>
      <rPr>
        <sz val="10"/>
        <color rgb="FF000000"/>
        <rFont val="DejaVu Sans"/>
        <family val="2"/>
      </rPr>
      <t xml:space="preserve">층 </t>
    </r>
    <r>
      <rPr>
        <sz val="10"/>
        <color rgb="FF000000"/>
        <rFont val="맑은 고딕"/>
        <family val="3"/>
        <charset val="129"/>
      </rPr>
      <t>5,6</t>
    </r>
    <r>
      <rPr>
        <sz val="10"/>
        <color rgb="FF000000"/>
        <rFont val="DejaVu Sans"/>
        <family val="2"/>
      </rPr>
      <t>호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가수동</t>
    </r>
    <r>
      <rPr>
        <sz val="10"/>
        <color rgb="FF000000"/>
        <rFont val="맑은 고딕"/>
        <family val="3"/>
        <charset val="129"/>
      </rPr>
      <t>)</t>
    </r>
  </si>
  <si>
    <t>010-5813-7336</t>
  </si>
  <si>
    <t>jungang@example.com</t>
  </si>
  <si>
    <t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</si>
  <si>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맑은 고딕"/>
        <family val="3"/>
        <charset val="129"/>
      </rPr>
      <t>77, 1</t>
    </r>
    <r>
      <rPr>
        <sz val="10"/>
        <color rgb="FF000000"/>
        <rFont val="DejaVu Sans"/>
        <family val="2"/>
      </rPr>
      <t>층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궐동</t>
    </r>
    <r>
      <rPr>
        <sz val="10"/>
        <color rgb="FF000000"/>
        <rFont val="맑은 고딕"/>
        <family val="3"/>
        <charset val="129"/>
      </rPr>
      <t>)</t>
    </r>
  </si>
  <si>
    <t>렌트</t>
  </si>
  <si>
    <t>인수형</t>
  </si>
  <si>
    <t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</si>
  <si>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맑은 고딕"/>
        <family val="3"/>
        <charset val="129"/>
      </rPr>
      <t xml:space="preserve">929-028075-04-011 </t>
    </r>
    <r>
      <rPr>
        <sz val="10"/>
        <color rgb="FF000000"/>
        <rFont val="DejaVu Sans"/>
        <family val="2"/>
      </rPr>
      <t>포어스바이크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유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</si>
  <si>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>월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맑은 고딕"/>
        <family val="3"/>
        <charset val="129"/>
      </rPr>
      <t>(15</t>
    </r>
    <r>
      <rPr>
        <sz val="10"/>
        <color rgb="FF000000"/>
        <rFont val="DejaVu Sans"/>
        <family val="2"/>
      </rPr>
      <t>일</t>
    </r>
    <r>
      <rPr>
        <sz val="10"/>
        <color rgb="FF000000"/>
        <rFont val="맑은 고딕"/>
        <family val="3"/>
        <charset val="129"/>
      </rPr>
      <t>,</t>
    </r>
    <r>
      <rPr>
        <sz val="10"/>
        <color rgb="FF000000"/>
        <rFont val="DejaVu Sans"/>
        <family val="2"/>
      </rPr>
      <t>말일</t>
    </r>
    <r>
      <rPr>
        <sz val="10"/>
        <color rgb="FF000000"/>
        <rFont val="맑은 고딕"/>
        <family val="3"/>
        <charset val="129"/>
      </rPr>
      <t>)</t>
    </r>
  </si>
  <si>
    <t>계약번호입력→</t>
  </si>
  <si>
    <t>포어스바이크 유한회사</t>
  </si>
  <si>
    <t>■ 차량 정보</t>
  </si>
  <si>
    <t>업체명</t>
  </si>
  <si>
    <t>연락처</t>
  </si>
  <si>
    <t>성명</t>
  </si>
  <si>
    <t>주민등록번호</t>
  </si>
  <si>
    <t>주소</t>
  </si>
  <si>
    <r>
      <rPr>
        <i/>
        <sz val="8"/>
        <color rgb="FF595959"/>
        <rFont val="DejaVu Sans"/>
        <family val="2"/>
      </rPr>
      <t xml:space="preserve">※ 제출 서류 </t>
    </r>
    <r>
      <rPr>
        <i/>
        <sz val="8"/>
        <color rgb="FF595959"/>
        <rFont val="맑은 고딕"/>
        <family val="3"/>
        <charset val="129"/>
      </rPr>
      <t xml:space="preserve">: </t>
    </r>
    <r>
      <rPr>
        <i/>
        <sz val="8"/>
        <color rgb="FF595959"/>
        <rFont val="DejaVu Sans"/>
        <family val="2"/>
      </rPr>
      <t xml:space="preserve">대표자 신분증 사본  </t>
    </r>
    <r>
      <rPr>
        <i/>
        <sz val="8"/>
        <color rgb="FF595959"/>
        <rFont val="맑은 고딕"/>
        <family val="3"/>
        <charset val="129"/>
      </rPr>
      <t xml:space="preserve">|  </t>
    </r>
    <r>
      <rPr>
        <i/>
        <sz val="8"/>
        <color rgb="FF595959"/>
        <rFont val="DejaVu Sans"/>
        <family val="2"/>
      </rPr>
      <t xml:space="preserve">보증 기한 </t>
    </r>
    <r>
      <rPr>
        <i/>
        <sz val="8"/>
        <color rgb="FF595959"/>
        <rFont val="맑은 고딕"/>
        <family val="3"/>
        <charset val="129"/>
      </rPr>
      <t>: 2</t>
    </r>
    <r>
      <rPr>
        <i/>
        <sz val="8"/>
        <color rgb="FF595959"/>
        <rFont val="DejaVu Sans"/>
        <family val="2"/>
      </rPr>
      <t xml:space="preserve">년  </t>
    </r>
    <r>
      <rPr>
        <i/>
        <sz val="8"/>
        <color rgb="FF595959"/>
        <rFont val="맑은 고딕"/>
        <family val="3"/>
        <charset val="129"/>
      </rPr>
      <t xml:space="preserve">|  </t>
    </r>
    <r>
      <rPr>
        <i/>
        <sz val="8"/>
        <color rgb="FF595959"/>
        <rFont val="DejaVu Sans"/>
        <family val="2"/>
      </rPr>
      <t xml:space="preserve">보증 한도 </t>
    </r>
    <r>
      <rPr>
        <i/>
        <sz val="8"/>
        <color rgb="FF595959"/>
        <rFont val="맑은 고딕"/>
        <family val="3"/>
        <charset val="129"/>
      </rPr>
      <t xml:space="preserve">: </t>
    </r>
    <r>
      <rPr>
        <i/>
        <sz val="8"/>
        <color rgb="FF595959"/>
        <rFont val="DejaVu Sans"/>
        <family val="2"/>
      </rPr>
      <t xml:space="preserve">전체 이용료의 </t>
    </r>
    <r>
      <rPr>
        <i/>
        <sz val="8"/>
        <color rgb="FF595959"/>
        <rFont val="맑은 고딕"/>
        <family val="3"/>
        <charset val="129"/>
      </rPr>
      <t>130%</t>
    </r>
  </si>
  <si>
    <t>■ 계약 조건</t>
  </si>
  <si>
    <t>렌탈 기간</t>
  </si>
  <si>
    <r>
      <rPr>
        <b/>
        <sz val="9"/>
        <color rgb="FF1F3864"/>
        <rFont val="DejaVu Sans"/>
        <family val="2"/>
      </rPr>
      <t xml:space="preserve">일사용료
</t>
    </r>
    <r>
      <rPr>
        <b/>
        <sz val="9"/>
        <color rgb="FF1F3864"/>
        <rFont val="맑은 고딕"/>
        <family val="3"/>
        <charset val="129"/>
      </rPr>
      <t>(VAT</t>
    </r>
    <r>
      <rPr>
        <b/>
        <sz val="9"/>
        <color rgb="FF1F3864"/>
        <rFont val="DejaVu Sans"/>
        <family val="2"/>
      </rPr>
      <t>포함</t>
    </r>
    <r>
      <rPr>
        <b/>
        <sz val="9"/>
        <color rgb="FF1F3864"/>
        <rFont val="맑은 고딕"/>
        <family val="3"/>
        <charset val="129"/>
      </rPr>
      <t>)</t>
    </r>
  </si>
  <si>
    <t>청구시작일</t>
  </si>
  <si>
    <t>차량 인도일부터</t>
  </si>
  <si>
    <r>
      <rPr>
        <b/>
        <sz val="11"/>
        <color rgb="FFFFFFFF"/>
        <rFont val="DejaVu Sans"/>
        <family val="2"/>
      </rPr>
      <t xml:space="preserve">■ 회사 정보 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 xml:space="preserve">공급자 </t>
    </r>
    <r>
      <rPr>
        <b/>
        <sz val="11"/>
        <color rgb="FFFFFFFF"/>
        <rFont val="맑은 고딕"/>
        <family val="3"/>
        <charset val="129"/>
      </rPr>
      <t xml:space="preserve">· </t>
    </r>
    <r>
      <rPr>
        <b/>
        <sz val="11"/>
        <color rgb="FFFFFFFF"/>
        <rFont val="DejaVu Sans"/>
        <family val="2"/>
      </rPr>
      <t>직접 수납</t>
    </r>
    <r>
      <rPr>
        <b/>
        <sz val="11"/>
        <color rgb="FFFFFFFF"/>
        <rFont val="맑은 고딕"/>
        <family val="3"/>
        <charset val="129"/>
      </rPr>
      <t>)</t>
    </r>
  </si>
  <si>
    <t>상호</t>
  </si>
  <si>
    <t>104-86-62883</t>
  </si>
  <si>
    <t>대표이사</t>
  </si>
  <si>
    <t>김현수</t>
  </si>
  <si>
    <t>고객센터</t>
  </si>
  <si>
    <t>010-2730-7845 / 0507-1489-7885</t>
  </si>
  <si>
    <r>
      <rPr>
        <b/>
        <sz val="11"/>
        <color rgb="FFFFFFFF"/>
        <rFont val="DejaVu Sans"/>
        <family val="2"/>
      </rPr>
      <t xml:space="preserve">⚠ 주요 확인사항 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서명 전 필독</t>
    </r>
    <r>
      <rPr>
        <b/>
        <sz val="11"/>
        <color rgb="FFFFFFFF"/>
        <rFont val="맑은 고딕"/>
        <family val="3"/>
        <charset val="129"/>
      </rPr>
      <t>)</t>
    </r>
  </si>
  <si>
    <t>운행자성</t>
  </si>
  <si>
    <t>사고 즉시 고지 의무</t>
  </si>
  <si>
    <t>보험연령 미달자 운전</t>
  </si>
  <si>
    <r>
      <rPr>
        <b/>
        <sz val="9"/>
        <color rgb="FFC00000"/>
        <rFont val="맑은 고딕"/>
        <family val="3"/>
        <charset val="129"/>
      </rPr>
      <t>12</t>
    </r>
    <r>
      <rPr>
        <b/>
        <sz val="9"/>
        <color rgb="FFC00000"/>
        <rFont val="DejaVu Sans"/>
        <family val="2"/>
      </rPr>
      <t>대 중과실</t>
    </r>
    <r>
      <rPr>
        <b/>
        <sz val="9"/>
        <color rgb="FFC00000"/>
        <rFont val="맑은 고딕"/>
        <family val="3"/>
        <charset val="129"/>
      </rPr>
      <t>·</t>
    </r>
    <r>
      <rPr>
        <b/>
        <sz val="9"/>
        <color rgb="FFC00000"/>
        <rFont val="DejaVu Sans"/>
        <family val="2"/>
      </rPr>
      <t>면책사고</t>
    </r>
  </si>
  <si>
    <t>미변제 시 즉시 처리</t>
  </si>
  <si>
    <t>계열사 미납 교차 적용</t>
  </si>
  <si>
    <t>보증금 처리</t>
  </si>
  <si>
    <t>수납 방식</t>
  </si>
  <si>
    <r>
      <rPr>
        <b/>
        <sz val="11"/>
        <color rgb="FFFFFFFF"/>
        <rFont val="DejaVu Sans"/>
        <family val="2"/>
      </rPr>
      <t>■ 개인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신용</t>
    </r>
    <r>
      <rPr>
        <b/>
        <sz val="11"/>
        <color rgb="FFFFFFFF"/>
        <rFont val="맑은 고딕"/>
        <family val="3"/>
        <charset val="129"/>
      </rPr>
      <t>)</t>
    </r>
    <r>
      <rPr>
        <b/>
        <sz val="11"/>
        <color rgb="FFFFFFFF"/>
        <rFont val="DejaVu Sans"/>
        <family val="2"/>
      </rPr>
      <t>정보 수집</t>
    </r>
    <r>
      <rPr>
        <b/>
        <sz val="11"/>
        <color rgb="FFFFFFFF"/>
        <rFont val="맑은 고딕"/>
        <family val="3"/>
        <charset val="129"/>
      </rPr>
      <t>·</t>
    </r>
    <r>
      <rPr>
        <b/>
        <sz val="11"/>
        <color rgb="FFFFFFFF"/>
        <rFont val="DejaVu Sans"/>
        <family val="2"/>
      </rPr>
      <t>이용</t>
    </r>
    <r>
      <rPr>
        <b/>
        <sz val="11"/>
        <color rgb="FFFFFFFF"/>
        <rFont val="맑은 고딕"/>
        <family val="3"/>
        <charset val="129"/>
      </rPr>
      <t xml:space="preserve">, </t>
    </r>
    <r>
      <rPr>
        <b/>
        <sz val="11"/>
        <color rgb="FFFFFFFF"/>
        <rFont val="DejaVu Sans"/>
        <family val="2"/>
      </rPr>
      <t>금융거래정보 제공</t>
    </r>
    <r>
      <rPr>
        <b/>
        <sz val="11"/>
        <color rgb="FFFFFFFF"/>
        <rFont val="맑은 고딕"/>
        <family val="3"/>
        <charset val="129"/>
      </rPr>
      <t xml:space="preserve">, </t>
    </r>
    <r>
      <rPr>
        <b/>
        <sz val="11"/>
        <color rgb="FFFFFFFF"/>
        <rFont val="DejaVu Sans"/>
        <family val="2"/>
      </rPr>
      <t>업무위탁 동의</t>
    </r>
  </si>
  <si>
    <r>
      <rPr>
        <b/>
        <sz val="9"/>
        <color rgb="FF1F3864"/>
        <rFont val="DejaVu Sans"/>
        <family val="2"/>
      </rPr>
      <t>수집</t>
    </r>
    <r>
      <rPr>
        <b/>
        <sz val="9"/>
        <color rgb="FF1F3864"/>
        <rFont val="맑은 고딕"/>
        <family val="3"/>
        <charset val="129"/>
      </rPr>
      <t>·</t>
    </r>
    <r>
      <rPr>
        <b/>
        <sz val="9"/>
        <color rgb="FF1F3864"/>
        <rFont val="DejaVu Sans"/>
        <family val="2"/>
      </rPr>
      <t>이용 목적</t>
    </r>
  </si>
  <si>
    <t>수집 항목</t>
  </si>
  <si>
    <r>
      <rPr>
        <b/>
        <sz val="9"/>
        <color rgb="FF1F3864"/>
        <rFont val="DejaVu Sans"/>
        <family val="2"/>
      </rPr>
      <t>보유</t>
    </r>
    <r>
      <rPr>
        <b/>
        <sz val="9"/>
        <color rgb="FF1F3864"/>
        <rFont val="맑은 고딕"/>
        <family val="3"/>
        <charset val="129"/>
      </rPr>
      <t>·</t>
    </r>
    <r>
      <rPr>
        <b/>
        <sz val="9"/>
        <color rgb="FF1F3864"/>
        <rFont val="DejaVu Sans"/>
        <family val="2"/>
      </rPr>
      <t>이용 기간</t>
    </r>
  </si>
  <si>
    <t>금융거래정보 제공</t>
  </si>
  <si>
    <t>자동이체 동의</t>
  </si>
  <si>
    <t>업무위탁 내역</t>
  </si>
  <si>
    <t>■ 계약 체결</t>
  </si>
  <si>
    <r>
      <rPr>
        <b/>
        <sz val="9"/>
        <color rgb="FF1F3864"/>
        <rFont val="DejaVu Sans"/>
        <family val="2"/>
      </rPr>
      <t xml:space="preserve">계약자
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사업장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</si>
  <si>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인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</si>
  <si>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 xml:space="preserve">연대보증인
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대표자</t>
    </r>
    <r>
      <rPr>
        <b/>
        <sz val="9"/>
        <color rgb="FF1F3864"/>
        <rFont val="맑은 고딕"/>
        <family val="3"/>
        <charset val="129"/>
      </rPr>
      <t>)</t>
    </r>
  </si>
  <si>
    <t>서명일</t>
  </si>
  <si>
    <t>공급자</t>
  </si>
  <si>
    <r>
      <rPr>
        <b/>
        <sz val="14"/>
        <color rgb="FFFFFFFF"/>
        <rFont val="맑은 고딕"/>
        <family val="3"/>
        <charset val="129"/>
      </rPr>
      <t>[</t>
    </r>
    <r>
      <rPr>
        <b/>
        <sz val="14"/>
        <color rgb="FFFFFFFF"/>
        <rFont val="DejaVu Sans"/>
        <family val="2"/>
      </rPr>
      <t>별지</t>
    </r>
    <r>
      <rPr>
        <b/>
        <sz val="14"/>
        <color rgb="FFFFFFFF"/>
        <rFont val="맑은 고딕"/>
        <family val="3"/>
        <charset val="129"/>
      </rPr>
      <t xml:space="preserve">] </t>
    </r>
    <r>
      <rPr>
        <b/>
        <sz val="14"/>
        <color rgb="FFFFFFFF"/>
        <rFont val="DejaVu Sans"/>
        <family val="2"/>
      </rPr>
      <t>이륜차 종합렌탈 계약 이용약관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</si>
  <si>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목적</t>
    </r>
    <r>
      <rPr>
        <b/>
        <sz val="9"/>
        <color rgb="FF1F4E89"/>
        <rFont val="맑은 고딕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</si>
  <si>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계약자 및 사용자의 책임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</si>
  <si>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① 계약자는 선량한 관리자의 주의로 이륜차를 유지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관리하여야 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사용자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라이더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가 운행 중 발생하는 모든 사고에 대한 책임을 부담한다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</si>
  <si>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계약자는 계약 기간 중 임의로 다른 부착물을 장착하거나 이륜차의 구조를 변경할 수 없다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</si>
  <si>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2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용어의 정의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</si>
  <si>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③ 이륜차의 소유권은 회사에 있으며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계약자는 사용수익권과 운행이익권을 가진다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본 계약이 해지된 경우 계약자는 즉시 운행을 중단하고 이륜차를 반환한다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</si>
  <si>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① "</t>
    </r>
    <r>
      <rPr>
        <sz val="8"/>
        <color rgb="FF2B2B2B"/>
        <rFont val="DejaVu Sans"/>
        <family val="2"/>
      </rPr>
      <t>이륜차 렌탈 계약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회사가 계약자의 요청에 따라 이륜차를 취득하여 일정 기간 사용하게 하고 그 대가를 정기적으로 지급받는 계약을 말한다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</si>
  <si>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계약자는 사용자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라이더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의 보험연령 충족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면허 보유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음주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약물 미복용 여부 등 운행 자격을 확인할 의무가 있으며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이를 위반하여 발생한 사고로 인한 손해 일체는 계약자가 부담한다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</si>
  <si>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② "</t>
    </r>
    <r>
      <rPr>
        <sz val="8"/>
        <color rgb="FF2B2B2B"/>
        <rFont val="DejaVu Sans"/>
        <family val="2"/>
      </rPr>
      <t>이륜차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회사가 본 계약서에 특정한 이륜차로서 인도 시 부착된 부속품 및 장착물을 포함한다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</si>
  <si>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⑤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자가 이륜차에 대하여 권리를 주장하거나 강제집행 등으로 회사의 소유권을 침해할 위험이 있는 경우 계약자는 회사의 소유임을 주장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입증하여 침해를 막고 즉시 회사에 통지하여야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</si>
  <si>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③ "</t>
    </r>
    <r>
      <rPr>
        <sz val="8"/>
        <color rgb="FF2B2B2B"/>
        <rFont val="DejaVu Sans"/>
        <family val="2"/>
      </rPr>
      <t>계약기간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계약자가 본 계약에 따라 이륜차를 인도받아 사용하는 기간을 말한다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</si>
  <si>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⑥ 계약자는 이륜차 인도일부터 반환일까지 도난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훼손 등 일체의 사고에 대한 책임을 부담한다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도난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 xml:space="preserve">훼손 시 </t>
    </r>
    <r>
      <rPr>
        <sz val="8"/>
        <color rgb="FF2B2B2B"/>
        <rFont val="맑은 고딕"/>
        <family val="3"/>
        <charset val="129"/>
      </rPr>
      <t xml:space="preserve">(1) </t>
    </r>
    <r>
      <rPr>
        <sz val="8"/>
        <color rgb="FF2B2B2B"/>
        <rFont val="DejaVu Sans"/>
        <family val="2"/>
      </rPr>
      <t xml:space="preserve">원상복구 또는 </t>
    </r>
    <r>
      <rPr>
        <sz val="8"/>
        <color rgb="FF2B2B2B"/>
        <rFont val="맑은 고딕"/>
        <family val="3"/>
        <charset val="129"/>
      </rPr>
      <t xml:space="preserve">(2) </t>
    </r>
    <r>
      <rPr>
        <sz val="8"/>
        <color rgb="FF2B2B2B"/>
        <rFont val="DejaVu Sans"/>
        <family val="2"/>
      </rPr>
      <t>동일 모델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사양으로 교체 중 하나를 자신의 비용으로 이행한다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</si>
  <si>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④ "</t>
    </r>
    <r>
      <rPr>
        <sz val="8"/>
        <color rgb="FF2B2B2B"/>
        <rFont val="DejaVu Sans"/>
        <family val="2"/>
      </rPr>
      <t>보증금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렌탈료 등 본 계약상 채무이행을 담보하기 위해 계약자가 회사에 납부하는 금원을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계약기간 만료 및 모든 채무 이행 완료 시 반환한다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</si>
  <si>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⑤ "</t>
    </r>
    <r>
      <rPr>
        <sz val="8"/>
        <color rgb="FF2B2B2B"/>
        <rFont val="DejaVu Sans"/>
        <family val="2"/>
      </rPr>
      <t>계약자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는 본 계약 제</t>
    </r>
    <r>
      <rPr>
        <sz val="8"/>
        <color rgb="FF2B2B2B"/>
        <rFont val="맑은 고딕"/>
        <family val="3"/>
        <charset val="129"/>
      </rPr>
      <t>1</t>
    </r>
    <r>
      <rPr>
        <sz val="8"/>
        <color rgb="FF2B2B2B"/>
        <rFont val="DejaVu Sans"/>
        <family val="2"/>
      </rPr>
      <t xml:space="preserve">면에 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계약자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배달대행사</t>
    </r>
    <r>
      <rPr>
        <sz val="8"/>
        <color rgb="FF2B2B2B"/>
        <rFont val="맑은 고딕"/>
        <family val="3"/>
        <charset val="129"/>
      </rPr>
      <t>)"</t>
    </r>
    <r>
      <rPr>
        <sz val="8"/>
        <color rgb="FF2B2B2B"/>
        <rFont val="DejaVu Sans"/>
        <family val="2"/>
      </rPr>
      <t>로 기재된 사업장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법인 또는 개인사업자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본 계약상 모든 채무를 부담한다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</si>
  <si>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계약의 이관 및 승계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</si>
  <si>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맑은 고딕"/>
        <family val="3"/>
        <charset val="129"/>
      </rPr>
      <t>⑥ "</t>
    </r>
    <r>
      <rPr>
        <sz val="8"/>
        <color rgb="FF2B2B2B"/>
        <rFont val="DejaVu Sans"/>
        <family val="2"/>
      </rPr>
      <t>연대보증인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은 본 계약 제</t>
    </r>
    <r>
      <rPr>
        <sz val="8"/>
        <color rgb="FF2B2B2B"/>
        <rFont val="맑은 고딕"/>
        <family val="3"/>
        <charset val="129"/>
      </rPr>
      <t>1</t>
    </r>
    <r>
      <rPr>
        <sz val="8"/>
        <color rgb="FF2B2B2B"/>
        <rFont val="DejaVu Sans"/>
        <family val="2"/>
      </rPr>
      <t>면에 기재된 계약자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사업장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의 대표자 개인을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계약자와 연대하여 본 계약상 모든 채무를 부담한다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</si>
  <si>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계약자는 회사의 사전 승인 없이 본 계약상의 권리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의무를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자에게 승계할 수 없다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</si>
  <si>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⑦ "</t>
    </r>
    <r>
      <rPr>
        <sz val="8"/>
        <color rgb="FF2B2B2B"/>
        <rFont val="DejaVu Sans"/>
        <family val="2"/>
      </rPr>
      <t>사용자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라이더</t>
    </r>
    <r>
      <rPr>
        <sz val="8"/>
        <color rgb="FF2B2B2B"/>
        <rFont val="맑은 고딕"/>
        <family val="3"/>
        <charset val="129"/>
      </rPr>
      <t>)"</t>
    </r>
    <r>
      <rPr>
        <sz val="8"/>
        <color rgb="FF2B2B2B"/>
        <rFont val="DejaVu Sans"/>
        <family val="2"/>
      </rPr>
      <t>는 계약자가 지정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관리하는 자로서 실제로 이륜차를 운행하는 자를 말한다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계약자는 사용자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라이더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의 신원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자격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연령 관리에 대한 모든 책임을 부담하며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회사는 사용자의 신원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연령을 사전에 확인할 의무가 없다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</si>
  <si>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계약자가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자에게 승계하고자 하는 경우 인적사항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신용상태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영업상황 등 필요 정보를 제공하여야 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회사는 심사기준에 부합하지 않으면 거절할 수 있다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</si>
  <si>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⑧ "</t>
    </r>
    <r>
      <rPr>
        <sz val="8"/>
        <color rgb="FF2B2B2B"/>
        <rFont val="DejaVu Sans"/>
        <family val="2"/>
      </rPr>
      <t>보험연령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본 계약 차량에 가입된 보험에서 운전자로서 보장 가능한 최저연령을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본 계약 제</t>
    </r>
    <r>
      <rPr>
        <sz val="8"/>
        <color rgb="FF2B2B2B"/>
        <rFont val="맑은 고딕"/>
        <family val="3"/>
        <charset val="129"/>
      </rPr>
      <t>1</t>
    </r>
    <r>
      <rPr>
        <sz val="8"/>
        <color rgb="FF2B2B2B"/>
        <rFont val="DejaVu Sans"/>
        <family val="2"/>
      </rPr>
      <t>면에 기재된 만 나이를 의미한다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</si>
  <si>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회사의 승인 없이 계약자가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자에게 넘긴 경우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계약자는 렌탈료 지급의무 및 기타 채무를 계속 이행하여야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</si>
  <si>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계약이관을 하기 위해서는 렌탈료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수리비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과태료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구상금 등 일체의 미납금이 없어야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</si>
  <si>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⑩ "</t>
    </r>
    <r>
      <rPr>
        <sz val="8"/>
        <color rgb="FF2B2B2B"/>
        <rFont val="DejaVu Sans"/>
        <family val="2"/>
      </rPr>
      <t>지연손해금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계약자가 렌탈료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과태료 등의 납부를 지체한 경우 발생하는 추가 비용을 말한다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</si>
  <si>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⑤ 승계받고자 하는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자가 계약이관서에 서명함으로써 절차는 완료된 것으로 본다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</si>
  <si>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⑪ "</t>
    </r>
    <r>
      <rPr>
        <sz val="8"/>
        <color rgb="FF2B2B2B"/>
        <rFont val="DejaVu Sans"/>
        <family val="2"/>
      </rPr>
      <t>구상금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본 계약 차량 운행 중 발생한 사고로 보험사가 회사에게 청구한 금액 일체를 말한다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</si>
  <si>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차량 위치정보 등 제공 동의</t>
    </r>
    <r>
      <rPr>
        <b/>
        <sz val="9"/>
        <color rgb="FF1F4E89"/>
        <rFont val="맑은 고딕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</si>
  <si>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3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서류 제출 및 보완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</si>
  <si>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① 본 차량에는 도난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분실 위험 방지를 위해 위치정보 수집 장치가 부착되어 있으며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계약자는 이를 인지하고 동의한다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</si>
  <si>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계약자는 본 계약 체결에 필요한 서류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사업자등록증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대표자 신분증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통장 사본 등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를 회사에 제출하여야 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보완 요구에도 성실히 응하여야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</si>
  <si>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계약자는 사용자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라이더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가 운행되는 전 기간에 대하여 위치정보 수집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이용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제공의 적법성을 확보할 책임을 부담하며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이와 관련하여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자로부터 회사에 제기되는 일체의 청구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손해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과태료에 대하여 계약자가 전적으로 책임진다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</si>
  <si>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제출된 서류는 어떠한 경우에도 반환하지 아니한다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</si>
  <si>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계약자는 위치정보 장치를 임의로 변경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제거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훼손할 수 없다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</si>
  <si>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회사는 채무불이행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 해지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회수 절차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보험사고 처리 등 본 계약 이행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관리에 필요한 범위 내에서만 위치정보를 활용한다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</si>
  <si>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이륜차의 인도 및 확인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</si>
  <si>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① 회사는 계약자와 합의한 날에 지정 장소에 이륜차를 인도하며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인도일부터 계약이 개시된다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</si>
  <si>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이륜차 유지비용 및 제세공과금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</si>
  <si>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② 인도 이후에는 계약자는 이륜차의 하자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결함을 이유로 렌탈료 지급의무를 거부할 수 없다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</si>
  <si>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계약자는 관련 법령과 관할관청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회사의 지시를 준수한다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</si>
  <si>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회사는 계약기간 중 언제든 본 계약 준수 여부를 점검할 수 있으며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계약자는 성실히 협조하여야 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</si>
  <si>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보증금 및 계약금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</si>
  <si>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③ 이륜차의 등록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유지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사용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등록말소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폐차 등과 관련하여 렌탈료에 포함되지 않은 비용 및 제세공과금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과태료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범칙금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벌과금 등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은 전적으로 계약자가 부담한다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</si>
  <si>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계약자는 계약 체결 시 회사가 지정하는 계좌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포어스바이크 유한회사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로 보증금을 지급하여야 한다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사전 동의를 받아 보증금 지급이 지연된 경우 회사는 최대 </t>
    </r>
    <r>
      <rPr>
        <sz val="8"/>
        <color rgb="FF2B2B2B"/>
        <rFont val="맑은 고딕"/>
        <family val="3"/>
        <charset val="129"/>
      </rPr>
      <t>7</t>
    </r>
    <r>
      <rPr>
        <sz val="8"/>
        <color rgb="FF2B2B2B"/>
        <rFont val="DejaVu Sans"/>
        <family val="2"/>
      </rPr>
      <t>일의 유예기간을 둘 수 있다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</si>
  <si>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전항의 유예기간 내 지급이 이루어지지 않을 경우 본 계약은 자동 해지되며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계약자는 즉시 이륜차를 반환함과 동시에 </t>
    </r>
    <r>
      <rPr>
        <sz val="8"/>
        <color rgb="FF2B2B2B"/>
        <rFont val="맑은 고딕"/>
        <family val="3"/>
        <charset val="129"/>
      </rPr>
      <t xml:space="preserve">(1) </t>
    </r>
    <r>
      <rPr>
        <sz val="8"/>
        <color rgb="FF2B2B2B"/>
        <rFont val="DejaVu Sans"/>
        <family val="2"/>
      </rPr>
      <t>인도일부터 반환일까지의 일할 사용료</t>
    </r>
    <r>
      <rPr>
        <sz val="8"/>
        <color rgb="FF2B2B2B"/>
        <rFont val="맑은 고딕"/>
        <family val="3"/>
        <charset val="129"/>
      </rPr>
      <t xml:space="preserve">, (2) </t>
    </r>
    <r>
      <rPr>
        <sz val="8"/>
        <color rgb="FF2B2B2B"/>
        <rFont val="DejaVu Sans"/>
        <family val="2"/>
      </rPr>
      <t>이륜차의 감가손실액</t>
    </r>
    <r>
      <rPr>
        <sz val="8"/>
        <color rgb="FF2B2B2B"/>
        <rFont val="맑은 고딕"/>
        <family val="3"/>
        <charset val="129"/>
      </rPr>
      <t xml:space="preserve">, (3) </t>
    </r>
    <r>
      <rPr>
        <sz val="8"/>
        <color rgb="FF2B2B2B"/>
        <rFont val="DejaVu Sans"/>
        <family val="2"/>
      </rPr>
      <t>차량 등록비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번호판 비용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보험료 등 회사가 이미 지출한 부대비용 일체를 회사에 배상한다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</si>
  <si>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금지행위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</si>
  <si>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③ 보증금은 계약기간 만료 및 계약자의 모든 채무 이행 완료 시 반환한다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다만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미납 과태료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수리비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 xml:space="preserve">구상금 등이 확인될 수 있으므로 만료일로부터 </t>
    </r>
    <r>
      <rPr>
        <sz val="8"/>
        <color rgb="FF2B2B2B"/>
        <rFont val="맑은 고딕"/>
        <family val="3"/>
        <charset val="129"/>
      </rPr>
      <t>1</t>
    </r>
    <r>
      <rPr>
        <sz val="8"/>
        <color rgb="FF2B2B2B"/>
        <rFont val="DejaVu Sans"/>
        <family val="2"/>
      </rPr>
      <t>개월 경과 후 반환한다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</si>
  <si>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계약자는 다음 행위를 하여서는 아니된다</t>
    </r>
    <r>
      <rPr>
        <sz val="8"/>
        <color rgb="FF2B2B2B"/>
        <rFont val="맑은 고딕"/>
        <family val="3"/>
        <charset val="129"/>
      </rPr>
      <t xml:space="preserve">: (1) </t>
    </r>
    <r>
      <rPr>
        <sz val="8"/>
        <color rgb="FF2B2B2B"/>
        <rFont val="DejaVu Sans"/>
        <family val="2"/>
      </rPr>
      <t>이륜차의 무단 양도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전대 또는 본 계약상 권리를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자에게 양도하는 행위</t>
    </r>
    <r>
      <rPr>
        <sz val="8"/>
        <color rgb="FF2B2B2B"/>
        <rFont val="맑은 고딕"/>
        <family val="3"/>
        <charset val="129"/>
      </rPr>
      <t xml:space="preserve">, (2) </t>
    </r>
    <r>
      <rPr>
        <sz val="8"/>
        <color rgb="FF2B2B2B"/>
        <rFont val="DejaVu Sans"/>
        <family val="2"/>
      </rPr>
      <t>보험에서 인정하는 사용자 이외의 자에게 운행하게 하는 행위</t>
    </r>
    <r>
      <rPr>
        <sz val="8"/>
        <color rgb="FF2B2B2B"/>
        <rFont val="맑은 고딕"/>
        <family val="3"/>
        <charset val="129"/>
      </rPr>
      <t xml:space="preserve">, (3) </t>
    </r>
    <r>
      <rPr>
        <sz val="8"/>
        <color rgb="FF2B2B2B"/>
        <rFont val="DejaVu Sans"/>
        <family val="2"/>
      </rPr>
      <t>보험연령 미달자에게 운행하게 하는 행위</t>
    </r>
    <r>
      <rPr>
        <sz val="8"/>
        <color rgb="FF2B2B2B"/>
        <rFont val="맑은 고딕"/>
        <family val="3"/>
        <charset val="129"/>
      </rPr>
      <t xml:space="preserve">, (4) </t>
    </r>
    <r>
      <rPr>
        <sz val="8"/>
        <color rgb="FF2B2B2B"/>
        <rFont val="DejaVu Sans"/>
        <family val="2"/>
      </rPr>
      <t>이륜차 규격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성능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기능을 임의로 변경하거나 번호판을 훼손하는 행위</t>
    </r>
    <r>
      <rPr>
        <sz val="8"/>
        <color rgb="FF2B2B2B"/>
        <rFont val="맑은 고딕"/>
        <family val="3"/>
        <charset val="129"/>
      </rPr>
      <t xml:space="preserve">, (5) </t>
    </r>
    <r>
      <rPr>
        <sz val="8"/>
        <color rgb="FF2B2B2B"/>
        <rFont val="DejaVu Sans"/>
        <family val="2"/>
      </rPr>
      <t>이륜차를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자에게 담보 목적으로 제공하는 등 회사의 소유권 침해 행위</t>
    </r>
    <r>
      <rPr>
        <sz val="8"/>
        <color rgb="FF2B2B2B"/>
        <rFont val="맑은 고딕"/>
        <family val="3"/>
        <charset val="129"/>
      </rPr>
      <t xml:space="preserve">, (6) </t>
    </r>
    <r>
      <rPr>
        <sz val="8"/>
        <color rgb="FF2B2B2B"/>
        <rFont val="DejaVu Sans"/>
        <family val="2"/>
      </rPr>
      <t>이륜차 부착 표지를 제거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훼손하거나 위치를 변경하는 행위</t>
    </r>
    <r>
      <rPr>
        <sz val="8"/>
        <color rgb="FF2B2B2B"/>
        <rFont val="맑은 고딕"/>
        <family val="3"/>
        <charset val="129"/>
      </rPr>
      <t xml:space="preserve">, (7) </t>
    </r>
    <r>
      <rPr>
        <sz val="8"/>
        <color rgb="FF2B2B2B"/>
        <rFont val="DejaVu Sans"/>
        <family val="2"/>
      </rPr>
      <t>위치정보 수집 장치를 훼손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은닉하는 등 본래의 효용을 해하는 행위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</si>
  <si>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미납 과태료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범칙금은 보증금에서 공제하고 잔액을 반환하며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초과분은 계약자가 추가 납부한다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</si>
  <si>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⑤ 계약이 중도 해지된 경우 보증금 및 계약금은 반환하지 아니하며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위약금 및 손해배상금은 별도로 청구한다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</si>
  <si>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20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3</t>
    </r>
    <r>
      <rPr>
        <b/>
        <sz val="9"/>
        <color rgb="FF1F4E89"/>
        <rFont val="DejaVu Sans"/>
        <family val="2"/>
      </rPr>
      <t>자에 대한 면책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</si>
  <si>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① 계약 기간 종료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해지 여부와 무관하게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이륜차 인수일부터 반환일까지의 기간 동안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자가 회사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소유자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를 상대로 인적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물적 손해배상을 청구하는 경우 계약자는 자신의 비용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책임으로 회사를 면책시켜야 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</si>
  <si>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렌탈료 및 결제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</si>
  <si>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② 회사가 소유자라는 이유로 직접 손해배상을 한 경우 계약자는 회사가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자에게 지급한 금액과 관련 제비용을 즉시 상환한다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</si>
  <si>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계약자는 공휴일과 무관하게 정해진 결제일에 회사 명의 계좌로 렌탈료 등 모든 비용을 직접 납부한다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</si>
  <si>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회사가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 청구에 방어를 한 경우 계약자는 방어 관련 지출된 소송비용 등 일체를 부담한다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</si>
  <si>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회사가 안내한 은행계좌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포어스바이크 유한회사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로 직접 입금하며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타 계좌 입금분은 수납이 확인되지 아니할 수 있다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</si>
  <si>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렌탈료는 월렌탈료 선불을 원칙으로 하며</t>
    </r>
    <r>
      <rPr>
        <sz val="8"/>
        <color rgb="FF2B2B2B"/>
        <rFont val="맑은 고딕"/>
        <family val="3"/>
        <charset val="129"/>
      </rPr>
      <t>, 5</t>
    </r>
    <r>
      <rPr>
        <sz val="8"/>
        <color rgb="FF2B2B2B"/>
        <rFont val="DejaVu Sans"/>
        <family val="2"/>
      </rPr>
      <t>일 경과 미납 시 자동으로 월렌탈료 선불로 전환된다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</si>
  <si>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21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계약자에 의한 중도 해지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</si>
  <si>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④ 매도인의 가격 인상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정부 정책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보험사 단가 변경 등 불가피한 사정으로 렌탈료가 변동될 경우 회사는 계약자에게 개별 통지하며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계약자는 출고 이전까지 계약을 취소할 수 있다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</si>
  <si>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 xml:space="preserve">① 계약자가 본 계약을 중도 해지하고자 하는 경우 해지 예정일로부터 최소 </t>
    </r>
    <r>
      <rPr>
        <sz val="8"/>
        <color rgb="FF2B2B2B"/>
        <rFont val="맑은 고딕"/>
        <family val="3"/>
        <charset val="129"/>
      </rPr>
      <t>10</t>
    </r>
    <r>
      <rPr>
        <sz val="8"/>
        <color rgb="FF2B2B2B"/>
        <rFont val="DejaVu Sans"/>
        <family val="2"/>
      </rPr>
      <t>일 전에 회사에 사전 통보한다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</si>
  <si>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⑤ 이륜차 도난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훼손 등으로 운행이 불가능한 사유가 발생하더라도 계약자는 렌탈료 지급의무를 거부할 수 없다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</si>
  <si>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회사의 중대한 귀책사유가 아닌 경우 계약자는 위약금을 회사에 지급한다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</si>
  <si>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⑥ 보험연령 변경 등 사유로 렌탈료가 변동될 경우 해당 차량 최초 계약 당시의 단가표 기준으로 산정한다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</si>
  <si>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계약자는 해지 예정일까지 회사가 지정하는 장소에 이륜차를 반환하여야 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관련 비용은 계약자가 부담한다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</si>
  <si>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 xml:space="preserve">④ 인수형 렌탈계약의 경우 계약 체결 이후 </t>
    </r>
    <r>
      <rPr>
        <sz val="8"/>
        <color rgb="FF2B2B2B"/>
        <rFont val="맑은 고딕"/>
        <family val="3"/>
        <charset val="129"/>
      </rPr>
      <t>180</t>
    </r>
    <r>
      <rPr>
        <sz val="8"/>
        <color rgb="FF2B2B2B"/>
        <rFont val="DejaVu Sans"/>
        <family val="2"/>
      </rPr>
      <t>일이 경과한 경우 중도해지 위약금은 면제된다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</si>
  <si>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지연손해금 및 손해배상금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</si>
  <si>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① 계약자가 약정 금액을 기한 내에 이행하지 않는 경우 위약금이 발생하며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 청구일로부터 </t>
    </r>
    <r>
      <rPr>
        <sz val="8"/>
        <color rgb="FF2B2B2B"/>
        <rFont val="맑은 고딕"/>
        <family val="3"/>
        <charset val="129"/>
      </rPr>
      <t>5</t>
    </r>
    <r>
      <rPr>
        <sz val="8"/>
        <color rgb="FF2B2B2B"/>
        <rFont val="DejaVu Sans"/>
        <family val="2"/>
      </rPr>
      <t>일 이내에 지급한다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</si>
  <si>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C00000"/>
        <rFont val="DejaVu Sans"/>
        <family val="2"/>
      </rPr>
      <t>제</t>
    </r>
    <r>
      <rPr>
        <b/>
        <sz val="9"/>
        <color rgb="FFC00000"/>
        <rFont val="맑은 고딕"/>
        <family val="3"/>
        <charset val="129"/>
      </rPr>
      <t>22</t>
    </r>
    <r>
      <rPr>
        <b/>
        <sz val="9"/>
        <color rgb="FFC00000"/>
        <rFont val="DejaVu Sans"/>
        <family val="2"/>
      </rPr>
      <t xml:space="preserve">조 </t>
    </r>
    <r>
      <rPr>
        <b/>
        <sz val="9"/>
        <color rgb="FFC00000"/>
        <rFont val="맑은 고딕"/>
        <family val="3"/>
        <charset val="129"/>
      </rPr>
      <t>(</t>
    </r>
    <r>
      <rPr>
        <b/>
        <sz val="9"/>
        <color rgb="FFC00000"/>
        <rFont val="DejaVu Sans"/>
        <family val="2"/>
      </rPr>
      <t>계약의 해지 사유</t>
    </r>
    <r>
      <rPr>
        <b/>
        <sz val="9"/>
        <color rgb="FFC00000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</si>
  <si>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② 지연손해금</t>
    </r>
    <r>
      <rPr>
        <sz val="8"/>
        <color rgb="FF2B2B2B"/>
        <rFont val="맑은 고딕"/>
        <family val="3"/>
        <charset val="129"/>
      </rPr>
      <t>: [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맑은 고딕"/>
        <family val="3"/>
        <charset val="129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맑은 고딕"/>
        <family val="3"/>
        <charset val="129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맑은 고딕"/>
        <family val="3"/>
        <charset val="129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맑은 고딕"/>
        <family val="3"/>
        <charset val="129"/>
      </rPr>
      <t>15%]</t>
    </r>
  </si>
  <si>
    <r>
      <rPr>
        <b/>
        <sz val="8"/>
        <color rgb="FFC00000"/>
        <rFont val="DejaVu Sans"/>
        <family val="2"/>
      </rPr>
      <t>다음 각 호에 해당하는 경우 계약자는 사전 통지나 최고 없이 기한이익을 상실하며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회사는 본 계약을 해지하고 차량 인도를 청구할 수 있다</t>
    </r>
    <r>
      <rPr>
        <b/>
        <sz val="8"/>
        <color rgb="FFC00000"/>
        <rFont val="맑은 고딕"/>
        <family val="3"/>
        <charset val="129"/>
      </rPr>
      <t xml:space="preserve">: (1) </t>
    </r>
    <r>
      <rPr>
        <b/>
        <sz val="8"/>
        <color rgb="FFC00000"/>
        <rFont val="DejaVu Sans"/>
        <family val="2"/>
      </rPr>
      <t>이륜차 무단 양도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전대</t>
    </r>
    <r>
      <rPr>
        <b/>
        <sz val="8"/>
        <color rgb="FFC00000"/>
        <rFont val="맑은 고딕"/>
        <family val="3"/>
        <charset val="129"/>
      </rPr>
      <t xml:space="preserve">, (2) </t>
    </r>
    <r>
      <rPr>
        <b/>
        <sz val="8"/>
        <color rgb="FFC00000"/>
        <rFont val="DejaVu Sans"/>
        <family val="2"/>
      </rPr>
      <t>법령 위반 사용 또는 보험 인정 사용자 이외의 자에게 사용하게 하는 행위</t>
    </r>
    <r>
      <rPr>
        <b/>
        <sz val="8"/>
        <color rgb="FFC00000"/>
        <rFont val="맑은 고딕"/>
        <family val="3"/>
        <charset val="129"/>
      </rPr>
      <t xml:space="preserve">, (3) </t>
    </r>
    <r>
      <rPr>
        <b/>
        <sz val="8"/>
        <color rgb="FFC00000"/>
        <rFont val="DejaVu Sans"/>
        <family val="2"/>
      </rPr>
      <t>보험연령 미달자 운전 사실 발견</t>
    </r>
    <r>
      <rPr>
        <b/>
        <sz val="8"/>
        <color rgb="FFC00000"/>
        <rFont val="맑은 고딕"/>
        <family val="3"/>
        <charset val="129"/>
      </rPr>
      <t xml:space="preserve">, (4) </t>
    </r>
    <r>
      <rPr>
        <b/>
        <sz val="8"/>
        <color rgb="FFC00000"/>
        <rFont val="DejaVu Sans"/>
        <family val="2"/>
      </rPr>
      <t xml:space="preserve">정해진 입금일에 렌탈료 미납 및 </t>
    </r>
    <r>
      <rPr>
        <b/>
        <sz val="8"/>
        <color rgb="FFC00000"/>
        <rFont val="맑은 고딕"/>
        <family val="3"/>
        <charset val="129"/>
      </rPr>
      <t>10</t>
    </r>
    <r>
      <rPr>
        <b/>
        <sz val="8"/>
        <color rgb="FFC00000"/>
        <rFont val="DejaVu Sans"/>
        <family val="2"/>
      </rPr>
      <t>일 이상 지체</t>
    </r>
    <r>
      <rPr>
        <b/>
        <sz val="8"/>
        <color rgb="FFC00000"/>
        <rFont val="맑은 고딕"/>
        <family val="3"/>
        <charset val="129"/>
      </rPr>
      <t xml:space="preserve">, (5) </t>
    </r>
    <r>
      <rPr>
        <b/>
        <sz val="8"/>
        <color rgb="FFC00000"/>
        <rFont val="DejaVu Sans"/>
        <family val="2"/>
      </rPr>
      <t>통지받은 수리비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과태료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 xml:space="preserve">구상금 등을 정당한 사유 없이 </t>
    </r>
    <r>
      <rPr>
        <b/>
        <sz val="8"/>
        <color rgb="FFC00000"/>
        <rFont val="맑은 고딕"/>
        <family val="3"/>
        <charset val="129"/>
      </rPr>
      <t>5</t>
    </r>
    <r>
      <rPr>
        <b/>
        <sz val="8"/>
        <color rgb="FFC00000"/>
        <rFont val="DejaVu Sans"/>
        <family val="2"/>
      </rPr>
      <t>일 이내 미납</t>
    </r>
    <r>
      <rPr>
        <b/>
        <sz val="8"/>
        <color rgb="FFC00000"/>
        <rFont val="맑은 고딕"/>
        <family val="3"/>
        <charset val="129"/>
      </rPr>
      <t xml:space="preserve">, (6) </t>
    </r>
    <r>
      <rPr>
        <b/>
        <sz val="8"/>
        <color rgb="FFC00000"/>
        <rFont val="DejaVu Sans"/>
        <family val="2"/>
      </rPr>
      <t>무면허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 xml:space="preserve">음주운전 등 사용자 귀책사유로 회사에 배상금이 청구된 후 </t>
    </r>
    <r>
      <rPr>
        <b/>
        <sz val="8"/>
        <color rgb="FFC00000"/>
        <rFont val="맑은 고딕"/>
        <family val="3"/>
        <charset val="129"/>
      </rPr>
      <t>3</t>
    </r>
    <r>
      <rPr>
        <b/>
        <sz val="8"/>
        <color rgb="FFC00000"/>
        <rFont val="DejaVu Sans"/>
        <family val="2"/>
      </rPr>
      <t>일 이내 미납</t>
    </r>
    <r>
      <rPr>
        <b/>
        <sz val="8"/>
        <color rgb="FFC00000"/>
        <rFont val="맑은 고딕"/>
        <family val="3"/>
        <charset val="129"/>
      </rPr>
      <t xml:space="preserve">, (7) </t>
    </r>
    <r>
      <rPr>
        <b/>
        <sz val="8"/>
        <color rgb="FFC00000"/>
        <rFont val="DejaVu Sans"/>
        <family val="2"/>
      </rPr>
      <t>제</t>
    </r>
    <r>
      <rPr>
        <b/>
        <sz val="8"/>
        <color rgb="FFC00000"/>
        <rFont val="맑은 고딕"/>
        <family val="3"/>
        <charset val="129"/>
      </rPr>
      <t>3</t>
    </r>
    <r>
      <rPr>
        <b/>
        <sz val="8"/>
        <color rgb="FFC00000"/>
        <rFont val="DejaVu Sans"/>
        <family val="2"/>
      </rPr>
      <t>자 담보 제공 등 회사 소유권 침해</t>
    </r>
    <r>
      <rPr>
        <b/>
        <sz val="8"/>
        <color rgb="FFC00000"/>
        <rFont val="맑은 고딕"/>
        <family val="3"/>
        <charset val="129"/>
      </rPr>
      <t xml:space="preserve">, (8) </t>
    </r>
    <r>
      <rPr>
        <b/>
        <sz val="8"/>
        <color rgb="FFC00000"/>
        <rFont val="DejaVu Sans"/>
        <family val="2"/>
      </rPr>
      <t>규격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성능 무단 변경 또는 부착 표지 임의 제거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훼손</t>
    </r>
    <r>
      <rPr>
        <b/>
        <sz val="8"/>
        <color rgb="FFC00000"/>
        <rFont val="맑은 고딕"/>
        <family val="3"/>
        <charset val="129"/>
      </rPr>
      <t xml:space="preserve">, (9) </t>
    </r>
    <r>
      <rPr>
        <b/>
        <sz val="8"/>
        <color rgb="FFC00000"/>
        <rFont val="DejaVu Sans"/>
        <family val="2"/>
      </rPr>
      <t>위치정보 수집 장치 훼손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은닉</t>
    </r>
    <r>
      <rPr>
        <b/>
        <sz val="8"/>
        <color rgb="FFC00000"/>
        <rFont val="맑은 고딕"/>
        <family val="3"/>
        <charset val="129"/>
      </rPr>
      <t xml:space="preserve">, (10) </t>
    </r>
    <r>
      <rPr>
        <b/>
        <sz val="8"/>
        <color rgb="FFC00000"/>
        <rFont val="DejaVu Sans"/>
        <family val="2"/>
      </rPr>
      <t xml:space="preserve">보험사 구상금 통보 후 </t>
    </r>
    <r>
      <rPr>
        <b/>
        <sz val="8"/>
        <color rgb="FFC00000"/>
        <rFont val="맑은 고딕"/>
        <family val="3"/>
        <charset val="129"/>
      </rPr>
      <t>7</t>
    </r>
    <r>
      <rPr>
        <b/>
        <sz val="8"/>
        <color rgb="FFC00000"/>
        <rFont val="DejaVu Sans"/>
        <family val="2"/>
      </rPr>
      <t>일 이내 미변제</t>
    </r>
    <r>
      <rPr>
        <b/>
        <sz val="8"/>
        <color rgb="FFC00000"/>
        <rFont val="맑은 고딕"/>
        <family val="3"/>
        <charset val="129"/>
      </rPr>
      <t xml:space="preserve">, (11) </t>
    </r>
    <r>
      <rPr>
        <b/>
        <sz val="8"/>
        <color rgb="FFC00000"/>
        <rFont val="DejaVu Sans"/>
        <family val="2"/>
      </rPr>
      <t>사고 발생 시 고지 의무 위반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미고지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지연 고지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허위 고지</t>
    </r>
    <r>
      <rPr>
        <b/>
        <sz val="8"/>
        <color rgb="FFC00000"/>
        <rFont val="맑은 고딕"/>
        <family val="3"/>
        <charset val="129"/>
      </rPr>
      <t>).</t>
    </r>
  </si>
  <si>
    <r>
      <rPr>
        <sz val="8"/>
        <color rgb="FF2B2B2B"/>
        <rFont val="DejaVu Sans"/>
        <family val="2"/>
      </rPr>
      <t>③ 계약 만료 후 처리절차 지체 손해배상금</t>
    </r>
    <r>
      <rPr>
        <sz val="8"/>
        <color rgb="FF2B2B2B"/>
        <rFont val="맑은 고딕"/>
        <family val="3"/>
        <charset val="129"/>
      </rPr>
      <t>: [</t>
    </r>
    <r>
      <rPr>
        <sz val="8"/>
        <color rgb="FF2B2B2B"/>
        <rFont val="DejaVu Sans"/>
        <family val="2"/>
      </rPr>
      <t xml:space="preserve">손해배상금 </t>
    </r>
    <r>
      <rPr>
        <sz val="8"/>
        <color rgb="FF2B2B2B"/>
        <rFont val="맑은 고딕"/>
        <family val="3"/>
        <charset val="129"/>
      </rPr>
      <t>= 1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맑은 고딕"/>
        <family val="3"/>
        <charset val="129"/>
      </rPr>
      <t xml:space="preserve">× </t>
    </r>
    <r>
      <rPr>
        <sz val="8"/>
        <color rgb="FF2B2B2B"/>
        <rFont val="DejaVu Sans"/>
        <family val="2"/>
      </rPr>
      <t>지체일수</t>
    </r>
    <r>
      <rPr>
        <sz val="8"/>
        <color rgb="FF2B2B2B"/>
        <rFont val="맑은 고딕"/>
        <family val="3"/>
        <charset val="129"/>
      </rPr>
      <t>]</t>
    </r>
  </si>
  <si>
    <r>
      <rPr>
        <sz val="8"/>
        <color rgb="FF2B2B2B"/>
        <rFont val="DejaVu Sans"/>
        <family val="2"/>
      </rPr>
      <t>④ 지연손해금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손해배상금은 회사의 손해배상청구와 별도로 부과될 수 있다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</si>
  <si>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C00000"/>
        <rFont val="DejaVu Sans"/>
        <family val="2"/>
      </rPr>
      <t>제</t>
    </r>
    <r>
      <rPr>
        <b/>
        <sz val="9"/>
        <color rgb="FFC00000"/>
        <rFont val="맑은 고딕"/>
        <family val="3"/>
        <charset val="129"/>
      </rPr>
      <t>23</t>
    </r>
    <r>
      <rPr>
        <b/>
        <sz val="9"/>
        <color rgb="FFC00000"/>
        <rFont val="DejaVu Sans"/>
        <family val="2"/>
      </rPr>
      <t xml:space="preserve">조 </t>
    </r>
    <r>
      <rPr>
        <b/>
        <sz val="9"/>
        <color rgb="FFC00000"/>
        <rFont val="맑은 고딕"/>
        <family val="3"/>
        <charset val="129"/>
      </rPr>
      <t>(</t>
    </r>
    <r>
      <rPr>
        <b/>
        <sz val="9"/>
        <color rgb="FFC00000"/>
        <rFont val="DejaVu Sans"/>
        <family val="2"/>
      </rPr>
      <t>해지위약금 등의 부과방법</t>
    </r>
    <r>
      <rPr>
        <b/>
        <sz val="9"/>
        <color rgb="FFC00000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</si>
  <si>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⑤ 연체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미납 발생 시 회사는 계약자의 별도 동의 없이 해당 채무를 신용정보집중기관에 등록하거나 신용정보업체에 채권추심을 의뢰할 수 있다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</si>
  <si>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① 위약금 산식</t>
    </r>
    <r>
      <rPr>
        <b/>
        <sz val="8"/>
        <color rgb="FFC00000"/>
        <rFont val="맑은 고딕"/>
        <family val="3"/>
        <charset val="129"/>
      </rPr>
      <t xml:space="preserve">: </t>
    </r>
    <r>
      <rPr>
        <b/>
        <sz val="8"/>
        <color rgb="FFC00000"/>
        <rFont val="DejaVu Sans"/>
        <family val="2"/>
      </rPr>
      <t xml:space="preserve">위약금 </t>
    </r>
    <r>
      <rPr>
        <b/>
        <sz val="8"/>
        <color rgb="FFC00000"/>
        <rFont val="맑은 고딕"/>
        <family val="3"/>
        <charset val="129"/>
      </rPr>
      <t xml:space="preserve">= </t>
    </r>
    <r>
      <rPr>
        <b/>
        <sz val="8"/>
        <color rgb="FFC00000"/>
        <rFont val="DejaVu Sans"/>
        <family val="2"/>
      </rPr>
      <t xml:space="preserve">보증금 </t>
    </r>
    <r>
      <rPr>
        <b/>
        <sz val="8"/>
        <color rgb="FFC00000"/>
        <rFont val="맑은 고딕"/>
        <family val="3"/>
        <charset val="129"/>
      </rPr>
      <t>+ (</t>
    </r>
    <r>
      <rPr>
        <b/>
        <sz val="8"/>
        <color rgb="FFC00000"/>
        <rFont val="DejaVu Sans"/>
        <family val="2"/>
      </rPr>
      <t xml:space="preserve">잔여기간에 대한 총 렌탈료 </t>
    </r>
    <r>
      <rPr>
        <b/>
        <sz val="8"/>
        <color rgb="FFC00000"/>
        <rFont val="맑은 고딕"/>
        <family val="3"/>
        <charset val="129"/>
      </rPr>
      <t xml:space="preserve">× 20%). </t>
    </r>
    <r>
      <rPr>
        <b/>
        <sz val="8"/>
        <color rgb="FFC00000"/>
        <rFont val="DejaVu Sans"/>
        <family val="2"/>
      </rPr>
      <t>계약자는 위약금을 계약 해지일까지 회사에 지급한다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</si>
  <si>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② 보증금은 어떠한 경우에도 반환하지 아니하며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위약금 및 손해배상금은 별도로 청구한다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</si>
  <si>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연대보증인의 책임</t>
    </r>
    <r>
      <rPr>
        <b/>
        <sz val="9"/>
        <color rgb="FF1F4E89"/>
        <rFont val="맑은 고딕"/>
        <family val="3"/>
        <charset val="129"/>
      </rPr>
      <t>)</t>
    </r>
  </si>
  <si>
    <r>
      <rPr>
        <b/>
        <sz val="8"/>
        <color rgb="FFC00000"/>
        <rFont val="DejaVu Sans"/>
        <family val="2"/>
      </rPr>
      <t>③ 반환된 이륜차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부착물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 xml:space="preserve">키 부속품 일체에 파손이 있는 경우 계약자는 원상복구 수리비를 회사 청구일로부터 </t>
    </r>
    <r>
      <rPr>
        <b/>
        <sz val="8"/>
        <color rgb="FFC00000"/>
        <rFont val="맑은 고딕"/>
        <family val="3"/>
        <charset val="129"/>
      </rPr>
      <t>5</t>
    </r>
    <r>
      <rPr>
        <b/>
        <sz val="8"/>
        <color rgb="FFC00000"/>
        <rFont val="DejaVu Sans"/>
        <family val="2"/>
      </rPr>
      <t>일 이내에 지급한다</t>
    </r>
    <r>
      <rPr>
        <b/>
        <sz val="8"/>
        <color rgb="FFC00000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</si>
  <si>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연대보증인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사업장 대표자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은 렌탈료 지급채무를 포함하여 계약자가 회사에 부담하는 일체의 채무를 보증하며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계약자와 연대하여 그 채무를 이행한다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</si>
  <si>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계약자가 회사 동의 없이 본 계약상 채무를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자에게 인수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승계시킨 경우에도 연대보증인은 채무가 전액 변제될 때까지 보증채무를 부담한다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</si>
  <si>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24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이륜차 반환 및 회수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</si>
  <si>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③ 연대보증인은 계약자의 미변제 채무가 남아있는 경우 계약자의 채무를 회사보다 먼저 변제받을 권리를 행사할 수 없다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</si>
  <si>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본 계약이 해지되는 경우 계약자는 즉시 회사가 지정하는 장소로 이륜차를 반환한다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</si>
  <si>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보험연령 변경 등 일부 계약 내용이 변경되는 경우 연대보증인이 별도로 서명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날인하지 않더라도 동의한 것으로 본다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변경 내용이 연대보증인에게 불리한 경우 계약자는 즉시 통지하여야 하며</t>
    </r>
    <r>
      <rPr>
        <sz val="8"/>
        <color rgb="FF2B2B2B"/>
        <rFont val="맑은 고딕"/>
        <family val="3"/>
        <charset val="129"/>
      </rPr>
      <t>, 14</t>
    </r>
    <r>
      <rPr>
        <sz val="8"/>
        <color rgb="FF2B2B2B"/>
        <rFont val="DejaVu Sans"/>
        <family val="2"/>
      </rPr>
      <t>일 이내 이의 제기 시 회사는 새로운 보증인의 추가 또는 교체를 요구할 수 있다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</si>
  <si>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계약자가 반환을 지연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거부하는 경우 회사는 이륜차를 임의로 회수할 수 있으며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계약자는 민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형사상 어떠한 이의도 제기할 수 없다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</si>
  <si>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회수에 소요된 일체의 비용은 계약자가 부담한다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</si>
  <si>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보험계약의 체결 및 관리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</si>
  <si>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④ 계약자는 계약 해지일부터 이륜차 최종 반환일까지의 손해배상금을 회사에 지급한다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</si>
  <si>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회사는 이륜차 출고 시 계약자가 요청하는 보험가입 내용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보험연령 등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에 따라 종합보험에 가입한다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</si>
  <si>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회사는 계약자를 대신하여 보험료를 납부하며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보험의 내용은 보험증권 약관에 따른다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</si>
  <si>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25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계약만료 후 처리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</si>
  <si>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③ 렌탈료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과태료 등 미수금이 있을 경우 보험연령 변경이 불가하다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</si>
  <si>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계약자는 계약만료일 이후 이륜차를 운행하여서는 아니되며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만료 후 임의 운행으로 발생하는 사고에 회사는 민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형사상 책임을 지지 않는다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</si>
  <si>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보험사 정책상 보험연령 변경이 불가능한 경우 회사는 계약자에게 즉시 통지한다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</si>
  <si>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 xml:space="preserve">② 인수형 계약의 경우 </t>
    </r>
    <r>
      <rPr>
        <sz val="8"/>
        <color rgb="FF2B2B2B"/>
        <rFont val="맑은 고딕"/>
        <family val="3"/>
        <charset val="129"/>
      </rPr>
      <t xml:space="preserve">(1) </t>
    </r>
    <r>
      <rPr>
        <sz val="8"/>
        <color rgb="FF2B2B2B"/>
        <rFont val="DejaVu Sans"/>
        <family val="2"/>
      </rPr>
      <t>계약자 명의 이전 시 보험가입증명서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신분증 제출</t>
    </r>
    <r>
      <rPr>
        <sz val="8"/>
        <color rgb="FF2B2B2B"/>
        <rFont val="맑은 고딕"/>
        <family val="3"/>
        <charset val="129"/>
      </rPr>
      <t xml:space="preserve">, (2) </t>
    </r>
    <r>
      <rPr>
        <sz val="8"/>
        <color rgb="FF2B2B2B"/>
        <rFont val="DejaVu Sans"/>
        <family val="2"/>
      </rPr>
      <t>사용폐지 시 만료일 익일에 번호판 등기 발송 중 하나를 선택한다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</si>
  <si>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⑤ 보험연령 변경에 따라 렌탈료가 변경될 경우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해당 차량 최초 계약 당시 단가표 기준으로 적용된다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</si>
  <si>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인수형 계약에서 명의이전이 이루어지는 경우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취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등록세는 미납금 존재 여부와 관계없이 계약자가 부담하며 신고는 회사가 대행한다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</si>
  <si>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⑥ 보험연령 변경으로 보험사 정책상 고가의 보험료를 수취하는 경우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회사가 기존 고지한 가격이 아닌 보험사의 보험료 정책에 따라 고가의 렌탈료가 적용될 수 있다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</si>
  <si>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인수형 계약에 미납금이 있는 경우 만료일까지 전액 완납되어야 인수가 가능하며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만료일</t>
    </r>
    <r>
      <rPr>
        <sz val="8"/>
        <color rgb="FF2B2B2B"/>
        <rFont val="맑은 고딕"/>
        <family val="3"/>
        <charset val="129"/>
      </rPr>
      <t xml:space="preserve">(D) </t>
    </r>
    <r>
      <rPr>
        <sz val="8"/>
        <color rgb="FF2B2B2B"/>
        <rFont val="DejaVu Sans"/>
        <family val="2"/>
      </rPr>
      <t xml:space="preserve">이후 </t>
    </r>
    <r>
      <rPr>
        <sz val="8"/>
        <color rgb="FF2B2B2B"/>
        <rFont val="맑은 고딕"/>
        <family val="3"/>
        <charset val="129"/>
      </rPr>
      <t>D+3</t>
    </r>
    <r>
      <rPr>
        <sz val="8"/>
        <color rgb="FF2B2B2B"/>
        <rFont val="DejaVu Sans"/>
        <family val="2"/>
      </rPr>
      <t>일까지 미납 시 차량 회수가 진행되고</t>
    </r>
    <r>
      <rPr>
        <sz val="8"/>
        <color rgb="FF2B2B2B"/>
        <rFont val="맑은 고딕"/>
        <family val="3"/>
        <charset val="129"/>
      </rPr>
      <t>, D+15</t>
    </r>
    <r>
      <rPr>
        <sz val="8"/>
        <color rgb="FF2B2B2B"/>
        <rFont val="DejaVu Sans"/>
        <family val="2"/>
      </rPr>
      <t>일까지 미완납 시 계약자는 기한이익을 상실하고 회사는 차량을 자체 처분할 수 있다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처분대금은 미납금 상환에 우선 충당된다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</si>
  <si>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⑦ 계약 해지 사유 발생 시 회사는 보험을 해지할 수 있다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</si>
  <si>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⑤ 반납형 계약의 경우 만료일 익일에 이륜차를 반환한다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회사는 수리견적을 작성하여 수리비를 보증금에서 차감 후 잔액을 계약자에게 지급하며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수리비가 보증금을 초과하는 경우 차액을 계약자가 납부한다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</si>
  <si>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⑧ 회사는 계약기간과 일치하게 보험계약을 체결한다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계약 종료일 이후 무보험 상태에서 운행하여 손해가 발생하면 계약자가 배상책임 및 민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형사상 책임을 진다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</si>
  <si>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⑥ 명의이전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폐지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반납 절차에 필요한 서류 전달은 만료일 익일까지 완료되어야 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이를 지체하는 경우 계약자는 제</t>
    </r>
    <r>
      <rPr>
        <sz val="8"/>
        <color rgb="FF2B2B2B"/>
        <rFont val="맑은 고딕"/>
        <family val="3"/>
        <charset val="129"/>
      </rPr>
      <t>7</t>
    </r>
    <r>
      <rPr>
        <sz val="8"/>
        <color rgb="FF2B2B2B"/>
        <rFont val="DejaVu Sans"/>
        <family val="2"/>
      </rPr>
      <t>조에 따른 손해배상금 및 부당사용이익을 회사에 납부한다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</si>
  <si>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C00000"/>
        <rFont val="DejaVu Sans"/>
        <family val="2"/>
      </rPr>
      <t>제</t>
    </r>
    <r>
      <rPr>
        <b/>
        <sz val="9"/>
        <color rgb="FFC00000"/>
        <rFont val="맑은 고딕"/>
        <family val="3"/>
        <charset val="129"/>
      </rPr>
      <t>10</t>
    </r>
    <r>
      <rPr>
        <b/>
        <sz val="9"/>
        <color rgb="FFC00000"/>
        <rFont val="DejaVu Sans"/>
        <family val="2"/>
      </rPr>
      <t xml:space="preserve">조 </t>
    </r>
    <r>
      <rPr>
        <b/>
        <sz val="9"/>
        <color rgb="FFC00000"/>
        <rFont val="맑은 고딕"/>
        <family val="3"/>
        <charset val="129"/>
      </rPr>
      <t>(</t>
    </r>
    <r>
      <rPr>
        <b/>
        <sz val="9"/>
        <color rgb="FFC00000"/>
        <rFont val="DejaVu Sans"/>
        <family val="2"/>
      </rPr>
      <t>운행자성 및 운행지배</t>
    </r>
    <r>
      <rPr>
        <b/>
        <sz val="9"/>
        <color rgb="FFC00000"/>
        <rFont val="맑은 고딕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</si>
  <si>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26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변제충당 순서</t>
    </r>
    <r>
      <rPr>
        <b/>
        <sz val="9"/>
        <color rgb="FF1F4E89"/>
        <rFont val="맑은 고딕"/>
        <family val="3"/>
        <charset val="129"/>
      </rPr>
      <t>)</t>
    </r>
  </si>
  <si>
    <r>
      <rPr>
        <b/>
        <sz val="8"/>
        <color rgb="FFC00000"/>
        <rFont val="DejaVu Sans"/>
        <family val="2"/>
      </rPr>
      <t>① 본 계약 차량의 소유권은 회사에 있으나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회사는 자동차손해배상보장법 제</t>
    </r>
    <r>
      <rPr>
        <b/>
        <sz val="8"/>
        <color rgb="FFC00000"/>
        <rFont val="맑은 고딕"/>
        <family val="3"/>
        <charset val="129"/>
      </rPr>
      <t>3</t>
    </r>
    <r>
      <rPr>
        <b/>
        <sz val="8"/>
        <color rgb="FFC00000"/>
        <rFont val="DejaVu Sans"/>
        <family val="2"/>
      </rPr>
      <t xml:space="preserve">조에서 정한 </t>
    </r>
    <r>
      <rPr>
        <b/>
        <sz val="8"/>
        <color rgb="FFC00000"/>
        <rFont val="맑은 고딕"/>
        <family val="3"/>
        <charset val="129"/>
      </rPr>
      <t>"</t>
    </r>
    <r>
      <rPr>
        <b/>
        <sz val="8"/>
        <color rgb="FFC00000"/>
        <rFont val="DejaVu Sans"/>
        <family val="2"/>
      </rPr>
      <t>자기를 위하여 자동차를 운행하는 자</t>
    </r>
    <r>
      <rPr>
        <b/>
        <sz val="8"/>
        <color rgb="FFC00000"/>
        <rFont val="맑은 고딕"/>
        <family val="3"/>
        <charset val="129"/>
      </rPr>
      <t>"(</t>
    </r>
    <r>
      <rPr>
        <b/>
        <sz val="8"/>
        <color rgb="FFC00000"/>
        <rFont val="DejaVu Sans"/>
        <family val="2"/>
      </rPr>
      <t xml:space="preserve">이하 </t>
    </r>
    <r>
      <rPr>
        <b/>
        <sz val="8"/>
        <color rgb="FFC00000"/>
        <rFont val="맑은 고딕"/>
        <family val="3"/>
        <charset val="129"/>
      </rPr>
      <t>"</t>
    </r>
    <r>
      <rPr>
        <b/>
        <sz val="8"/>
        <color rgb="FFC00000"/>
        <rFont val="DejaVu Sans"/>
        <family val="2"/>
      </rPr>
      <t>운행자</t>
    </r>
    <r>
      <rPr>
        <b/>
        <sz val="8"/>
        <color rgb="FFC00000"/>
        <rFont val="맑은 고딕"/>
        <family val="3"/>
        <charset val="129"/>
      </rPr>
      <t>")</t>
    </r>
    <r>
      <rPr>
        <b/>
        <sz val="8"/>
        <color rgb="FFC00000"/>
        <rFont val="DejaVu Sans"/>
        <family val="2"/>
      </rPr>
      <t>에 해당하지 아니한다</t>
    </r>
    <r>
      <rPr>
        <b/>
        <sz val="8"/>
        <color rgb="FFC00000"/>
        <rFont val="맑은 고딕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회사는 본 계약 차량에 대한 운행지배 및 운행이익을 갖지 아니한다</t>
    </r>
    <r>
      <rPr>
        <b/>
        <sz val="8"/>
        <color rgb="FFC00000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</si>
  <si>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계약자가 납입한 금액이 채무 전액을 충당하기에 부족한 경우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회사는 납기일 기준으로 먼저 도래한 채무액부터 우선 충당한다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</si>
  <si>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② 본 계약 차량의 운행자는 계약자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배달대행사</t>
    </r>
    <r>
      <rPr>
        <b/>
        <sz val="8"/>
        <color rgb="FFC00000"/>
        <rFont val="맑은 고딕"/>
        <family val="3"/>
        <charset val="129"/>
      </rPr>
      <t>)</t>
    </r>
    <r>
      <rPr>
        <b/>
        <sz val="8"/>
        <color rgb="FFC00000"/>
        <rFont val="DejaVu Sans"/>
        <family val="2"/>
      </rPr>
      <t>이며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운행 중 발생하는 모든 인적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물적 손해에 대한 운행자 책임은 전적으로 계약자가 부담한다</t>
    </r>
    <r>
      <rPr>
        <b/>
        <sz val="8"/>
        <color rgb="FFC00000"/>
        <rFont val="맑은 고딕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계약자가 사용자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라이더</t>
    </r>
    <r>
      <rPr>
        <b/>
        <sz val="8"/>
        <color rgb="FFC00000"/>
        <rFont val="맑은 고딕"/>
        <family val="3"/>
        <charset val="129"/>
      </rPr>
      <t>)</t>
    </r>
    <r>
      <rPr>
        <b/>
        <sz val="8"/>
        <color rgb="FFC00000"/>
        <rFont val="DejaVu Sans"/>
        <family val="2"/>
      </rPr>
      <t>에게 차량을 운행하게 한 경우에도 운행자성은 여전히 계약자에게 있다</t>
    </r>
    <r>
      <rPr>
        <b/>
        <sz val="8"/>
        <color rgb="FFC00000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</si>
  <si>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연체이자가 있는 경우 연체이자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지연손해금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원금의 순으로 충당한다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</si>
  <si>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③ 제</t>
    </r>
    <r>
      <rPr>
        <b/>
        <sz val="8"/>
        <color rgb="FFC00000"/>
        <rFont val="맑은 고딕"/>
        <family val="3"/>
        <charset val="129"/>
      </rPr>
      <t>3</t>
    </r>
    <r>
      <rPr>
        <b/>
        <sz val="8"/>
        <color rgb="FFC00000"/>
        <rFont val="DejaVu Sans"/>
        <family val="2"/>
      </rPr>
      <t>자가 회사를 상대로 운행자 책임을 청구하는 경우 계약자는 자신의 비용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책임으로 회사를 면책시켜야 하며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회사가 부득이 배상한 경우 그 금액 및 관련 비용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소송비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변호사비 포함</t>
    </r>
    <r>
      <rPr>
        <b/>
        <sz val="8"/>
        <color rgb="FFC00000"/>
        <rFont val="맑은 고딕"/>
        <family val="3"/>
        <charset val="129"/>
      </rPr>
      <t xml:space="preserve">) </t>
    </r>
    <r>
      <rPr>
        <b/>
        <sz val="8"/>
        <color rgb="FFC00000"/>
        <rFont val="DejaVu Sans"/>
        <family val="2"/>
      </rPr>
      <t>일체를 즉시 회사에 상환하여야 한다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</si>
  <si>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④ 본 조의 운행자성에 관한 약정은 본 계약의 본질적 합의 사항으로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계약자는 본 약정에 대하여 본 계약 체결 시 충분히 설명을 듣고 동의한 것으로 본다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</si>
  <si>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27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세금계산서 발급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</si>
  <si>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① 세금계산서는 본 계약서에 명시된 사업자등록번호를 기준으로 회사 명의로 발행한다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</si>
  <si>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C00000"/>
        <rFont val="DejaVu Sans"/>
        <family val="2"/>
      </rPr>
      <t>제</t>
    </r>
    <r>
      <rPr>
        <b/>
        <sz val="9"/>
        <color rgb="FFC00000"/>
        <rFont val="맑은 고딕"/>
        <family val="3"/>
        <charset val="129"/>
      </rPr>
      <t>11</t>
    </r>
    <r>
      <rPr>
        <b/>
        <sz val="9"/>
        <color rgb="FFC00000"/>
        <rFont val="DejaVu Sans"/>
        <family val="2"/>
      </rPr>
      <t xml:space="preserve">조 </t>
    </r>
    <r>
      <rPr>
        <b/>
        <sz val="9"/>
        <color rgb="FFC00000"/>
        <rFont val="맑은 고딕"/>
        <family val="3"/>
        <charset val="129"/>
      </rPr>
      <t>(</t>
    </r>
    <r>
      <rPr>
        <b/>
        <sz val="9"/>
        <color rgb="FFC00000"/>
        <rFont val="DejaVu Sans"/>
        <family val="2"/>
      </rPr>
      <t>사고 발생 시 고지 의무</t>
    </r>
    <r>
      <rPr>
        <b/>
        <sz val="9"/>
        <color rgb="FFC00000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</si>
  <si>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 xml:space="preserve">② 발행 대상이 변경되는 경우 계약자는 익월 </t>
    </r>
    <r>
      <rPr>
        <sz val="8"/>
        <color rgb="FF2B2B2B"/>
        <rFont val="맑은 고딕"/>
        <family val="3"/>
        <charset val="129"/>
      </rPr>
      <t>5</t>
    </r>
    <r>
      <rPr>
        <sz val="8"/>
        <color rgb="FF2B2B2B"/>
        <rFont val="DejaVu Sans"/>
        <family val="2"/>
      </rPr>
      <t>일까지 회사에 통지한다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</si>
  <si>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① 회사는 본 계약 차량의 운행자가 아니며 운행에 관여하지 아니하므로 사고 발생 사실을 직접 인지할 수 없다</t>
    </r>
    <r>
      <rPr>
        <b/>
        <sz val="8"/>
        <color rgb="FFC00000"/>
        <rFont val="맑은 고딕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따라서 본 조의 고지 의무는 본 계약상 계약자의 핵심 의무에 해당한다</t>
    </r>
    <r>
      <rPr>
        <b/>
        <sz val="8"/>
        <color rgb="FFC00000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</si>
  <si>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계약자는 주소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전화번호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상호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사업자등록번호 등 세금계산서 발행에 영향을 미치는 사항에 변경이 발생한 경우 즉시 회사에 통지한다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</si>
  <si>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② 본 계약 차량의 운행 중 다음 각 호의 사유가 발생한 경우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계약자는 사용자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라이더</t>
    </r>
    <r>
      <rPr>
        <b/>
        <sz val="8"/>
        <color rgb="FFC00000"/>
        <rFont val="맑은 고딕"/>
        <family val="3"/>
        <charset val="129"/>
      </rPr>
      <t>)</t>
    </r>
    <r>
      <rPr>
        <b/>
        <sz val="8"/>
        <color rgb="FFC00000"/>
        <rFont val="DejaVu Sans"/>
        <family val="2"/>
      </rPr>
      <t>로부터 이를 통보받은 즉시 회사에 고지하여야 한다</t>
    </r>
    <r>
      <rPr>
        <b/>
        <sz val="8"/>
        <color rgb="FFC00000"/>
        <rFont val="맑은 고딕"/>
        <family val="3"/>
        <charset val="129"/>
      </rPr>
      <t xml:space="preserve">: (1) </t>
    </r>
    <r>
      <rPr>
        <b/>
        <sz val="8"/>
        <color rgb="FFC00000"/>
        <rFont val="DejaVu Sans"/>
        <family val="2"/>
      </rPr>
      <t>인적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물적 손해를 수반하는 사고</t>
    </r>
    <r>
      <rPr>
        <b/>
        <sz val="8"/>
        <color rgb="FFC00000"/>
        <rFont val="맑은 고딕"/>
        <family val="3"/>
        <charset val="129"/>
      </rPr>
      <t xml:space="preserve">, (2) </t>
    </r>
    <r>
      <rPr>
        <b/>
        <sz val="8"/>
        <color rgb="FFC00000"/>
        <rFont val="DejaVu Sans"/>
        <family val="2"/>
      </rPr>
      <t>단독사고 및 차량 파손</t>
    </r>
    <r>
      <rPr>
        <b/>
        <sz val="8"/>
        <color rgb="FFC00000"/>
        <rFont val="맑은 고딕"/>
        <family val="3"/>
        <charset val="129"/>
      </rPr>
      <t xml:space="preserve">, (3) </t>
    </r>
    <r>
      <rPr>
        <b/>
        <sz val="8"/>
        <color rgb="FFC00000"/>
        <rFont val="DejaVu Sans"/>
        <family val="2"/>
      </rPr>
      <t>도난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멸실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분실</t>
    </r>
    <r>
      <rPr>
        <b/>
        <sz val="8"/>
        <color rgb="FFC00000"/>
        <rFont val="맑은 고딕"/>
        <family val="3"/>
        <charset val="129"/>
      </rPr>
      <t xml:space="preserve">, (4) </t>
    </r>
    <r>
      <rPr>
        <b/>
        <sz val="8"/>
        <color rgb="FFC00000"/>
        <rFont val="DejaVu Sans"/>
        <family val="2"/>
      </rPr>
      <t>보험사 접수가 필요한 일체의 사건</t>
    </r>
    <r>
      <rPr>
        <b/>
        <sz val="8"/>
        <color rgb="FFC00000"/>
        <rFont val="맑은 고딕"/>
        <family val="3"/>
        <charset val="129"/>
      </rPr>
      <t xml:space="preserve">, (5) </t>
    </r>
    <r>
      <rPr>
        <b/>
        <sz val="8"/>
        <color rgb="FFC00000"/>
        <rFont val="DejaVu Sans"/>
        <family val="2"/>
      </rPr>
      <t>무면허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음주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약물복용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범죄 목적 운전 등 면책사유 해당 운행 사실 인지</t>
    </r>
    <r>
      <rPr>
        <b/>
        <sz val="8"/>
        <color rgb="FFC00000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</si>
  <si>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통지의무 해태로 발생하는 불이익은 계약자가 부담한다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</si>
  <si>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③ 고지에는 다음 사항이 포함되어야 한다</t>
    </r>
    <r>
      <rPr>
        <b/>
        <sz val="8"/>
        <color rgb="FFC00000"/>
        <rFont val="맑은 고딕"/>
        <family val="3"/>
        <charset val="129"/>
      </rPr>
      <t xml:space="preserve">: </t>
    </r>
    <r>
      <rPr>
        <b/>
        <sz val="8"/>
        <color rgb="FFC00000"/>
        <rFont val="DejaVu Sans"/>
        <family val="2"/>
      </rPr>
      <t>사고 일시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장소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경위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운전자 신원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면허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음주 여부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상대방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피해자 정보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보험사 접수 번호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경찰 신고 여부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차량 위치 및 상태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</si>
  <si>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④ 계약자가 전항의 고지 의무를 위반하는 경우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미고지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지연 고지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허위 고지 포함</t>
    </r>
    <r>
      <rPr>
        <b/>
        <sz val="8"/>
        <color rgb="FFC00000"/>
        <rFont val="맑은 고딕"/>
        <family val="3"/>
        <charset val="129"/>
      </rPr>
      <t xml:space="preserve">), </t>
    </r>
    <r>
      <rPr>
        <b/>
        <sz val="8"/>
        <color rgb="FFC00000"/>
        <rFont val="DejaVu Sans"/>
        <family val="2"/>
      </rPr>
      <t>다음 각 호의 책임을 부담한다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</si>
  <si>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9"/>
        <color rgb="FFC00000"/>
        <rFont val="DejaVu Sans"/>
        <family val="2"/>
      </rPr>
      <t>제</t>
    </r>
    <r>
      <rPr>
        <b/>
        <sz val="9"/>
        <color rgb="FFC00000"/>
        <rFont val="맑은 고딕"/>
        <family val="3"/>
        <charset val="129"/>
      </rPr>
      <t>28</t>
    </r>
    <r>
      <rPr>
        <b/>
        <sz val="9"/>
        <color rgb="FFC00000"/>
        <rFont val="DejaVu Sans"/>
        <family val="2"/>
      </rPr>
      <t xml:space="preserve">조 </t>
    </r>
    <r>
      <rPr>
        <b/>
        <sz val="9"/>
        <color rgb="FFC00000"/>
        <rFont val="맑은 고딕"/>
        <family val="3"/>
        <charset val="129"/>
      </rPr>
      <t>(</t>
    </r>
    <r>
      <rPr>
        <b/>
        <sz val="9"/>
        <color rgb="FFC00000"/>
        <rFont val="DejaVu Sans"/>
        <family val="2"/>
      </rPr>
      <t>계열사 미납 교차 적용</t>
    </r>
    <r>
      <rPr>
        <b/>
        <sz val="9"/>
        <color rgb="FFC00000"/>
        <rFont val="맑은 고딕"/>
        <family val="3"/>
        <charset val="129"/>
      </rPr>
      <t>)</t>
    </r>
  </si>
  <si>
    <r>
      <rPr>
        <b/>
        <sz val="8"/>
        <color rgb="FFC00000"/>
        <rFont val="맑은 고딕"/>
        <family val="3"/>
        <charset val="129"/>
      </rPr>
      <t xml:space="preserve">   1. </t>
    </r>
    <r>
      <rPr>
        <b/>
        <sz val="8"/>
        <color rgb="FFC00000"/>
        <rFont val="DejaVu Sans"/>
        <family val="2"/>
      </rPr>
      <t>고지 위반으로 보험사가 보험금 지급을 거절하거나 면책 처리한 경우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그 미보장 손해 일체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</si>
  <si>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① 계약자가 한국모터사이클리스 유한회사 또는 회사의 계열사와 체결한 다른 이륜차 계약에서 렌탈료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할부금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수리비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위약금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과태료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구상금 등 미수금이 발생한 경우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본 계약서 이륜차의 처분에 영향을 미칠 수 있다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</si>
  <si>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8"/>
        <color rgb="FFC00000"/>
        <rFont val="맑은 고딕"/>
        <family val="3"/>
        <charset val="129"/>
      </rPr>
      <t xml:space="preserve">   2. </t>
    </r>
    <r>
      <rPr>
        <b/>
        <sz val="8"/>
        <color rgb="FFC00000"/>
        <rFont val="DejaVu Sans"/>
        <family val="2"/>
      </rPr>
      <t>고지 위반으로 회사에 추가로 발생한 보험사 구상금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과태료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소송비용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변호사비 일체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</si>
  <si>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 xml:space="preserve">② 전항의 미수금이 </t>
    </r>
    <r>
      <rPr>
        <b/>
        <sz val="8"/>
        <color rgb="FFC00000"/>
        <rFont val="맑은 고딕"/>
        <family val="3"/>
        <charset val="129"/>
      </rPr>
      <t>14</t>
    </r>
    <r>
      <rPr>
        <b/>
        <sz val="8"/>
        <color rgb="FFC00000"/>
        <rFont val="DejaVu Sans"/>
        <family val="2"/>
      </rPr>
      <t>일 이상 지속되는 경우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회사는 본 계약을 해지하고 본 계약서 이륜차를 즉시 회수할 수 있다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</si>
  <si>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8"/>
        <color rgb="FFC00000"/>
        <rFont val="맑은 고딕"/>
        <family val="3"/>
        <charset val="129"/>
      </rPr>
      <t xml:space="preserve">   3. </t>
    </r>
    <r>
      <rPr>
        <b/>
        <sz val="8"/>
        <color rgb="FFC00000"/>
        <rFont val="DejaVu Sans"/>
        <family val="2"/>
      </rPr>
      <t>회사가 사고 사실을 알지 못한 상태에서 차량 처분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계약 갱신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보험 정산 등을 진행함으로써 발생한 손해 일체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</si>
  <si>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③ 반대로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본 계약에서 미수금이 발생한 경우에도 계약자가 회사 또는 그 계열사와 체결한 다른 이륜차 계약의 처분에 영향을 미칠 수 있다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</si>
  <si>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⑤ 위 책임 부담과 별도로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회사는 본 계약을 즉시 해지하고 차량을 회수할 수 있다</t>
    </r>
    <r>
      <rPr>
        <b/>
        <sz val="8"/>
        <color rgb="FFC00000"/>
        <rFont val="맑은 고딕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이 경우 보증금은 반환하지 아니하며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위약금 및 손해배상금은 별도로 청구한다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</si>
  <si>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29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약관에 정하지 않은 사항</t>
    </r>
    <r>
      <rPr>
        <b/>
        <sz val="9"/>
        <color rgb="FF1F4E89"/>
        <rFont val="맑은 고딕"/>
        <family val="3"/>
        <charset val="129"/>
      </rPr>
      <t>)</t>
    </r>
  </si>
  <si>
    <r>
      <rPr>
        <b/>
        <sz val="9"/>
        <color rgb="FFC00000"/>
        <rFont val="DejaVu Sans"/>
        <family val="2"/>
      </rPr>
      <t>제</t>
    </r>
    <r>
      <rPr>
        <b/>
        <sz val="9"/>
        <color rgb="FFC00000"/>
        <rFont val="맑은 고딕"/>
        <family val="3"/>
        <charset val="129"/>
      </rPr>
      <t>12</t>
    </r>
    <r>
      <rPr>
        <b/>
        <sz val="9"/>
        <color rgb="FFC00000"/>
        <rFont val="DejaVu Sans"/>
        <family val="2"/>
      </rPr>
      <t xml:space="preserve">조 </t>
    </r>
    <r>
      <rPr>
        <b/>
        <sz val="9"/>
        <color rgb="FFC00000"/>
        <rFont val="맑은 고딕"/>
        <family val="3"/>
        <charset val="129"/>
      </rPr>
      <t>(</t>
    </r>
    <r>
      <rPr>
        <b/>
        <sz val="9"/>
        <color rgb="FFC00000"/>
        <rFont val="DejaVu Sans"/>
        <family val="2"/>
      </rPr>
      <t>보험연령 미달자 운전 책임</t>
    </r>
    <r>
      <rPr>
        <b/>
        <sz val="9"/>
        <color rgb="FFC00000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</si>
  <si>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본 계약에서 정하지 아니한 사항에 관하여는 관계 법령 및 회사의 관련 규정을 따른다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</si>
  <si>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① 본 계약 차량은 본 계약 제</t>
    </r>
    <r>
      <rPr>
        <b/>
        <sz val="8"/>
        <color rgb="FFC00000"/>
        <rFont val="맑은 고딕"/>
        <family val="3"/>
        <charset val="129"/>
      </rPr>
      <t>1</t>
    </r>
    <r>
      <rPr>
        <b/>
        <sz val="8"/>
        <color rgb="FFC00000"/>
        <rFont val="DejaVu Sans"/>
        <family val="2"/>
      </rPr>
      <t>면에 기재된 보험연령 이상의 운전자만이 운행할 수 있다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</si>
  <si>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② 계약자는 본 계약 차량에 기재된 보험연령 이상의 운전자만이 운행하도록 사용자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라이더</t>
    </r>
    <r>
      <rPr>
        <b/>
        <sz val="8"/>
        <color rgb="FFC00000"/>
        <rFont val="맑은 고딕"/>
        <family val="3"/>
        <charset val="129"/>
      </rPr>
      <t>)</t>
    </r>
    <r>
      <rPr>
        <b/>
        <sz val="8"/>
        <color rgb="FFC00000"/>
        <rFont val="DejaVu Sans"/>
        <family val="2"/>
      </rPr>
      <t>의 자격을 관리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감독할 의무를 부담한다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</si>
  <si>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30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준거법 및 관할</t>
    </r>
    <r>
      <rPr>
        <b/>
        <sz val="9"/>
        <color rgb="FF1F4E89"/>
        <rFont val="맑은 고딕"/>
        <family val="3"/>
        <charset val="129"/>
      </rPr>
      <t>)</t>
    </r>
  </si>
  <si>
    <r>
      <rPr>
        <b/>
        <sz val="8"/>
        <color rgb="FFC00000"/>
        <rFont val="DejaVu Sans"/>
        <family val="2"/>
      </rPr>
      <t>③ 보험연령 미달자가 운행하여 발생한 모든 사고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손해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보험사 구상금은 회사의 라이더 신원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연령 확인 여부와 관계없이 계약자가 전적으로 책임진다</t>
    </r>
    <r>
      <rPr>
        <b/>
        <sz val="8"/>
        <color rgb="FFC00000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</si>
  <si>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본 계약은 대한민국 법률에 따라 해석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적용하며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본 계약과 관련하여 분쟁이 발생하는 경우 수원지방법원을 전속 관할 법원으로 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</si>
  <si>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④ 회사는 본 계약 차량의 실제 운전자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사용자</t>
    </r>
    <r>
      <rPr>
        <b/>
        <sz val="8"/>
        <color rgb="FFC00000"/>
        <rFont val="맑은 고딕"/>
        <family val="3"/>
        <charset val="129"/>
      </rPr>
      <t>)</t>
    </r>
    <r>
      <rPr>
        <b/>
        <sz val="8"/>
        <color rgb="FFC00000"/>
        <rFont val="DejaVu Sans"/>
        <family val="2"/>
      </rPr>
      <t>의 신원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자격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연령을 사전에 확인할 의무를 부담하지 아니한다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</si>
  <si>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31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차량 평가 및 감가 기준</t>
    </r>
    <r>
      <rPr>
        <b/>
        <sz val="9"/>
        <color rgb="FF1F4E89"/>
        <rFont val="맑은 고딕"/>
        <family val="3"/>
        <charset val="129"/>
      </rPr>
      <t>)</t>
    </r>
  </si>
  <si>
    <r>
      <rPr>
        <b/>
        <sz val="9"/>
        <color rgb="FFC00000"/>
        <rFont val="DejaVu Sans"/>
        <family val="2"/>
      </rPr>
      <t>제</t>
    </r>
    <r>
      <rPr>
        <b/>
        <sz val="9"/>
        <color rgb="FFC00000"/>
        <rFont val="맑은 고딕"/>
        <family val="3"/>
        <charset val="129"/>
      </rPr>
      <t>13</t>
    </r>
    <r>
      <rPr>
        <b/>
        <sz val="9"/>
        <color rgb="FFC00000"/>
        <rFont val="DejaVu Sans"/>
        <family val="2"/>
      </rPr>
      <t xml:space="preserve">조 </t>
    </r>
    <r>
      <rPr>
        <b/>
        <sz val="9"/>
        <color rgb="FFC00000"/>
        <rFont val="맑은 고딕"/>
        <family val="3"/>
        <charset val="129"/>
      </rPr>
      <t>(</t>
    </r>
    <r>
      <rPr>
        <b/>
        <sz val="9"/>
        <color rgb="FFC00000"/>
        <rFont val="DejaVu Sans"/>
        <family val="2"/>
      </rPr>
      <t>보험 면책사고 및 구상금</t>
    </r>
    <r>
      <rPr>
        <b/>
        <sz val="9"/>
        <color rgb="FFC00000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</si>
  <si>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계약 만료 또는 해지로 이륜차가 회사에 반환된 경우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회사는 반환 차량의 상태를 평가하여 보증금에서 수리비를 공제하거나 계약자에게 추가 납부를 청구할 수 있으며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그 감가액 산정 기준은 다음 각 호와 같다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</si>
  <si>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① 다음 각 호에 해당하는 사고로 보험사가 면책하거나 회사에 구상금을 청구하는 경우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그 손해 일체는 계약자가 부담한다</t>
    </r>
    <r>
      <rPr>
        <b/>
        <sz val="8"/>
        <color rgb="FFC00000"/>
        <rFont val="맑은 고딕"/>
        <family val="3"/>
        <charset val="129"/>
      </rPr>
      <t xml:space="preserve">: (1) </t>
    </r>
    <r>
      <rPr>
        <b/>
        <sz val="8"/>
        <color rgb="FFC00000"/>
        <rFont val="DejaVu Sans"/>
        <family val="2"/>
      </rPr>
      <t>고의로 인한 손해</t>
    </r>
    <r>
      <rPr>
        <b/>
        <sz val="8"/>
        <color rgb="FFC00000"/>
        <rFont val="맑은 고딕"/>
        <family val="3"/>
        <charset val="129"/>
      </rPr>
      <t xml:space="preserve">, (2) </t>
    </r>
    <r>
      <rPr>
        <b/>
        <sz val="8"/>
        <color rgb="FFC00000"/>
        <rFont val="DejaVu Sans"/>
        <family val="2"/>
      </rPr>
      <t>무면허운전</t>
    </r>
    <r>
      <rPr>
        <b/>
        <sz val="8"/>
        <color rgb="FFC00000"/>
        <rFont val="맑은 고딕"/>
        <family val="3"/>
        <charset val="129"/>
      </rPr>
      <t xml:space="preserve">, (3) </t>
    </r>
    <r>
      <rPr>
        <b/>
        <sz val="8"/>
        <color rgb="FFC00000"/>
        <rFont val="DejaVu Sans"/>
        <family val="2"/>
      </rPr>
      <t>음주운전 또는 약물복용 운전</t>
    </r>
    <r>
      <rPr>
        <b/>
        <sz val="8"/>
        <color rgb="FFC00000"/>
        <rFont val="맑은 고딕"/>
        <family val="3"/>
        <charset val="129"/>
      </rPr>
      <t xml:space="preserve">, (4) </t>
    </r>
    <r>
      <rPr>
        <b/>
        <sz val="8"/>
        <color rgb="FFC00000"/>
        <rFont val="DejaVu Sans"/>
        <family val="2"/>
      </rPr>
      <t>보험연령 미달자 운전</t>
    </r>
    <r>
      <rPr>
        <b/>
        <sz val="8"/>
        <color rgb="FFC00000"/>
        <rFont val="맑은 고딕"/>
        <family val="3"/>
        <charset val="129"/>
      </rPr>
      <t xml:space="preserve">, (5) </t>
    </r>
    <r>
      <rPr>
        <b/>
        <sz val="8"/>
        <color rgb="FFC00000"/>
        <rFont val="DejaVu Sans"/>
        <family val="2"/>
      </rPr>
      <t>운전자 자격요건 미충족</t>
    </r>
    <r>
      <rPr>
        <b/>
        <sz val="8"/>
        <color rgb="FFC00000"/>
        <rFont val="맑은 고딕"/>
        <family val="3"/>
        <charset val="129"/>
      </rPr>
      <t>, (6) 12</t>
    </r>
    <r>
      <rPr>
        <b/>
        <sz val="8"/>
        <color rgb="FFC00000"/>
        <rFont val="DejaVu Sans"/>
        <family val="2"/>
      </rPr>
      <t>대 중과실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신호위반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중앙선 침범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 xml:space="preserve">제한속도 </t>
    </r>
    <r>
      <rPr>
        <b/>
        <sz val="8"/>
        <color rgb="FFC00000"/>
        <rFont val="맑은 고딕"/>
        <family val="3"/>
        <charset val="129"/>
      </rPr>
      <t xml:space="preserve">20km </t>
    </r>
    <r>
      <rPr>
        <b/>
        <sz val="8"/>
        <color rgb="FFC00000"/>
        <rFont val="DejaVu Sans"/>
        <family val="2"/>
      </rPr>
      <t>초과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앞지르기 위반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철길건널목 통과방법 위반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횡단보도 사고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무면허운전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음주운전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보도 침범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승객 추락방지의무 위반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어린이 보호구역 사고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화물 고정 위반</t>
    </r>
    <r>
      <rPr>
        <b/>
        <sz val="8"/>
        <color rgb="FFC00000"/>
        <rFont val="맑은 고딕"/>
        <family val="3"/>
        <charset val="129"/>
      </rPr>
      <t>)</t>
    </r>
    <r>
      <rPr>
        <b/>
        <sz val="8"/>
        <color rgb="FFC00000"/>
        <rFont val="DejaVu Sans"/>
        <family val="2"/>
      </rPr>
      <t>에 해당하는 사고</t>
    </r>
    <r>
      <rPr>
        <b/>
        <sz val="8"/>
        <color rgb="FFC00000"/>
        <rFont val="맑은 고딕"/>
        <family val="3"/>
        <charset val="129"/>
      </rPr>
      <t xml:space="preserve">, (7) </t>
    </r>
    <r>
      <rPr>
        <b/>
        <sz val="8"/>
        <color rgb="FFC00000"/>
        <rFont val="DejaVu Sans"/>
        <family val="2"/>
      </rPr>
      <t>운전자 범위를 벗어난 자에게 운전하게 한 경우</t>
    </r>
    <r>
      <rPr>
        <b/>
        <sz val="8"/>
        <color rgb="FFC00000"/>
        <rFont val="맑은 고딕"/>
        <family val="3"/>
        <charset val="129"/>
      </rPr>
      <t xml:space="preserve">, (8) </t>
    </r>
    <r>
      <rPr>
        <b/>
        <sz val="8"/>
        <color rgb="FFC00000"/>
        <rFont val="DejaVu Sans"/>
        <family val="2"/>
      </rPr>
      <t>요금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대가를 받고 이륜차를 이용한 경우</t>
    </r>
    <r>
      <rPr>
        <b/>
        <sz val="8"/>
        <color rgb="FFC00000"/>
        <rFont val="맑은 고딕"/>
        <family val="3"/>
        <charset val="129"/>
      </rPr>
      <t xml:space="preserve">, (9) </t>
    </r>
    <r>
      <rPr>
        <b/>
        <sz val="8"/>
        <color rgb="FFC00000"/>
        <rFont val="DejaVu Sans"/>
        <family val="2"/>
      </rPr>
      <t>경기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시범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연습용 사용</t>
    </r>
    <r>
      <rPr>
        <b/>
        <sz val="8"/>
        <color rgb="FFC00000"/>
        <rFont val="맑은 고딕"/>
        <family val="3"/>
        <charset val="129"/>
      </rPr>
      <t xml:space="preserve">, (10) </t>
    </r>
    <r>
      <rPr>
        <b/>
        <sz val="8"/>
        <color rgb="FFC00000"/>
        <rFont val="DejaVu Sans"/>
        <family val="2"/>
      </rPr>
      <t>범죄 목적 이용</t>
    </r>
    <r>
      <rPr>
        <b/>
        <sz val="8"/>
        <color rgb="FFC00000"/>
        <rFont val="맑은 고딕"/>
        <family val="3"/>
        <charset val="129"/>
      </rPr>
      <t xml:space="preserve">, (11) </t>
    </r>
    <r>
      <rPr>
        <b/>
        <sz val="8"/>
        <color rgb="FFC00000"/>
        <rFont val="DejaVu Sans"/>
        <family val="2"/>
      </rPr>
      <t>도난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무단이용 중 사고</t>
    </r>
    <r>
      <rPr>
        <b/>
        <sz val="8"/>
        <color rgb="FFC00000"/>
        <rFont val="맑은 고딕"/>
        <family val="3"/>
        <charset val="129"/>
      </rPr>
      <t xml:space="preserve">, (12) </t>
    </r>
    <r>
      <rPr>
        <b/>
        <sz val="8"/>
        <color rgb="FFC00000"/>
        <rFont val="DejaVu Sans"/>
        <family val="2"/>
      </rPr>
      <t>계약 종료 후 무단 운행 중 사고</t>
    </r>
    <r>
      <rPr>
        <b/>
        <sz val="8"/>
        <color rgb="FFC00000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</si>
  <si>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커버류의 교체 또는 수리가 필요한 경우</t>
    </r>
    <r>
      <rPr>
        <sz val="8"/>
        <color rgb="FF2B2B2B"/>
        <rFont val="맑은 고딕"/>
        <family val="3"/>
        <charset val="129"/>
      </rPr>
      <t xml:space="preserve">: </t>
    </r>
    <r>
      <rPr>
        <sz val="8"/>
        <color rgb="FF2B2B2B"/>
        <rFont val="DejaVu Sans"/>
        <family val="2"/>
      </rPr>
      <t xml:space="preserve">해당 부위당 감가율 </t>
    </r>
    <r>
      <rPr>
        <sz val="8"/>
        <color rgb="FF2B2B2B"/>
        <rFont val="맑은 고딕"/>
        <family val="3"/>
        <charset val="129"/>
      </rPr>
      <t>4%</t>
    </r>
    <r>
      <rPr>
        <sz val="8"/>
        <color rgb="FF2B2B2B"/>
        <rFont val="DejaVu Sans"/>
        <family val="2"/>
      </rPr>
      <t>를 적용한다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</si>
  <si>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② 위 사유로 보험사가 회사에 구상금을 청구한 경우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회사는 그 사실을 계약자에게 통보하며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 xml:space="preserve">계약자는 통보 후 </t>
    </r>
    <r>
      <rPr>
        <b/>
        <sz val="8"/>
        <color rgb="FFC00000"/>
        <rFont val="맑은 고딕"/>
        <family val="3"/>
        <charset val="129"/>
      </rPr>
      <t>7</t>
    </r>
    <r>
      <rPr>
        <b/>
        <sz val="8"/>
        <color rgb="FFC00000"/>
        <rFont val="DejaVu Sans"/>
        <family val="2"/>
      </rPr>
      <t>일 이내에 구상금 전액 및 회사가 그와 관련하여 지출한 변호사비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소송비 일체를 회사에 변제하여야 한다</t>
    </r>
    <r>
      <rPr>
        <b/>
        <sz val="8"/>
        <color rgb="FFC00000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</si>
  <si>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차대의 교체 또는 수리가 필요한 경우</t>
    </r>
    <r>
      <rPr>
        <sz val="8"/>
        <color rgb="FF2B2B2B"/>
        <rFont val="맑은 고딕"/>
        <family val="3"/>
        <charset val="129"/>
      </rPr>
      <t xml:space="preserve">: </t>
    </r>
    <r>
      <rPr>
        <sz val="8"/>
        <color rgb="FF2B2B2B"/>
        <rFont val="DejaVu Sans"/>
        <family val="2"/>
      </rPr>
      <t xml:space="preserve">해당 부위당 감가율 </t>
    </r>
    <r>
      <rPr>
        <sz val="8"/>
        <color rgb="FF2B2B2B"/>
        <rFont val="맑은 고딕"/>
        <family val="3"/>
        <charset val="129"/>
      </rPr>
      <t>6%</t>
    </r>
    <r>
      <rPr>
        <sz val="8"/>
        <color rgb="FF2B2B2B"/>
        <rFont val="DejaVu Sans"/>
        <family val="2"/>
      </rPr>
      <t>를 적용한다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</si>
  <si>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 xml:space="preserve">③ 계약자가 전항의 </t>
    </r>
    <r>
      <rPr>
        <b/>
        <sz val="8"/>
        <color rgb="FFC00000"/>
        <rFont val="맑은 고딕"/>
        <family val="3"/>
        <charset val="129"/>
      </rPr>
      <t>7</t>
    </r>
    <r>
      <rPr>
        <b/>
        <sz val="8"/>
        <color rgb="FFC00000"/>
        <rFont val="DejaVu Sans"/>
        <family val="2"/>
      </rPr>
      <t>일 이내에 변제하지 아니하는 경우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본 계약은 자동 해지되며 회사는 차량을 즉시 회수한다</t>
    </r>
    <r>
      <rPr>
        <b/>
        <sz val="8"/>
        <color rgb="FFC00000"/>
        <rFont val="맑은 고딕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보증금은 반환하지 아니하며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위약금 및 손해배상금은 별도로 청구한다</t>
    </r>
    <r>
      <rPr>
        <b/>
        <sz val="8"/>
        <color rgb="FFC00000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</si>
  <si>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도장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판금 작업이 필요한 경우</t>
    </r>
    <r>
      <rPr>
        <sz val="8"/>
        <color rgb="FF2B2B2B"/>
        <rFont val="맑은 고딕"/>
        <family val="3"/>
        <charset val="129"/>
      </rPr>
      <t>: 30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맑은 고딕"/>
        <family val="3"/>
        <charset val="129"/>
      </rPr>
      <t>~ 50</t>
    </r>
    <r>
      <rPr>
        <sz val="8"/>
        <color rgb="FF2B2B2B"/>
        <rFont val="DejaVu Sans"/>
        <family val="2"/>
      </rPr>
      <t>만원 범위에서 산정한다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</si>
  <si>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④ 계약자가 회사를 면책시키지 못하여 회사가 직접 손해배상을 한 경우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회사가 제</t>
    </r>
    <r>
      <rPr>
        <b/>
        <sz val="8"/>
        <color rgb="FFC00000"/>
        <rFont val="맑은 고딕"/>
        <family val="3"/>
        <charset val="129"/>
      </rPr>
      <t>3</t>
    </r>
    <r>
      <rPr>
        <b/>
        <sz val="8"/>
        <color rgb="FFC00000"/>
        <rFont val="DejaVu Sans"/>
        <family val="2"/>
      </rPr>
      <t>자에게 지급한 금액과 관련 비용 일체를 즉시 회사에 상환하여야 한다</t>
    </r>
    <r>
      <rPr>
        <b/>
        <sz val="8"/>
        <color rgb="FFC00000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</si>
  <si>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제①</t>
    </r>
    <r>
      <rPr>
        <sz val="8"/>
        <color rgb="FF2B2B2B"/>
        <rFont val="맑은 고딕"/>
        <family val="3"/>
        <charset val="129"/>
      </rPr>
      <t>~③</t>
    </r>
    <r>
      <rPr>
        <sz val="8"/>
        <color rgb="FF2B2B2B"/>
        <rFont val="DejaVu Sans"/>
        <family val="2"/>
      </rPr>
      <t>호 기준에도 불구하고 실제 수리비가 본 기준 금액을 초과하는 경우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회사는 실비를 기준으로 청구할 수 있다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</si>
  <si>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사고 처리 및 미수선처리 금지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</si>
  <si>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① 사고 발생 시 계약자는 사용자가 지정 수리센터로 입고하여 수리를 진행하게 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관계 법령 및 보험계약상의 절차에 따라 사고를 처리한다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</si>
  <si>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렌탈 기간 중 이륜차에 대한 미수선처리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보험금을 현금으로 수령하고 수리하지 아니하는 행위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는 불가하다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</si>
  <si>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회사는 이륜차 가치 감가하락의 대가로 지급되는 격락손해금을 계약 만기 시 지급한다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단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렌탈료의 미납이 없는 경우에 한한다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</si>
  <si>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10"/>
        <color rgb="FF1F4E89"/>
        <rFont val="DejaVu Sans"/>
        <family val="2"/>
      </rPr>
      <t>이용약관의 내용에 대하여 전부 설명 듣고 확인하였습니다</t>
    </r>
    <r>
      <rPr>
        <b/>
        <sz val="10"/>
        <color rgb="FF1F4E89"/>
        <rFont val="맑은 고딕"/>
        <family val="3"/>
        <charset val="129"/>
      </rPr>
      <t>.</t>
    </r>
  </si>
  <si>
    <r>
      <rPr>
        <sz val="10"/>
        <rFont val="DejaVu Sans"/>
        <family val="2"/>
      </rPr>
      <t>계약자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배달대행사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서명 또는 인</t>
    </r>
    <r>
      <rPr>
        <sz val="10"/>
        <rFont val="맑은 고딕"/>
        <family val="3"/>
        <charset val="129"/>
      </rPr>
      <t xml:space="preserve">:                                   </t>
    </r>
    <r>
      <rPr>
        <sz val="10"/>
        <rFont val="DejaVu Sans"/>
        <family val="2"/>
      </rPr>
      <t>연대보증인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대표자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서명 또는 인</t>
    </r>
    <r>
      <rPr>
        <sz val="10"/>
        <rFont val="맑은 고딕"/>
        <family val="3"/>
        <charset val="129"/>
      </rPr>
      <t xml:space="preserve">:                                   </t>
    </r>
    <r>
      <rPr>
        <sz val="10"/>
        <rFont val="DejaVu Sans"/>
        <family val="2"/>
      </rPr>
      <t>일자</t>
    </r>
    <r>
      <rPr>
        <sz val="10"/>
        <rFont val="맑은 고딕"/>
        <family val="3"/>
        <charset val="129"/>
      </rPr>
      <t xml:space="preserve">:                 </t>
    </r>
  </si>
  <si>
    <r>
      <rPr>
        <i/>
        <sz val="8"/>
        <color rgb="FF595959"/>
        <rFont val="맑은 고딕"/>
        <family val="3"/>
        <charset val="129"/>
      </rPr>
      <t>※</t>
    </r>
    <r>
      <rPr>
        <i/>
        <sz val="8"/>
        <color rgb="FF595959"/>
        <rFont val="DejaVu Sans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제출</t>
    </r>
    <r>
      <rPr>
        <i/>
        <sz val="8"/>
        <color rgb="FF595959"/>
        <rFont val="DejaVu Sans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서류</t>
    </r>
    <r>
      <rPr>
        <i/>
        <sz val="8"/>
        <color rgb="FF595959"/>
        <rFont val="DejaVu Sans"/>
        <family val="2"/>
      </rPr>
      <t xml:space="preserve"> </t>
    </r>
    <r>
      <rPr>
        <i/>
        <sz val="8"/>
        <color rgb="FF595959"/>
        <rFont val="DejaVu Sans"/>
        <family val="3"/>
        <charset val="129"/>
      </rPr>
      <t xml:space="preserve">: </t>
    </r>
    <r>
      <rPr>
        <i/>
        <sz val="8"/>
        <color rgb="FF595959"/>
        <rFont val="맑은 고딕"/>
        <family val="3"/>
        <charset val="129"/>
      </rPr>
      <t>사업자등록증</t>
    </r>
    <r>
      <rPr>
        <i/>
        <sz val="8"/>
        <color rgb="FF595959"/>
        <rFont val="DejaVu Sans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사본</t>
    </r>
    <r>
      <rPr>
        <i/>
        <sz val="8"/>
        <color rgb="FF595959"/>
        <rFont val="DejaVu Sans"/>
        <family val="3"/>
        <charset val="129"/>
      </rPr>
      <t xml:space="preserve">, </t>
    </r>
    <r>
      <rPr>
        <i/>
        <sz val="8"/>
        <color rgb="FF595959"/>
        <rFont val="맑은 고딕"/>
        <family val="3"/>
        <charset val="129"/>
      </rPr>
      <t>대표자</t>
    </r>
    <r>
      <rPr>
        <i/>
        <sz val="8"/>
        <color rgb="FF595959"/>
        <rFont val="DejaVu Sans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신분증</t>
    </r>
    <r>
      <rPr>
        <i/>
        <sz val="8"/>
        <color rgb="FF595959"/>
        <rFont val="DejaVu Sans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사본</t>
    </r>
    <phoneticPr fontId="33" type="noConversion"/>
  </si>
  <si>
    <r>
      <rPr>
        <b/>
        <sz val="11"/>
        <color rgb="FFFFFFFF"/>
        <rFont val="Segoe UI Symbol"/>
        <family val="2"/>
      </rPr>
      <t>■</t>
    </r>
    <r>
      <rPr>
        <b/>
        <sz val="11"/>
        <color rgb="FFFFFFFF"/>
        <rFont val="DejaVu Sans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계약자</t>
    </r>
    <phoneticPr fontId="33" type="noConversion"/>
  </si>
  <si>
    <r>
      <rPr>
        <b/>
        <sz val="11"/>
        <color rgb="FFFFFFFF"/>
        <rFont val="Segoe UI Symbol"/>
        <family val="2"/>
      </rPr>
      <t>■</t>
    </r>
    <r>
      <rPr>
        <b/>
        <sz val="11"/>
        <color rgb="FFFFFFFF"/>
        <rFont val="DejaVu Sans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연대보증인</t>
    </r>
    <phoneticPr fontId="33" type="noConversion"/>
  </si>
  <si>
    <r>
      <rPr>
        <sz val="10"/>
        <color rgb="FF000000"/>
        <rFont val="맑은 고딕"/>
        <family val="3"/>
        <charset val="129"/>
      </rPr>
      <t>강원특별자치도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춘천시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춘천로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188, 210호, 211호-에이66호</t>
    </r>
    <phoneticPr fontId="33" type="noConversion"/>
  </si>
  <si>
    <r>
      <rPr>
        <sz val="9"/>
        <color rgb="FF000000"/>
        <rFont val="맑은 고딕"/>
        <family val="3"/>
        <charset val="129"/>
      </rPr>
      <t>본인은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이륜차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종합렌탈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계약서와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이용약관의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내용을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전부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설명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듣고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확인하였으며, 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따른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권리·의무와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운행자성·보험연령·사고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고지·면책사고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책임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등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제반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사항에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없이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동의합니다.</t>
    </r>
    <phoneticPr fontId="33" type="noConversion"/>
  </si>
  <si>
    <r>
      <rPr>
        <b/>
        <sz val="8"/>
        <color rgb="FFC00000"/>
        <rFont val="맑은 고딕"/>
        <family val="3"/>
        <charset val="129"/>
      </rPr>
      <t>신호위반·중앙선침범·무면허·음주운전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12대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중과실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보험약관상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면책사항(고의·약물·범죄·운행자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범위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운전·도난중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등)에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해당하는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사고로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경우, 계약자는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통보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7일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이내에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전액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변제하여야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합니다.</t>
    </r>
    <phoneticPr fontId="33" type="noConversion"/>
  </si>
  <si>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보험연령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이상의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운전자만이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운행해야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합니다. 보험연령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미달자가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운행하여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사고·손해·보험사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라이더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신원·연령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확인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여부와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관계없이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전적으로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책임집니다.</t>
    </r>
    <phoneticPr fontId="33" type="noConversion"/>
  </si>
  <si>
    <r>
      <rPr>
        <b/>
        <sz val="8"/>
        <color rgb="FFC00000"/>
        <rFont val="맑은 고딕"/>
        <family val="3"/>
        <charset val="129"/>
      </rPr>
      <t>회사는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아니므로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사실을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직접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인지할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없습니다. 사고(인적·물적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손해, 단독사고, 차량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파손, 도난, 멸실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일체) 발생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즉시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고지하여야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하며, 미고지·지연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고지로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모든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손해(보험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미보장분, 회사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추가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부담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비용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등)는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전적으로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책임지며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즉시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해지하고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회수할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있습니다.</t>
    </r>
    <phoneticPr fontId="33" type="noConversion"/>
  </si>
  <si>
    <r>
      <rPr>
        <b/>
        <sz val="8"/>
        <color rgb="FFC00000"/>
        <rFont val="맑은 고딕"/>
        <family val="3"/>
        <charset val="129"/>
      </rPr>
      <t>회사는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소유자이나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자동차손해배상보장법상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"운행자"가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아니며, 운행자성(운행지배·운행이익)은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전적으로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계약자에게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있습니다. 따라서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중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모든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인적·물적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책임은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부담합니다.</t>
    </r>
    <phoneticPr fontId="33" type="noConversion"/>
  </si>
  <si>
    <r>
      <rPr>
        <b/>
        <sz val="8"/>
        <color rgb="FFC00000"/>
        <rFont val="맑은 고딕"/>
        <family val="3"/>
        <charset val="129"/>
      </rPr>
      <t>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7일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변제하지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아니하는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경우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자동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해지되고, 회사는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즉시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회수하며, 보증금은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반환하지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아니합니다(위약금·손해배상금은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별도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청구).</t>
    </r>
    <phoneticPr fontId="33" type="noConversion"/>
  </si>
  <si>
    <r>
      <rPr>
        <sz val="8"/>
        <color rgb="FF404040"/>
        <rFont val="맑은 고딕"/>
        <family val="3"/>
        <charset val="129"/>
      </rPr>
      <t>계약자가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한국모터사이클리스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유한회사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계열사와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체결한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다른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이륜차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계약에서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미수금이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14일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지속되는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경우, 회사는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해지하고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차량을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회수할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있습니다.</t>
    </r>
    <phoneticPr fontId="33" type="noConversion"/>
  </si>
  <si>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취소·중도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보증금은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반환되지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않으며, 위약금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및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손해배상금은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별도로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청구됩니다.</t>
    </r>
    <phoneticPr fontId="33" type="noConversion"/>
  </si>
  <si>
    <r>
      <rPr>
        <sz val="8"/>
        <color rgb="FF404040"/>
        <rFont val="맑은 고딕"/>
        <family val="3"/>
        <charset val="129"/>
      </rPr>
      <t>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모든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대금은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포어스바이크(유) 명의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직접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입금되며, 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입금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수납이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확인되지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않을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있습니다.</t>
    </r>
    <phoneticPr fontId="33" type="noConversion"/>
  </si>
  <si>
    <r>
      <rPr>
        <sz val="8"/>
        <color rgb="FF404040"/>
        <rFont val="맑은 고딕"/>
        <family val="3"/>
        <charset val="129"/>
      </rPr>
      <t>거래관계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설정·유지, 상품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제공, 법령상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의무이행, 분쟁처리, 차량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분실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방지, 사고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대응, 보험사고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처리, 채권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관리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전반</t>
    </r>
    <phoneticPr fontId="33" type="noConversion"/>
  </si>
  <si>
    <r>
      <rPr>
        <sz val="8"/>
        <color rgb="FF404040"/>
        <rFont val="맑은 고딕"/>
        <family val="3"/>
        <charset val="129"/>
      </rPr>
      <t>사업장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상호·사업자번호·주소·연락처·이메일, 대표자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성명·주민등록번호·휴대전화번호·주소, 거래계좌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정보, 차량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위치정보(FMS 수집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포함)</t>
    </r>
    <phoneticPr fontId="33" type="noConversion"/>
  </si>
  <si>
    <r>
      <rPr>
        <sz val="8"/>
        <color rgb="FF404040"/>
        <rFont val="맑은 고딕"/>
        <family val="3"/>
        <charset val="129"/>
      </rPr>
      <t>수집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목적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달성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파기. 단, 전자상거래법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관련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법령에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따라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계약·결제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5년, 불량이용자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재가입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방지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1년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보존</t>
    </r>
    <phoneticPr fontId="33" type="noConversion"/>
  </si>
  <si>
    <r>
      <rPr>
        <sz val="8"/>
        <color rgb="FF404040"/>
        <rFont val="맑은 고딕"/>
        <family val="3"/>
        <charset val="129"/>
      </rPr>
      <t>신용카드·자동이체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등록·해지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시까지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및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결제대행사에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거래정보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제공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(금융실명법에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따라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동의)</t>
    </r>
    <phoneticPr fontId="33" type="noConversion"/>
  </si>
  <si>
    <r>
      <rPr>
        <sz val="8"/>
        <color rgb="FF404040"/>
        <rFont val="맑은 고딕"/>
        <family val="3"/>
        <charset val="129"/>
      </rPr>
      <t>매월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발생하는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렌탈료, 보증금, 위약금, 과태료, 범칙금, 보험사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구상금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신용카드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자동승인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자동이체로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출금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거래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신청</t>
    </r>
    <phoneticPr fontId="33" type="noConversion"/>
  </si>
  <si>
    <r>
      <rPr>
        <sz val="8"/>
        <color rgb="FF404040"/>
        <rFont val="맑은 고딕"/>
        <family val="3"/>
        <charset val="129"/>
      </rPr>
      <t>협력사(공급·운송·출고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정보), 배달대행사(고객정보), 차량등록소(등록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사무), 효성에프엠에스(자동이체)</t>
    </r>
    <phoneticPr fontId="33" type="noConversion"/>
  </si>
  <si>
    <r>
      <rPr>
        <b/>
        <sz val="9"/>
        <color rgb="FF1F3864"/>
        <rFont val="맑은 고딕"/>
        <family val="3"/>
        <charset val="129"/>
      </rPr>
      <t>상기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3"/>
        <charset val="129"/>
      </rPr>
      <t>"</t>
    </r>
    <r>
      <rPr>
        <b/>
        <sz val="9"/>
        <color rgb="FF1F3864"/>
        <rFont val="맑은 고딕"/>
        <family val="3"/>
        <charset val="129"/>
      </rPr>
      <t>개인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맑은 고딕"/>
        <family val="3"/>
        <charset val="129"/>
      </rPr>
      <t>신용</t>
    </r>
    <r>
      <rPr>
        <b/>
        <sz val="9"/>
        <color rgb="FF1F3864"/>
        <rFont val="DejaVu Sans"/>
        <family val="3"/>
        <charset val="129"/>
      </rPr>
      <t>)</t>
    </r>
    <r>
      <rPr>
        <b/>
        <sz val="9"/>
        <color rgb="FF1F3864"/>
        <rFont val="맑은 고딕"/>
        <family val="3"/>
        <charset val="129"/>
      </rPr>
      <t>정보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수집</t>
    </r>
    <r>
      <rPr>
        <b/>
        <sz val="9"/>
        <color rgb="FF1F3864"/>
        <rFont val="DejaVu Sans"/>
        <family val="3"/>
        <charset val="129"/>
      </rPr>
      <t>·</t>
    </r>
    <r>
      <rPr>
        <b/>
        <sz val="9"/>
        <color rgb="FF1F3864"/>
        <rFont val="맑은 고딕"/>
        <family val="3"/>
        <charset val="129"/>
      </rPr>
      <t>이용</t>
    </r>
    <r>
      <rPr>
        <b/>
        <sz val="9"/>
        <color rgb="FF1F3864"/>
        <rFont val="DejaVu Sans"/>
        <family val="3"/>
        <charset val="129"/>
      </rPr>
      <t>·</t>
    </r>
    <r>
      <rPr>
        <b/>
        <sz val="9"/>
        <color rgb="FF1F3864"/>
        <rFont val="맑은 고딕"/>
        <family val="3"/>
        <charset val="129"/>
      </rPr>
      <t>제공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동의</t>
    </r>
    <r>
      <rPr>
        <b/>
        <sz val="9"/>
        <color rgb="FF1F3864"/>
        <rFont val="DejaVu Sans"/>
        <family val="3"/>
        <charset val="129"/>
      </rPr>
      <t>", "</t>
    </r>
    <r>
      <rPr>
        <b/>
        <sz val="9"/>
        <color rgb="FF1F3864"/>
        <rFont val="맑은 고딕"/>
        <family val="3"/>
        <charset val="129"/>
      </rPr>
      <t>금융거래정보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제공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동의</t>
    </r>
    <r>
      <rPr>
        <b/>
        <sz val="9"/>
        <color rgb="FF1F3864"/>
        <rFont val="DejaVu Sans"/>
        <family val="3"/>
        <charset val="129"/>
      </rPr>
      <t>", "</t>
    </r>
    <r>
      <rPr>
        <b/>
        <sz val="9"/>
        <color rgb="FF1F3864"/>
        <rFont val="맑은 고딕"/>
        <family val="3"/>
        <charset val="129"/>
      </rPr>
      <t>업무위탁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동의</t>
    </r>
    <r>
      <rPr>
        <b/>
        <sz val="9"/>
        <color rgb="FF1F3864"/>
        <rFont val="DejaVu Sans"/>
        <family val="3"/>
        <charset val="129"/>
      </rPr>
      <t>"</t>
    </r>
    <r>
      <rPr>
        <b/>
        <sz val="9"/>
        <color rgb="FF1F3864"/>
        <rFont val="맑은 고딕"/>
        <family val="3"/>
        <charset val="129"/>
      </rPr>
      <t>에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대하여</t>
    </r>
    <r>
      <rPr>
        <b/>
        <sz val="9"/>
        <color rgb="FF1F3864"/>
        <rFont val="Arial"/>
        <family val="2"/>
      </rPr>
      <t xml:space="preserve">       </t>
    </r>
    <r>
      <rPr>
        <b/>
        <sz val="9"/>
        <color rgb="FF1F3864"/>
        <rFont val="DejaVu Sans"/>
        <family val="2"/>
        <charset val="129"/>
      </rPr>
      <t>□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동의안함</t>
    </r>
    <r>
      <rPr>
        <b/>
        <sz val="9"/>
        <color rgb="FF1F3864"/>
        <rFont val="Arial"/>
        <family val="2"/>
      </rPr>
      <t xml:space="preserve">       </t>
    </r>
    <r>
      <rPr>
        <b/>
        <sz val="9"/>
        <color rgb="FF1F3864"/>
        <rFont val="DejaVu Sans"/>
        <family val="2"/>
        <charset val="129"/>
      </rPr>
      <t>□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전부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동의함</t>
    </r>
    <r>
      <rPr>
        <b/>
        <sz val="9"/>
        <color rgb="FF1F3864"/>
        <rFont val="Arial"/>
        <family val="2"/>
      </rPr>
      <t xml:space="preserve"> </t>
    </r>
    <phoneticPr fontId="33" type="noConversion"/>
  </si>
  <si>
    <t>이륜차 렌트 계약서</t>
    <phoneticPr fontId="33" type="noConversion"/>
  </si>
  <si>
    <r>
      <rPr>
        <b/>
        <sz val="14"/>
        <color rgb="FFFFFFFF"/>
        <rFont val="맑은 고딕"/>
        <family val="3"/>
        <charset val="129"/>
      </rPr>
      <t>[</t>
    </r>
    <r>
      <rPr>
        <b/>
        <sz val="14"/>
        <color rgb="FFFFFFFF"/>
        <rFont val="DejaVu Sans"/>
        <family val="2"/>
      </rPr>
      <t>별지</t>
    </r>
    <r>
      <rPr>
        <b/>
        <sz val="14"/>
        <color rgb="FFFFFFFF"/>
        <rFont val="맑은 고딕"/>
        <family val="3"/>
        <charset val="129"/>
      </rPr>
      <t xml:space="preserve">] </t>
    </r>
    <r>
      <rPr>
        <b/>
        <sz val="14"/>
        <color rgb="FFFFFFFF"/>
        <rFont val="DejaVu Sans"/>
        <family val="2"/>
      </rPr>
      <t>이륜차 할부판매 계약 이용약관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</si>
  <si>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목적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</si>
  <si>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전항의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이루어지지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자동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phoneticPr fontId="33" type="noConversion"/>
  </si>
  <si>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반환함과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 xml:space="preserve">(1) </t>
    </r>
    <r>
      <rPr>
        <sz val="8"/>
        <color rgb="FF2B2B2B"/>
        <rFont val="맑은 고딕"/>
        <family val="3"/>
        <charset val="129"/>
      </rPr>
      <t>인도일부터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사용료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맑은 고딕"/>
        <family val="3"/>
        <charset val="129"/>
      </rPr>
      <t>이륜차의</t>
    </r>
    <phoneticPr fontId="33" type="noConversion"/>
  </si>
  <si>
    <r>
      <rPr>
        <sz val="8"/>
        <color rgb="FF2B2B2B"/>
        <rFont val="맑은 고딕"/>
        <family val="3"/>
        <charset val="129"/>
      </rPr>
      <t>감가손실액</t>
    </r>
    <r>
      <rPr>
        <sz val="8"/>
        <color rgb="FF2B2B2B"/>
        <rFont val="DejaVu Sans"/>
        <family val="3"/>
        <charset val="129"/>
      </rPr>
      <t xml:space="preserve">, (3)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보험료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부대비용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phoneticPr fontId="33" type="noConversion"/>
  </si>
  <si>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배상하여야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</si>
  <si>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2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용어의 정의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</si>
  <si>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phoneticPr fontId="33" type="noConversion"/>
  </si>
  <si>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다만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확인될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1</t>
    </r>
    <r>
      <rPr>
        <sz val="8"/>
        <color rgb="FF2B2B2B"/>
        <rFont val="맑은 고딕"/>
        <family val="3"/>
        <charset val="129"/>
      </rPr>
      <t>개월이</t>
    </r>
    <phoneticPr fontId="33" type="noConversion"/>
  </si>
  <si>
    <r>
      <rPr>
        <sz val="8"/>
        <color rgb="FF2B2B2B"/>
        <rFont val="맑은 고딕"/>
        <family val="3"/>
        <charset val="129"/>
      </rPr>
      <t>경과한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</si>
  <si>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초과하면</t>
    </r>
    <r>
      <rPr>
        <sz val="8"/>
        <color rgb="FF2B2B2B"/>
        <rFont val="Arial"/>
        <family val="2"/>
      </rPr>
      <t xml:space="preserve"> </t>
    </r>
    <phoneticPr fontId="33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</si>
  <si>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</si>
  <si>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범칙금은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초과분은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phoneticPr fontId="33" type="noConversion"/>
  </si>
  <si>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</si>
  <si>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사유로도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phoneticPr fontId="33" type="noConversion"/>
  </si>
  <si>
    <r>
      <rPr>
        <sz val="8"/>
        <color rgb="FF2B2B2B"/>
        <rFont val="맑은 고딕"/>
        <family val="3"/>
        <charset val="129"/>
      </rPr>
      <t>받을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</si>
  <si>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8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할부금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기타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지급금</t>
    </r>
    <r>
      <rPr>
        <b/>
        <sz val="9"/>
        <color rgb="FF1F3864"/>
        <rFont val="DejaVu Sans"/>
        <family val="2"/>
        <charset val="1"/>
      </rPr>
      <t>)</t>
    </r>
    <phoneticPr fontId="3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</si>
  <si>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공휴일과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정해진</t>
    </r>
    <phoneticPr fontId="33" type="noConversion"/>
  </si>
  <si>
    <r>
      <rPr>
        <sz val="8"/>
        <color rgb="FF2B2B2B"/>
        <rFont val="맑은 고딕"/>
        <family val="3"/>
        <charset val="129"/>
      </rPr>
      <t>결제일에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</si>
  <si>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결제방법이란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안내한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은행계좌로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한국은행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통화를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지급하거나</t>
    </r>
    <phoneticPr fontId="33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</si>
  <si>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결제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의미한다</t>
    </r>
    <r>
      <rPr>
        <sz val="8"/>
        <color rgb="FF2B2B2B"/>
        <rFont val="DejaVu Sans"/>
        <family val="1"/>
        <charset val="1"/>
      </rPr>
      <t>.</t>
    </r>
    <phoneticPr fontId="3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</si>
  <si>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매도인의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인상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정부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사정으로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phoneticPr fontId="33" type="noConversion"/>
  </si>
  <si>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</si>
  <si>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훼손으로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phoneticPr fontId="33" type="noConversion"/>
  </si>
  <si>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</si>
  <si>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3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서류 제출 및 보완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</si>
  <si>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납부주기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조정되는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phoneticPr fontId="33" type="noConversion"/>
  </si>
  <si>
    <r>
      <rPr>
        <sz val="8"/>
        <color rgb="FF2B2B2B"/>
        <rFont val="맑은 고딕"/>
        <family val="3"/>
        <charset val="129"/>
      </rPr>
      <t>산정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적용한다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</si>
  <si>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채권의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업무를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포어</t>
    </r>
    <phoneticPr fontId="3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</si>
  <si>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아니한다</t>
    </r>
    <r>
      <rPr>
        <sz val="8"/>
        <color rgb="FF2B2B2B"/>
        <rFont val="DejaVu Sans"/>
        <family val="1"/>
        <charset val="1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</si>
  <si>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위임하며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수납대행사는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대리하여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독촉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추심</t>
    </r>
    <phoneticPr fontId="33" type="noConversion"/>
  </si>
  <si>
    <r>
      <rPr>
        <sz val="8"/>
        <color rgb="FF2B2B2B"/>
        <rFont val="맑은 고딕"/>
        <family val="3"/>
        <charset val="129"/>
      </rPr>
      <t>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</si>
  <si>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4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소유권 유보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</si>
  <si>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phoneticPr fontId="33" type="noConversion"/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</si>
  <si>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9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지연손해금 및 반환지연금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</si>
  <si>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맑은 고딕"/>
        <family val="3"/>
        <charset val="129"/>
      </rPr>
      <t>유보된다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</si>
  <si>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phoneticPr fontId="3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</si>
  <si>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완전히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phoneticPr fontId="33" type="noConversion"/>
  </si>
  <si>
    <r>
      <rPr>
        <sz val="8"/>
        <color rgb="FF2B2B2B"/>
        <rFont val="맑은 고딕"/>
        <family val="3"/>
        <charset val="129"/>
      </rPr>
      <t>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</si>
  <si>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</si>
  <si>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계산식</t>
    </r>
    <r>
      <rPr>
        <sz val="8"/>
        <color rgb="FF2B2B2B"/>
        <rFont val="DejaVu Sans"/>
        <family val="1"/>
        <charset val="1"/>
      </rPr>
      <t xml:space="preserve">: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= </t>
    </r>
    <r>
      <rPr>
        <sz val="8"/>
        <color rgb="FF2B2B2B"/>
        <rFont val="맑은 고딕"/>
        <family val="3"/>
        <charset val="129"/>
      </rPr>
      <t>연체금액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× </t>
    </r>
    <r>
      <rPr>
        <sz val="8"/>
        <color rgb="FF2B2B2B"/>
        <rFont val="맑은 고딕"/>
        <family val="3"/>
        <charset val="129"/>
      </rPr>
      <t>경과일수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× </t>
    </r>
    <r>
      <rPr>
        <sz val="8"/>
        <color rgb="FF2B2B2B"/>
        <rFont val="맑은 고딕"/>
        <family val="3"/>
        <charset val="129"/>
      </rPr>
      <t>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>20%</t>
    </r>
    <phoneticPr fontId="3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</si>
  <si>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반환지연금은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해지에도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불구하고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점유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사용</t>
    </r>
    <phoneticPr fontId="33" type="noConversion"/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</si>
  <si>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5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계약자의 책임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</si>
  <si>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계속하는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계산식은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같다</t>
    </r>
    <phoneticPr fontId="3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</si>
  <si>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관리자의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관리하여야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phoneticPr fontId="33" type="noConversion"/>
  </si>
  <si>
    <r>
      <rPr>
        <sz val="8"/>
        <color rgb="FF2B2B2B"/>
        <rFont val="맑은 고딕"/>
        <family val="3"/>
        <charset val="129"/>
      </rPr>
      <t>ㆍ반환지연금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= 1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 xml:space="preserve">× </t>
    </r>
    <r>
      <rPr>
        <sz val="8"/>
        <color rgb="FF2B2B2B"/>
        <rFont val="맑은 고딕"/>
        <family val="3"/>
        <charset val="129"/>
      </rPr>
      <t>경과일수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 xml:space="preserve">× </t>
    </r>
    <r>
      <rPr>
        <sz val="8"/>
        <color rgb="FF2B2B2B"/>
        <rFont val="맑은 고딕"/>
        <family val="3"/>
        <charset val="129"/>
      </rPr>
      <t>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20%</t>
    </r>
    <phoneticPr fontId="33" type="noConversion"/>
  </si>
  <si>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보유하더라도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운행자성이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없으므로</t>
    </r>
    <phoneticPr fontId="3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</si>
  <si>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지연손해금과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반환지연금은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손해배상청구와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부과될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1"/>
        <charset val="1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</si>
  <si>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인적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물적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관리책임은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</si>
  <si>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미납이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신용정보집중</t>
    </r>
    <phoneticPr fontId="3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</si>
  <si>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타부착물을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장착하거나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구조를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1"/>
        <charset val="1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</si>
  <si>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기관에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신용정보업체에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채권추심을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의뢰할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</si>
  <si>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사용수익권과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운행이익권을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가진다</t>
    </r>
    <r>
      <rPr>
        <sz val="8"/>
        <color rgb="FF2B2B2B"/>
        <rFont val="DejaVu Sans"/>
        <family val="1"/>
        <charset val="1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</si>
  <si>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16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17</t>
    </r>
    <r>
      <rPr>
        <sz val="8"/>
        <color rgb="FF2B2B2B"/>
        <rFont val="맑은 고딕"/>
        <family val="3"/>
        <charset val="129"/>
      </rPr>
      <t>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중단하고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phoneticPr fontId="33" type="noConversion"/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</si>
  <si>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10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연대보증인의 책임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</si>
  <si>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맑은 고딕"/>
        <family val="3"/>
        <charset val="129"/>
      </rPr>
      <t>반환하여야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</si>
  <si>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사업장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대표자</t>
    </r>
    <r>
      <rPr>
        <sz val="8"/>
        <color rgb="FF2B2B2B"/>
        <rFont val="DejaVu Sans"/>
        <family val="1"/>
        <charset val="1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phoneticPr fontId="3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</si>
  <si>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할부판매라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전에는</t>
    </r>
    <phoneticPr fontId="33" type="noConversion"/>
  </si>
  <si>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phoneticPr fontId="33" type="noConversion"/>
  </si>
  <si>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</si>
  <si>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</si>
  <si>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보전처분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강제집행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</t>
    </r>
    <phoneticPr fontId="3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</si>
  <si>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승계시킨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</t>
    </r>
    <phoneticPr fontId="33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</si>
  <si>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입증하여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침해를</t>
    </r>
    <phoneticPr fontId="33" type="noConversion"/>
  </si>
  <si>
    <r>
      <rPr>
        <sz val="8"/>
        <color rgb="FF2B2B2B"/>
        <rFont val="맑은 고딕"/>
        <family val="3"/>
        <charset val="129"/>
      </rPr>
      <t>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변제될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</si>
  <si>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방지하고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사실을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</si>
  <si>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미변제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남아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회사보다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phoneticPr fontId="33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</si>
  <si>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시점부터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phoneticPr fontId="33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</si>
  <si>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변제받을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1"/>
        <charset val="1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</si>
  <si>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</si>
  <si>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날인하지</t>
    </r>
    <phoneticPr fontId="33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</si>
  <si>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통보하고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비용으로</t>
    </r>
    <phoneticPr fontId="33" type="noConversion"/>
  </si>
  <si>
    <r>
      <rPr>
        <sz val="8"/>
        <color rgb="FF2B2B2B"/>
        <rFont val="맑은 고딕"/>
        <family val="3"/>
        <charset val="129"/>
      </rPr>
      <t>않더라도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단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불리한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phoneticPr fontId="33" type="noConversion"/>
  </si>
  <si>
    <r>
      <t xml:space="preserve">(1)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원상태로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완전복구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(2) </t>
    </r>
    <r>
      <rPr>
        <sz val="8"/>
        <color rgb="FF2B2B2B"/>
        <rFont val="맑은 고딕"/>
        <family val="3"/>
        <charset val="129"/>
      </rPr>
      <t>동일모델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사양으로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이행해야한다</t>
    </r>
    <r>
      <rPr>
        <sz val="8"/>
        <color rgb="FF2B2B2B"/>
        <rFont val="DejaVu Sans"/>
        <family val="1"/>
        <charset val="1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</si>
  <si>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3"/>
        <charset val="129"/>
      </rPr>
      <t>, 14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새로운</t>
    </r>
    <phoneticPr fontId="33" type="noConversion"/>
  </si>
  <si>
    <r>
      <rPr>
        <sz val="8"/>
        <color rgb="FF2B2B2B"/>
        <rFont val="Segoe UI Symbol"/>
        <family val="1"/>
      </rPr>
      <t>⑧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부속품을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인수하므로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phoneticPr fontId="33" type="noConversion"/>
  </si>
  <si>
    <r>
      <rPr>
        <sz val="8"/>
        <color rgb="FF2B2B2B"/>
        <rFont val="맑은 고딕"/>
        <family val="3"/>
        <charset val="129"/>
      </rPr>
      <t>보증인의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미성년자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배우자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강제보</t>
    </r>
    <phoneticPr fontId="33" type="noConversion"/>
  </si>
  <si>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훼손에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</si>
  <si>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증인으로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</si>
  <si>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6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이륜차의 인도 및 계약자 확인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</si>
  <si>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계약의 이관 및 승계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</si>
  <si>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개시일은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1"/>
        <charset val="1"/>
      </rPr>
      <t>.</t>
    </r>
    <phoneticPr fontId="3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</si>
  <si>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phoneticPr fontId="3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</si>
  <si>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인수증을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발급하거나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협력업체를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수령한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phoneticPr fontId="33" type="noConversion"/>
  </si>
  <si>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</si>
  <si>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인도가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</si>
  <si>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승계하고자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인적사항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신용상태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영업상황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정보를</t>
    </r>
    <phoneticPr fontId="3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</si>
  <si>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하자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결함을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</t>
    </r>
    <phoneticPr fontId="33" type="noConversion"/>
  </si>
  <si>
    <r>
      <rPr>
        <sz val="8"/>
        <color rgb="FF2B2B2B"/>
        <rFont val="맑은 고딕"/>
        <family val="3"/>
        <charset val="129"/>
      </rPr>
      <t>제공하여야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심사기준에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부합하지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않으면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거절할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</si>
  <si>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phoneticPr fontId="3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</si>
  <si>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넘긴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</t>
    </r>
    <phoneticPr fontId="33" type="noConversion"/>
  </si>
  <si>
    <r>
      <rPr>
        <sz val="8"/>
        <color rgb="FF2B2B2B"/>
        <rFont val="맑은 고딕"/>
        <family val="3"/>
        <charset val="129"/>
      </rPr>
      <t>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</si>
  <si>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7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보증금 및 계약금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</si>
  <si>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1"/>
        <charset val="1"/>
      </rPr>
      <t>.</t>
    </r>
    <phoneticPr fontId="3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</si>
  <si>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대행사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포어스바이크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DejaVu Sans"/>
        <family val="1"/>
        <charset val="1"/>
      </rPr>
      <t>)</t>
    </r>
    <r>
      <rPr>
        <sz val="8"/>
        <color rgb="FF2B2B2B"/>
        <rFont val="맑은 고딕"/>
        <family val="3"/>
        <charset val="129"/>
      </rPr>
      <t>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</t>
    </r>
    <phoneticPr fontId="33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</si>
  <si>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승계받고자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서명함으로써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DejaVu Sans"/>
        <family val="1"/>
        <charset val="1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</si>
  <si>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받아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최대</t>
    </r>
    <phoneticPr fontId="33" type="noConversion"/>
  </si>
  <si>
    <r>
      <t>7</t>
    </r>
    <r>
      <rPr>
        <sz val="8"/>
        <color rgb="FF2B2B2B"/>
        <rFont val="맑은 고딕"/>
        <family val="3"/>
        <charset val="129"/>
      </rPr>
      <t>일의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1"/>
        <charset val="1"/>
      </rPr>
      <t>.</t>
    </r>
    <phoneticPr fontId="3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</si>
  <si>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거부하는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</t>
    </r>
    <phoneticPr fontId="33" type="noConversion"/>
  </si>
  <si>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민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형사상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이의도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</si>
  <si>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12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차량 위치정보 등 제공 동의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</si>
  <si>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소요된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1"/>
        <charset val="1"/>
      </rPr>
      <t>.</t>
    </r>
    <phoneticPr fontId="3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</si>
  <si>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분실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부착되어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</t>
    </r>
    <phoneticPr fontId="3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</si>
  <si>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계약해지일부터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최종반환일까지의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1"/>
        <charset val="1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</si>
  <si>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으며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</si>
  <si>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이용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제공의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적법성을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</t>
    </r>
    <phoneticPr fontId="3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</si>
  <si>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20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계약만료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후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처리</t>
    </r>
    <r>
      <rPr>
        <b/>
        <sz val="9"/>
        <color rgb="FF1F3864"/>
        <rFont val="DejaVu Sans"/>
        <family val="2"/>
        <charset val="1"/>
      </rPr>
      <t>)</t>
    </r>
    <phoneticPr fontId="33" type="noConversion"/>
  </si>
  <si>
    <r>
      <rPr>
        <sz val="8"/>
        <color rgb="FF2B2B2B"/>
        <rFont val="맑은 고딕"/>
        <family val="3"/>
        <charset val="129"/>
      </rPr>
      <t>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이와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맑은 고딕"/>
        <family val="3"/>
        <charset val="129"/>
      </rPr>
      <t>자로부터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손해</t>
    </r>
    <r>
      <rPr>
        <sz val="8"/>
        <color rgb="FF2B2B2B"/>
        <rFont val="DejaVu Sans"/>
        <family val="3"/>
        <charset val="129"/>
      </rPr>
      <t>·</t>
    </r>
    <phoneticPr fontId="3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</si>
  <si>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phoneticPr fontId="33" type="noConversion"/>
  </si>
  <si>
    <r>
      <rPr>
        <sz val="8"/>
        <color rgb="FF2B2B2B"/>
        <rFont val="맑은 고딕"/>
        <family val="3"/>
        <charset val="129"/>
      </rPr>
      <t>과태료에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</si>
  <si>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DejaVu Sans"/>
        <family val="2"/>
      </rPr>
      <t>하는 사고에 회사는 민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형사상 책임을 지지 않는다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</si>
  <si>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제거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훼손할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1"/>
        <charset val="1"/>
      </rPr>
      <t>.</t>
    </r>
    <phoneticPr fontId="3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</si>
  <si>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(1)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보험가입증명서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신분증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</t>
    </r>
    <r>
      <rPr>
        <sz val="8"/>
        <color rgb="FF2B2B2B"/>
        <rFont val="DejaVu Sans"/>
        <family val="1"/>
        <charset val="1"/>
      </rPr>
      <t xml:space="preserve">, (2) </t>
    </r>
    <r>
      <rPr>
        <sz val="8"/>
        <color rgb="FF2B2B2B"/>
        <rFont val="맑은 고딕"/>
        <family val="3"/>
        <charset val="129"/>
      </rPr>
      <t>사용폐지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phoneticPr fontId="3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</si>
  <si>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채무불이행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보험사고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관리에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phoneticPr fontId="33" type="noConversion"/>
  </si>
  <si>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등기우편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선택한다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</si>
  <si>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범위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내에서만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활용한다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</si>
  <si>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이루어지는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등록세는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존재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관계없이</t>
    </r>
    <r>
      <rPr>
        <sz val="8"/>
        <color rgb="FF2B2B2B"/>
        <rFont val="Arial"/>
        <family val="2"/>
      </rPr>
      <t xml:space="preserve"> </t>
    </r>
    <phoneticPr fontId="33" type="noConversion"/>
  </si>
  <si>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신고는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대행한다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등록세를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</t>
    </r>
    <phoneticPr fontId="33" type="noConversion"/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</si>
  <si>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13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이륜차 유지비용 및 제세공과금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</si>
  <si>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맑은 고딕"/>
        <family val="3"/>
        <charset val="129"/>
      </rPr>
      <t>고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영수증을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</si>
  <si>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법령과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관할관청</t>
    </r>
    <r>
      <rPr>
        <sz val="8"/>
        <color rgb="FF2B2B2B"/>
        <rFont val="DejaVu Sans"/>
        <family val="1"/>
        <charset val="129"/>
      </rPr>
      <t>·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지시를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준수한다</t>
    </r>
    <r>
      <rPr>
        <sz val="8"/>
        <color rgb="FF2B2B2B"/>
        <rFont val="DejaVu Sans"/>
        <family val="1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</si>
  <si>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가능하며</t>
    </r>
    <r>
      <rPr>
        <sz val="8"/>
        <color rgb="FF2B2B2B"/>
        <rFont val="DejaVu Sans"/>
        <family val="1"/>
        <charset val="129"/>
      </rPr>
      <t>,</t>
    </r>
    <phoneticPr fontId="3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</si>
  <si>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언제든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준수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점검할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phoneticPr fontId="33" type="noConversion"/>
  </si>
  <si>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DejaVu Sans"/>
        <family val="3"/>
        <charset val="129"/>
      </rPr>
      <t xml:space="preserve">(D)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D+3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진행되고</t>
    </r>
    <r>
      <rPr>
        <sz val="8"/>
        <color rgb="FF2B2B2B"/>
        <rFont val="DejaVu Sans"/>
        <family val="3"/>
        <charset val="129"/>
      </rPr>
      <t>, D+15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phoneticPr fontId="33" type="noConversion"/>
  </si>
  <si>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협조하여야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</si>
  <si>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기한이익을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상실하며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</si>
  <si>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고의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과실이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phoneticPr fontId="33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</si>
  <si>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수리견적을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작성하여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</t>
    </r>
    <phoneticPr fontId="33" type="noConversion"/>
  </si>
  <si>
    <r>
      <rPr>
        <sz val="8"/>
        <color rgb="FF2B2B2B"/>
        <rFont val="맑은 고딕"/>
        <family val="3"/>
        <charset val="129"/>
      </rPr>
      <t>책임은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DejaVu Sans"/>
        <family val="3"/>
        <charset val="129"/>
      </rPr>
      <t>,</t>
    </r>
    <r>
      <rPr>
        <sz val="8"/>
        <color rgb="FF2B2B2B"/>
        <rFont val="맑은 고딕"/>
        <family val="3"/>
        <charset val="129"/>
      </rPr>
      <t>계약자의</t>
    </r>
    <phoneticPr fontId="33" type="noConversion"/>
  </si>
  <si>
    <r>
      <rPr>
        <sz val="8"/>
        <color rgb="FF2B2B2B"/>
        <rFont val="맑은 고딕"/>
        <family val="3"/>
        <charset val="129"/>
      </rPr>
      <t>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phoneticPr fontId="33" type="noConversion"/>
  </si>
  <si>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보험처리가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보험금으로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</si>
  <si>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차액을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</si>
  <si>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유지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등록말소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폐차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phoneticPr fontId="33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</si>
  <si>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폐지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반납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전달</t>
    </r>
    <r>
      <rPr>
        <sz val="8"/>
        <color rgb="FF2B2B2B"/>
        <rFont val="DejaVu Sans"/>
        <family val="3"/>
        <charset val="129"/>
      </rPr>
      <t>(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보험가입증명서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신분증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</t>
    </r>
    <phoneticPr fontId="33" type="noConversion"/>
  </si>
  <si>
    <r>
      <rPr>
        <sz val="8"/>
        <color rgb="FF2B2B2B"/>
        <rFont val="맑은 고딕"/>
        <family val="3"/>
        <charset val="129"/>
      </rPr>
      <t>제세공과금</t>
    </r>
    <r>
      <rPr>
        <sz val="8"/>
        <color rgb="FF2B2B2B"/>
        <rFont val="DejaVu Sans"/>
        <family val="3"/>
        <charset val="129"/>
      </rPr>
      <t>(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벌과금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</si>
  <si>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9</t>
    </r>
    <r>
      <rPr>
        <sz val="8"/>
        <color rgb="FF2B2B2B"/>
        <rFont val="맑은 고딕"/>
        <family val="3"/>
        <charset val="129"/>
      </rPr>
      <t>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</t>
    </r>
    <phoneticPr fontId="33" type="noConversion"/>
  </si>
  <si>
    <r>
      <rPr>
        <sz val="8"/>
        <color rgb="FF2B2B2B"/>
        <rFont val="맑은 고딕"/>
        <family val="3"/>
        <charset val="129"/>
      </rPr>
      <t>해배상금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부당사용이익을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</si>
  <si>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14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금지행위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</si>
  <si>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아니된다</t>
    </r>
    <r>
      <rPr>
        <sz val="8"/>
        <color rgb="FF2B2B2B"/>
        <rFont val="DejaVu Sans"/>
        <family val="3"/>
        <charset val="129"/>
      </rPr>
      <t xml:space="preserve">: (1)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전대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phoneticPr fontId="3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</si>
  <si>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21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계약만료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전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할부금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완납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시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절차</t>
    </r>
    <r>
      <rPr>
        <b/>
        <sz val="9"/>
        <color rgb="FF1F3864"/>
        <rFont val="DejaVu Sans"/>
        <family val="2"/>
        <charset val="1"/>
      </rPr>
      <t>)</t>
    </r>
    <phoneticPr fontId="33" type="noConversion"/>
  </si>
  <si>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phoneticPr fontId="3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</si>
  <si>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1"/>
        <charset val="1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</si>
  <si>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DejaVu Sans"/>
        <family val="3"/>
        <charset val="129"/>
      </rPr>
      <t xml:space="preserve">, (3)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규격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성능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기능을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DejaVu Sans"/>
        <family val="3"/>
        <charset val="129"/>
      </rPr>
      <t xml:space="preserve">, (4) </t>
    </r>
    <r>
      <rPr>
        <sz val="8"/>
        <color rgb="FF2B2B2B"/>
        <rFont val="맑은 고딕"/>
        <family val="3"/>
        <charset val="129"/>
      </rPr>
      <t>이륜차</t>
    </r>
    <phoneticPr fontId="3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</si>
  <si>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20</t>
    </r>
    <r>
      <rPr>
        <sz val="8"/>
        <color rgb="FF2B2B2B"/>
        <rFont val="맑은 고딕"/>
        <family val="3"/>
        <charset val="129"/>
      </rPr>
      <t>조에서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</t>
    </r>
    <phoneticPr fontId="33" type="noConversion"/>
  </si>
  <si>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담보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제공하는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행위, (5) 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표지</t>
    </r>
    <phoneticPr fontId="33" type="noConversion"/>
  </si>
  <si>
    <r>
      <rPr>
        <sz val="8"/>
        <color rgb="FF2B2B2B"/>
        <rFont val="맑은 고딕"/>
        <family val="3"/>
        <charset val="129"/>
      </rPr>
      <t>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</si>
  <si>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제거·훼손하거나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내용·위치를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행위.</t>
    </r>
    <phoneticPr fontId="3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</si>
  <si>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만료일보다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사용폐지를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보험환급금</t>
    </r>
    <phoneticPr fontId="33" type="noConversion"/>
  </si>
  <si>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환급은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</si>
  <si>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15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3</t>
    </r>
    <r>
      <rPr>
        <b/>
        <sz val="9"/>
        <color rgb="FF1F3864"/>
        <rFont val="DejaVu Sans"/>
        <family val="2"/>
      </rPr>
      <t>자에 대한 면책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</si>
  <si>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</t>
    </r>
    <phoneticPr fontId="3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</si>
  <si>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22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변제충당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순서</t>
    </r>
    <r>
      <rPr>
        <b/>
        <sz val="9"/>
        <color rgb="FF1F3864"/>
        <rFont val="DejaVu Sans"/>
        <family val="2"/>
        <charset val="1"/>
      </rPr>
      <t>)</t>
    </r>
    <phoneticPr fontId="33" type="noConversion"/>
  </si>
  <si>
    <r>
      <rPr>
        <sz val="8"/>
        <color rgb="FF2B2B2B"/>
        <rFont val="맑은 고딕"/>
        <family val="3"/>
        <charset val="129"/>
      </rPr>
      <t>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DejaVu Sans"/>
        <family val="3"/>
        <charset val="129"/>
      </rPr>
      <t>(</t>
    </r>
    <r>
      <rPr>
        <sz val="8"/>
        <color rgb="FF2B2B2B"/>
        <rFont val="맑은 고딕"/>
        <family val="3"/>
        <charset val="129"/>
      </rPr>
      <t>소유자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물적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책임</t>
    </r>
    <phoneticPr fontId="3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</si>
  <si>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충당하기에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부족한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납기일</t>
    </r>
    <phoneticPr fontId="33" type="noConversion"/>
  </si>
  <si>
    <r>
      <rPr>
        <sz val="8"/>
        <color rgb="FF2B2B2B"/>
        <rFont val="맑은 고딕"/>
        <family val="3"/>
        <charset val="129"/>
      </rPr>
      <t>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면책시켜야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한다.</t>
    </r>
    <phoneticPr fontId="33" type="noConversion"/>
  </si>
  <si>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채무액부터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우선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</si>
  <si>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소유자라는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</t>
    </r>
    <phoneticPr fontId="3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</si>
  <si>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원금의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순으로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DejaVu Sans"/>
        <family val="1"/>
        <charset val="1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</si>
  <si>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금액과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</si>
  <si>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라이더</t>
    </r>
    <r>
      <rPr>
        <sz val="8"/>
        <color rgb="FF2B2B2B"/>
        <rFont val="DejaVu Sans"/>
        <family val="1"/>
        <charset val="1"/>
      </rPr>
      <t>)</t>
    </r>
    <r>
      <rPr>
        <sz val="8"/>
        <color rgb="FF2B2B2B"/>
        <rFont val="맑은 고딕"/>
        <family val="3"/>
        <charset val="129"/>
      </rPr>
      <t>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한하여</t>
    </r>
    <phoneticPr fontId="3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</si>
  <si>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소송비용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phoneticPr fontId="33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</si>
  <si>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충당되며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타인의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아니한다</t>
    </r>
    <r>
      <rPr>
        <sz val="8"/>
        <color rgb="FF2B2B2B"/>
        <rFont val="DejaVu Sans"/>
        <family val="1"/>
        <charset val="1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</si>
  <si>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부담하여야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2"/>
        <charset val="129"/>
      </rPr>
      <t>.</t>
    </r>
    <phoneticPr fontId="3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</si>
  <si>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23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세금계산서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발급</t>
    </r>
    <r>
      <rPr>
        <b/>
        <sz val="9"/>
        <color rgb="FF1F3864"/>
        <rFont val="DejaVu Sans"/>
        <family val="2"/>
        <charset val="1"/>
      </rPr>
      <t>)</t>
    </r>
    <phoneticPr fontId="33" type="noConversion"/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</si>
  <si>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16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계약자에 의한 중도 해지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</si>
  <si>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현금영수증</t>
    </r>
    <r>
      <rPr>
        <sz val="8"/>
        <color rgb="FF2B2B2B"/>
        <rFont val="DejaVu Sans"/>
        <family val="1"/>
        <charset val="1"/>
      </rPr>
      <t>)</t>
    </r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연대보증인의</t>
    </r>
    <phoneticPr fontId="3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</si>
  <si>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해지하고자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>10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phoneticPr fontId="33" type="noConversion"/>
  </si>
  <si>
    <r>
      <rPr>
        <sz val="8"/>
        <color rgb="FF2B2B2B"/>
        <rFont val="맑은 고딕"/>
        <family val="3"/>
        <charset val="129"/>
      </rPr>
      <t>사업자등록번호를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발급한다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</si>
  <si>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</si>
  <si>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계산서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대상이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29"/>
      </rPr>
      <t>5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DejaVu Sans"/>
        <family val="1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</si>
  <si>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9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phoneticPr fontId="3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</si>
  <si>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전화번호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상호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사업자등록번호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사항에</t>
    </r>
    <r>
      <rPr>
        <sz val="8"/>
        <color rgb="FF2B2B2B"/>
        <rFont val="Arial"/>
        <family val="2"/>
      </rPr>
      <t xml:space="preserve"> </t>
    </r>
    <phoneticPr fontId="33" type="noConversion"/>
  </si>
  <si>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</si>
  <si>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</si>
  <si>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</t>
    </r>
    <phoneticPr fontId="3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</si>
  <si>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불이익은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1"/>
        <charset val="1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</si>
  <si>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용은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</si>
  <si>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평가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정산</t>
    </r>
    <phoneticPr fontId="3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</si>
  <si>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24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적용범위</t>
    </r>
    <r>
      <rPr>
        <b/>
        <sz val="9"/>
        <color rgb="FF1F3864"/>
        <rFont val="DejaVu Sans"/>
        <family val="2"/>
        <charset val="1"/>
      </rPr>
      <t>)</t>
    </r>
    <phoneticPr fontId="33" type="noConversion"/>
  </si>
  <si>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협조하여야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</si>
  <si>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</t>
    </r>
    <phoneticPr fontId="33" type="noConversion"/>
  </si>
  <si>
    <r>
      <rPr>
        <sz val="8"/>
        <color rgb="FF2B2B2B"/>
        <rFont val="맑은 고딕"/>
        <family val="3"/>
        <charset val="129"/>
      </rPr>
      <t>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</si>
  <si>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17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계약의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해지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사유</t>
    </r>
    <r>
      <rPr>
        <b/>
        <sz val="9"/>
        <color rgb="FF1F3864"/>
        <rFont val="DejaVu Sans"/>
        <family val="2"/>
        <charset val="1"/>
      </rPr>
      <t>)</t>
    </r>
    <phoneticPr fontId="3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</si>
  <si>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반대로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phoneticPr fontId="33" type="noConversion"/>
  </si>
  <si>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호에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기한이익을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상실하며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회사는</t>
    </r>
    <phoneticPr fontId="33" type="noConversion"/>
  </si>
  <si>
    <r>
      <rPr>
        <sz val="8"/>
        <color rgb="FF2B2B2B"/>
        <rFont val="맑은 고딕"/>
        <family val="3"/>
        <charset val="129"/>
      </rPr>
      <t>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</si>
  <si>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유보된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근거하여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청구한다</t>
    </r>
    <r>
      <rPr>
        <sz val="8"/>
        <color rgb="FF2B2B2B"/>
        <rFont val="DejaVu Sans"/>
        <family val="3"/>
        <charset val="129"/>
      </rPr>
      <t xml:space="preserve">: (1)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전대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맑은 고딕"/>
        <family val="3"/>
        <charset val="129"/>
      </rPr>
      <t>법령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위반</t>
    </r>
    <r>
      <rPr>
        <sz val="8"/>
        <color rgb="FF2B2B2B"/>
        <rFont val="Arial"/>
        <family val="2"/>
      </rPr>
      <t xml:space="preserve"> </t>
    </r>
    <phoneticPr fontId="33" type="noConversion"/>
  </si>
  <si>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보험인정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행위, (3) 정해진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</t>
    </r>
    <phoneticPr fontId="3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</si>
  <si>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25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약관에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정하지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않은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사항</t>
    </r>
    <r>
      <rPr>
        <b/>
        <sz val="9"/>
        <color rgb="FF1F3864"/>
        <rFont val="DejaVu Sans"/>
        <family val="2"/>
        <charset val="1"/>
      </rPr>
      <t>)</t>
    </r>
    <phoneticPr fontId="33" type="noConversion"/>
  </si>
  <si>
    <r>
      <rPr>
        <sz val="8"/>
        <color rgb="FF2B2B2B"/>
        <rFont val="맑은 고딕"/>
        <family val="3"/>
        <charset val="129"/>
      </rPr>
      <t>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연체, (4) 통지받은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수리비·과태료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정당한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5일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</t>
    </r>
    <phoneticPr fontId="33" type="noConversion"/>
  </si>
  <si>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관하여는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규정을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</si>
  <si>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미납, (5) 무면허·음주운전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배상금이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3일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 xml:space="preserve">미납, </t>
    </r>
    <phoneticPr fontId="33" type="noConversion"/>
  </si>
  <si>
    <r>
      <t>(6) 제3자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담보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제공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침해행위, (7) 규격·성능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변경, 부착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표지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phoneticPr fontId="3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</si>
  <si>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26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준거법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관할</t>
    </r>
    <r>
      <rPr>
        <b/>
        <sz val="9"/>
        <color rgb="FF1F3864"/>
        <rFont val="DejaVu Sans"/>
        <family val="2"/>
        <charset val="1"/>
      </rPr>
      <t>)</t>
    </r>
    <phoneticPr fontId="33" type="noConversion"/>
  </si>
  <si>
    <r>
      <rPr>
        <sz val="8"/>
        <color rgb="FF2B2B2B"/>
        <rFont val="맑은 고딕"/>
        <family val="3"/>
        <charset val="129"/>
      </rPr>
      <t>제거·훼손, (8) 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훼손·은닉.</t>
    </r>
    <phoneticPr fontId="33" type="noConversion"/>
  </si>
  <si>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대한민국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해석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적용하며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분쟁이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phoneticPr fontId="33" type="noConversion"/>
  </si>
  <si>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소재지를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관할하는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법원으로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한다.</t>
    </r>
    <phoneticPr fontId="33" type="noConversion"/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</si>
  <si>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18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해지위약금 등의 부과방법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</si>
  <si>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산식</t>
    </r>
    <r>
      <rPr>
        <sz val="8"/>
        <color rgb="FF2B2B2B"/>
        <rFont val="DejaVu Sans"/>
        <family val="1"/>
        <charset val="1"/>
      </rPr>
      <t xml:space="preserve">: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=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>+ (</t>
    </r>
    <r>
      <rPr>
        <sz val="8"/>
        <color rgb="FF2B2B2B"/>
        <rFont val="맑은 고딕"/>
        <family val="3"/>
        <charset val="129"/>
      </rPr>
      <t>잔여기간에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× 20%).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</t>
    </r>
    <phoneticPr fontId="33" type="noConversion"/>
  </si>
  <si>
    <r>
      <rPr>
        <b/>
        <sz val="9"/>
        <color rgb="FF1F3864"/>
        <rFont val="맑은 고딕"/>
        <family val="3"/>
        <charset val="129"/>
      </rPr>
      <t>제27조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(차량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평가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감가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기준)</t>
    </r>
    <phoneticPr fontId="33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</si>
  <si>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</si>
  <si>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경우, 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상태를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평가</t>
    </r>
    <phoneticPr fontId="3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</si>
  <si>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선납한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않는다</t>
    </r>
    <r>
      <rPr>
        <sz val="8"/>
        <color rgb="FF2B2B2B"/>
        <rFont val="DejaVu Sans"/>
        <family val="1"/>
        <charset val="1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</si>
  <si>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있으며, 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</t>
    </r>
    <phoneticPr fontId="3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</si>
  <si>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부착물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부속품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파손이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원상복구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phoneticPr fontId="33" type="noConversion"/>
  </si>
  <si>
    <r>
      <rPr>
        <sz val="8"/>
        <color rgb="FF2B2B2B"/>
        <rFont val="맑은 고딕"/>
        <family val="3"/>
        <charset val="129"/>
      </rPr>
      <t>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호와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같다.</t>
    </r>
    <phoneticPr fontId="33" type="noConversion"/>
  </si>
  <si>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</si>
  <si>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커버류의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경우: 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부위당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4%를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적용한다.</t>
    </r>
    <phoneticPr fontId="33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</si>
  <si>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경우: 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부위당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6%를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적용한다.</t>
    </r>
    <phoneticPr fontId="33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</si>
  <si>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19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이륜차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반환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회수</t>
    </r>
    <r>
      <rPr>
        <b/>
        <sz val="9"/>
        <color rgb="FF1F3864"/>
        <rFont val="DejaVu Sans"/>
        <family val="2"/>
        <charset val="1"/>
      </rPr>
      <t>)</t>
    </r>
    <phoneticPr fontId="33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</si>
  <si>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도장·판금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작업이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경우: 30만원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~ 50만원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범위에서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산정한다.</t>
    </r>
    <phoneticPr fontId="3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</si>
  <si>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16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17</t>
    </r>
    <r>
      <rPr>
        <sz val="8"/>
        <color rgb="FF2B2B2B"/>
        <rFont val="맑은 고딕"/>
        <family val="3"/>
        <charset val="129"/>
      </rPr>
      <t>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</t>
    </r>
    <phoneticPr fontId="33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</si>
  <si>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제1호부터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제3호까지의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불구하고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</t>
    </r>
    <phoneticPr fontId="33" type="noConversion"/>
  </si>
  <si>
    <r>
      <rPr>
        <sz val="8"/>
        <color rgb="FF2B2B2B"/>
        <rFont val="맑은 고딕"/>
        <family val="3"/>
        <charset val="129"/>
      </rPr>
      <t>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3" type="noConversion"/>
  </si>
  <si>
    <r>
      <rPr>
        <sz val="8"/>
        <color rgb="FF2B2B2B"/>
        <rFont val="맑은 고딕"/>
        <family val="3"/>
        <charset val="129"/>
      </rPr>
      <t>우, 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있다.</t>
    </r>
    <phoneticPr fontId="33" type="noConversion"/>
  </si>
  <si>
    <r>
      <rPr>
        <b/>
        <sz val="9"/>
        <color rgb="FF1F3864"/>
        <rFont val="맑은 고딕"/>
        <family val="3"/>
        <charset val="129"/>
      </rPr>
      <t>이용약관의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내용에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대해서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설명을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듣고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확인하였습니다.</t>
    </r>
    <phoneticPr fontId="33" type="noConversion"/>
  </si>
  <si>
    <r>
      <rPr>
        <sz val="8"/>
        <color rgb="FF2B2B2B"/>
        <rFont val="맑은 고딕"/>
        <family val="3"/>
        <charset val="129"/>
      </rPr>
      <t>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포어스바이크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유한회사(이하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"회사")와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계약자(배달대행사) 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종합렌탈에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권리·의무를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규정함을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한다.</t>
    </r>
    <phoneticPr fontId="33" type="noConversion"/>
  </si>
  <si>
    <t>③ "계약기간"이란, 계약자가 본 계약에 따라 이륜차를 인도받아 사용하는 기간을 말한다.</t>
    <phoneticPr fontId="33" type="noConversion"/>
  </si>
  <si>
    <r>
      <t>⑨ "위약금"이란, 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말한다.</t>
    </r>
    <phoneticPr fontId="33" type="noConversion"/>
  </si>
  <si>
    <t>⑩ "지연손해금"이란, 계약자가 렌탈료·위약금·과태료 등의 납부를 지체한 경우 발생하는 추</t>
    <phoneticPr fontId="33" type="noConversion"/>
  </si>
  <si>
    <t>가 비용을 말한다.</t>
    <phoneticPr fontId="33" type="noConversion"/>
  </si>
  <si>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종합렌트에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규정함을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3" type="noConversion"/>
  </si>
  <si>
    <t xml:space="preserve">이 약관은 포어스바이크 유한회사(이하 "회사")와 본 계약을 체결한 계약자(배달대행사) 간의 </t>
    <phoneticPr fontId="33" type="noConversion"/>
  </si>
  <si>
    <t>① "이륜차 렌트 계약"이란, 회사가 계약자의 요청에 따라 이륜차를 취득하여 일정 기간 사용</t>
    <phoneticPr fontId="33" type="noConversion"/>
  </si>
  <si>
    <t>하게 하고 그 대가를 정기적으로 지급받는 계약을 말한다.</t>
    <phoneticPr fontId="33" type="noConversion"/>
  </si>
  <si>
    <t>② "이륜차"란, 회사가 본 계약서에 특정한 이륜차로서 인도 시 부착된 부속품 및 장착물을 포</t>
    <phoneticPr fontId="33" type="noConversion"/>
  </si>
  <si>
    <t>함한다.</t>
    <phoneticPr fontId="33" type="noConversion"/>
  </si>
  <si>
    <t>④ "보증금"이란, 렌탈료 등 본 계약상 채무이행을 담보하기 위해 계약자가 회사에 납부하는</t>
    <phoneticPr fontId="33" type="noConversion"/>
  </si>
  <si>
    <t>금원을 말하며, 계약기간 만료 및 모든 채무 이행 완료 시 반환한다.</t>
    <phoneticPr fontId="33" type="noConversion"/>
  </si>
  <si>
    <r>
      <rPr>
        <sz val="8"/>
        <color rgb="FF2B2B2B"/>
        <rFont val="Segoe UI Symbol"/>
        <family val="3"/>
      </rPr>
      <t>⑤</t>
    </r>
    <r>
      <rPr>
        <sz val="8"/>
        <color rgb="FF2B2B2B"/>
        <rFont val="DejaVu Sans"/>
        <family val="3"/>
        <charset val="129"/>
      </rPr>
      <t xml:space="preserve"> "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1</t>
    </r>
    <r>
      <rPr>
        <sz val="8"/>
        <color rgb="FF2B2B2B"/>
        <rFont val="맑은 고딕"/>
        <family val="3"/>
        <charset val="129"/>
      </rPr>
      <t>면에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사업장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법인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개인사업자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</t>
    </r>
    <r>
      <rPr>
        <sz val="8"/>
        <color rgb="FF2B2B2B"/>
        <rFont val="Arial"/>
        <family val="2"/>
      </rPr>
      <t>,</t>
    </r>
    <r>
      <rPr>
        <sz val="8"/>
        <color rgb="FF2B2B2B"/>
        <rFont val="DejaVu Sans"/>
        <family val="3"/>
        <charset val="129"/>
      </rPr>
      <t xml:space="preserve"> </t>
    </r>
    <r>
      <rPr>
        <sz val="8"/>
        <color rgb="FF2B2B2B"/>
        <rFont val="맑은 고딕"/>
        <family val="3"/>
        <charset val="129"/>
      </rPr>
      <t>본</t>
    </r>
    <phoneticPr fontId="33" type="noConversion"/>
  </si>
  <si>
    <t>계약상 모든 채무를 부담한다.</t>
    <phoneticPr fontId="33" type="noConversion"/>
  </si>
  <si>
    <t>⑥ "연대보증인"은 본 계약 제1면에 기재된 계약자(사업장)의 대표자 개인을 말하며, 계약자와</t>
    <phoneticPr fontId="33" type="noConversion"/>
  </si>
  <si>
    <r>
      <rPr>
        <sz val="8"/>
        <color rgb="FF2B2B2B"/>
        <rFont val="맑은 고딕"/>
        <family val="3"/>
        <charset val="129"/>
      </rPr>
      <t>연대하여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33" type="noConversion"/>
  </si>
  <si>
    <t>⑦ "사용자"는 계약자가 지정·관리하는 자로서 실제로 이륜차를 운행하는 자를 말한다. 계약자</t>
    <phoneticPr fontId="33" type="noConversion"/>
  </si>
  <si>
    <t xml:space="preserve"> 사전에 확인할 의무가 없다.</t>
    <phoneticPr fontId="33" type="noConversion"/>
  </si>
  <si>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신원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자격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신원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연령을</t>
    </r>
    <phoneticPr fontId="33" type="noConversion"/>
  </si>
  <si>
    <t>⑧ "보험연령"이란, 본 계약 차량에 가입된 보험에서 운전자로서 보장 가능한 최저연령을 말하</t>
    <phoneticPr fontId="33" type="noConversion"/>
  </si>
  <si>
    <t>며, 본 계약 제1면에 기재된 만 나이를 의미한다.</t>
    <phoneticPr fontId="33" type="noConversion"/>
  </si>
  <si>
    <t>⑨ "위약금"이란, 계약자의 귀책사유로 주문 취소 또는 중도 해지 시 회사에 지급하여야 하는</t>
    <phoneticPr fontId="33" type="noConversion"/>
  </si>
  <si>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33" type="noConversion"/>
  </si>
  <si>
    <t>⑪ "구상금"이란, 본 계약 차량 운행 중 발생한 사고로 보험사가 회사에게 청구한 금액 일체를</t>
    <phoneticPr fontId="33" type="noConversion"/>
  </si>
  <si>
    <t>말한다.</t>
    <phoneticPr fontId="33" type="noConversion"/>
  </si>
  <si>
    <t>출하여야 하며, 보완 요구에도 성실히 응하여야 한다.</t>
    <phoneticPr fontId="33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</si>
  <si>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체결에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서류</t>
    </r>
    <r>
      <rPr>
        <sz val="8"/>
        <color rgb="FF2B2B2B"/>
        <rFont val="DejaVu Sans"/>
        <family val="1"/>
      </rPr>
      <t>(</t>
    </r>
    <r>
      <rPr>
        <sz val="8"/>
        <color rgb="FF2B2B2B"/>
        <rFont val="맑은 고딕"/>
        <family val="3"/>
        <charset val="129"/>
      </rPr>
      <t>사업자등록증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맑은 고딕"/>
        <family val="3"/>
        <charset val="129"/>
      </rPr>
      <t>대표자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신분증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맑은 고딕"/>
        <family val="3"/>
        <charset val="129"/>
      </rPr>
      <t>통장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사본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DejaVu Sans"/>
        <family val="1"/>
      </rPr>
      <t>)</t>
    </r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제</t>
    </r>
    <phoneticPr fontId="33" type="noConversion"/>
  </si>
  <si>
    <r>
      <rPr>
        <b/>
        <sz val="8"/>
        <color rgb="FFC00000"/>
        <rFont val="맑은 고딕"/>
        <family val="3"/>
        <charset val="129"/>
      </rPr>
      <t>※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보험연령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이상의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운전자만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가능. 미달자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모든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손해·구상금은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전적으로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책임집니다.</t>
    </r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</si>
</sst>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2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4E89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b/>
      <sz val="9"/>
      <color rgb="FFC00000"/>
      <name val="DejaVu Sans"/>
      <family val="2"/>
    </font>
    <font>
      <b/>
      <sz val="10"/>
      <color rgb="FFC00000"/>
      <name val="DejaVu Sans"/>
      <family val="2"/>
    </font>
    <font>
      <b/>
      <sz val="8"/>
      <color rgb="FFC00000"/>
      <name val="DejaVu Sans"/>
      <family val="2"/>
    </font>
    <font>
      <b/>
      <sz val="8"/>
      <color rgb="FFC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i/>
      <sz val="8"/>
      <color rgb="FF595959"/>
      <name val="DejaVu Sans"/>
      <family val="2"/>
    </font>
    <font>
      <i/>
      <sz val="8"/>
      <color rgb="FF595959"/>
      <name val="맑은 고딕"/>
      <family val="3"/>
      <charset val="129"/>
    </font>
    <font>
      <b/>
      <sz val="9"/>
      <color rgb="FF1F3864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맑은 고딕"/>
      <family val="3"/>
      <charset val="129"/>
    </font>
    <font>
      <b/>
      <sz val="10"/>
      <color rgb="FF1F4E89"/>
      <name val="맑은 고딕"/>
      <family val="3"/>
      <charset val="129"/>
    </font>
    <font>
      <sz val="9"/>
      <color rgb="FF000000"/>
      <name val="DejaVu Sans"/>
      <family val="2"/>
    </font>
    <font>
      <sz val="9"/>
      <color rgb="FF0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4"/>
      <color rgb="FFFFFFFF"/>
      <name val="DejaVu Sans"/>
      <family val="2"/>
    </font>
    <font>
      <b/>
      <sz val="9"/>
      <color rgb="FF1F4E89"/>
      <name val="DejaVu Sans"/>
      <family val="2"/>
    </font>
    <font>
      <b/>
      <sz val="9"/>
      <color rgb="FF1F4E89"/>
      <name val="맑은 고딕"/>
      <family val="3"/>
      <charset val="129"/>
    </font>
    <font>
      <sz val="8"/>
      <color rgb="FF2B2B2B"/>
      <name val="DejaVu Sans"/>
      <family val="2"/>
    </font>
    <font>
      <sz val="8"/>
      <color rgb="FF2B2B2B"/>
      <name val="맑은 고딕"/>
      <family val="3"/>
      <charset val="129"/>
    </font>
    <font>
      <sz val="10"/>
      <name val="DejaVu Sans"/>
      <family val="2"/>
    </font>
    <font>
      <sz val="8"/>
      <name val="돋움"/>
      <family val="3"/>
      <charset val="129"/>
    </font>
    <font>
      <sz val="10"/>
      <color rgb="FF000000"/>
      <name val="Arial"/>
      <family val="2"/>
    </font>
    <font>
      <i/>
      <sz val="8"/>
      <color rgb="FF595959"/>
      <name val="DejaVu Sans"/>
      <family val="3"/>
      <charset val="129"/>
    </font>
    <font>
      <b/>
      <sz val="11"/>
      <color rgb="FFFFFFFF"/>
      <name val="Segoe UI Symbol"/>
      <family val="2"/>
    </font>
    <font>
      <b/>
      <sz val="9"/>
      <color rgb="FF1F3864"/>
      <name val="DejaVu Sans"/>
      <family val="3"/>
      <charset val="129"/>
    </font>
    <font>
      <sz val="10"/>
      <color rgb="FF000000"/>
      <name val="DejaVu Sans"/>
      <family val="3"/>
      <charset val="129"/>
    </font>
    <font>
      <sz val="8"/>
      <color rgb="FF404040"/>
      <name val="Arial"/>
      <family val="2"/>
    </font>
    <font>
      <sz val="9"/>
      <color rgb="FF000000"/>
      <name val="Arial"/>
      <family val="2"/>
    </font>
    <font>
      <sz val="9"/>
      <color rgb="FF000000"/>
      <name val="DejaVu Sans"/>
      <family val="3"/>
      <charset val="129"/>
    </font>
    <font>
      <b/>
      <sz val="8"/>
      <color rgb="FFC00000"/>
      <name val="Arial"/>
      <family val="2"/>
    </font>
    <font>
      <b/>
      <sz val="8"/>
      <color rgb="FFC00000"/>
      <name val="DejaVu Sans"/>
      <family val="3"/>
      <charset val="129"/>
    </font>
    <font>
      <sz val="8"/>
      <color rgb="FF404040"/>
      <name val="DejaVu Sans"/>
      <family val="3"/>
      <charset val="129"/>
    </font>
    <font>
      <b/>
      <sz val="9"/>
      <color rgb="FF1F3864"/>
      <name val="Arial"/>
      <family val="2"/>
    </font>
    <font>
      <b/>
      <sz val="9"/>
      <color rgb="FF1F3864"/>
      <name val="DejaVu Sans"/>
      <family val="2"/>
      <charset val="129"/>
    </font>
    <font>
      <b/>
      <sz val="18"/>
      <color rgb="FFFFFFFF"/>
      <name val="맑은 고딕"/>
      <family val="3"/>
      <charset val="129"/>
    </font>
    <font>
      <b/>
      <sz val="9"/>
      <color rgb="FF1F3864"/>
      <name val="DejaVu Sans"/>
      <family val="2"/>
      <charset val="1"/>
    </font>
    <font>
      <sz val="8"/>
      <color rgb="FF2B2B2B"/>
      <name val="DejaVu Sans"/>
      <family val="1"/>
    </font>
    <font>
      <sz val="8"/>
      <color rgb="FF2B2B2B"/>
      <name val="Segoe UI Symbol"/>
      <family val="1"/>
    </font>
    <font>
      <sz val="8"/>
      <color rgb="FF2B2B2B"/>
      <name val="Arial"/>
      <family val="2"/>
    </font>
    <font>
      <sz val="8"/>
      <color rgb="FF2B2B2B"/>
      <name val="DejaVu Sans"/>
      <family val="1"/>
      <charset val="1"/>
    </font>
    <font>
      <sz val="8"/>
      <color rgb="FF2B2B2B"/>
      <name val="DejaVu Sans"/>
      <family val="3"/>
      <charset val="129"/>
    </font>
    <font>
      <sz val="8"/>
      <color rgb="FF2B2B2B"/>
      <name val="DejaVu Sans"/>
      <family val="1"/>
      <charset val="129"/>
    </font>
    <font>
      <sz val="8"/>
      <color rgb="FF2B2B2B"/>
      <name val="DejaVu Sans"/>
      <family val="2"/>
      <charset val="129"/>
    </font>
    <font>
      <b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b/>
      <sz val="10"/>
      <name val="DejaVu Sans"/>
      <family val="2"/>
    </font>
    <font>
      <sz val="10"/>
      <color theme="1"/>
      <name val="Calibri"/>
      <family val="2"/>
      <charset val="1"/>
    </font>
    <font>
      <sz val="8"/>
      <color rgb="FF2B2B2B"/>
      <name val="DejaVu Sans"/>
      <family val="2"/>
      <charset val="1"/>
    </font>
    <font>
      <sz val="8"/>
      <color rgb="FF2B2B2B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8EEF7"/>
        <bgColor rgb="FFF7F9FC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3366"/>
      </patternFill>
    </fill>
    <fill>
      <patternFill patternType="solid">
        <fgColor rgb="FFF7F9FC"/>
        <bgColor rgb="FFFFFFFF"/>
      </patternFill>
    </fill>
    <fill>
      <patternFill patternType="solid">
        <fgColor rgb="FF1F3864"/>
        <bgColor rgb="FF2B2B2B"/>
      </patternFill>
    </fill>
    <fill>
      <patternFill patternType="solid">
        <fgColor rgb="FFEAF0F8"/>
        <bgColor rgb="FFF7F9FC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theme="0" tint="-0.249977111117893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BFBFBF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9" fillId="8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0" fontId="14" fillId="7" borderId="1" xfId="0" applyFont="1" applyFill="1" applyBorder="1" applyAlignment="1">
      <alignment horizontal="left" vertical="center" wrapText="1" indent="1"/>
    </xf>
    <xf numFmtId="0" fontId="13" fillId="4" borderId="1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  <xf numFmtId="0" fontId="11" fillId="2" borderId="0" xfId="0" applyFont="1" applyFill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right" vertical="center" wrapText="1"/>
    </xf>
    <xf numFmtId="0" fontId="8" fillId="5" borderId="0" xfId="0" applyFont="1" applyFill="1" applyAlignment="1">
      <alignment horizontal="left" vertical="center" wrapText="1" indent="1"/>
    </xf>
    <xf numFmtId="0" fontId="6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8" fillId="6" borderId="0" xfId="0" applyFont="1" applyFill="1" applyAlignment="1">
      <alignment horizontal="left" vertical="center" wrapText="1" indent="1"/>
    </xf>
    <xf numFmtId="0" fontId="30" fillId="0" borderId="0" xfId="0" applyFont="1" applyAlignment="1">
      <alignment horizontal="left" vertical="top" wrapText="1" indent="1"/>
    </xf>
    <xf numFmtId="0" fontId="31" fillId="0" borderId="0" xfId="0" applyFont="1" applyAlignment="1">
      <alignment horizontal="left" vertical="top" wrapText="1" indent="1"/>
    </xf>
    <xf numFmtId="0" fontId="12" fillId="7" borderId="0" xfId="0" applyFont="1" applyFill="1" applyAlignment="1">
      <alignment horizontal="left" vertical="center" wrapText="1" indent="1"/>
    </xf>
    <xf numFmtId="0" fontId="14" fillId="0" borderId="0" xfId="0" applyFont="1" applyAlignment="1">
      <alignment horizontal="left" vertical="top" wrapText="1" indent="1"/>
    </xf>
    <xf numFmtId="0" fontId="15" fillId="0" borderId="0" xfId="0" applyFont="1" applyAlignment="1">
      <alignment horizontal="left" vertical="top" wrapText="1" indent="1"/>
    </xf>
    <xf numFmtId="0" fontId="21" fillId="8" borderId="1" xfId="0" applyFont="1" applyFill="1" applyBorder="1" applyAlignment="1">
      <alignment horizontal="left" vertical="center" wrapText="1" indent="1"/>
    </xf>
    <xf numFmtId="0" fontId="9" fillId="10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left" vertical="center" wrapText="1" indent="1"/>
    </xf>
    <xf numFmtId="0" fontId="24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 indent="1"/>
    </xf>
    <xf numFmtId="0" fontId="32" fillId="0" borderId="0" xfId="0" applyFont="1" applyAlignment="1">
      <alignment horizontal="left" vertical="center" indent="1"/>
    </xf>
    <xf numFmtId="0" fontId="2" fillId="5" borderId="3" xfId="0" applyFont="1" applyFill="1" applyBorder="1" applyAlignment="1">
      <alignment horizontal="left" vertical="center" wrapText="1" indent="1"/>
    </xf>
    <xf numFmtId="0" fontId="2" fillId="5" borderId="4" xfId="0" applyFont="1" applyFill="1" applyBorder="1" applyAlignment="1">
      <alignment horizontal="left" vertical="center" wrapText="1" indent="1"/>
    </xf>
    <xf numFmtId="0" fontId="2" fillId="5" borderId="5" xfId="0" applyFont="1" applyFill="1" applyBorder="1" applyAlignment="1">
      <alignment horizontal="left" vertical="center" wrapText="1" indent="1"/>
    </xf>
    <xf numFmtId="0" fontId="35" fillId="8" borderId="1" xfId="0" applyFont="1" applyFill="1" applyBorder="1" applyAlignment="1">
      <alignment horizontal="left" vertical="center" wrapText="1" indent="1"/>
    </xf>
    <xf numFmtId="0" fontId="9" fillId="10" borderId="6" xfId="0" applyFont="1" applyFill="1" applyBorder="1" applyAlignment="1">
      <alignment horizontal="center" vertical="center" wrapText="1"/>
    </xf>
    <xf numFmtId="0" fontId="38" fillId="5" borderId="1" xfId="0" applyFont="1" applyFill="1" applyBorder="1" applyAlignment="1">
      <alignment horizontal="left" vertical="center" wrapText="1" inden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21" fillId="10" borderId="11" xfId="0" applyFont="1" applyFill="1" applyBorder="1" applyAlignment="1">
      <alignment horizontal="left" vertical="center" wrapText="1" indent="1"/>
    </xf>
    <xf numFmtId="0" fontId="9" fillId="10" borderId="12" xfId="0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left" vertical="center" wrapText="1" indent="1"/>
    </xf>
    <xf numFmtId="0" fontId="44" fillId="8" borderId="1" xfId="0" applyFont="1" applyFill="1" applyBorder="1" applyAlignment="1">
      <alignment horizontal="left" vertical="center" wrapText="1" indent="1"/>
    </xf>
    <xf numFmtId="0" fontId="44" fillId="10" borderId="1" xfId="0" applyFont="1" applyFill="1" applyBorder="1" applyAlignment="1">
      <alignment horizontal="left" vertical="center" wrapText="1" indent="1"/>
    </xf>
    <xf numFmtId="0" fontId="37" fillId="10" borderId="6" xfId="0" applyFont="1" applyFill="1" applyBorder="1" applyAlignment="1">
      <alignment horizontal="center" vertical="center" wrapText="1"/>
    </xf>
    <xf numFmtId="0" fontId="47" fillId="3" borderId="0" xfId="0" applyFont="1" applyFill="1" applyAlignment="1">
      <alignment horizontal="center" vertical="center" wrapText="1"/>
    </xf>
    <xf numFmtId="0" fontId="26" fillId="11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left" vertical="center" wrapText="1" indent="1"/>
    </xf>
    <xf numFmtId="0" fontId="49" fillId="0" borderId="0" xfId="0" applyFont="1" applyAlignment="1">
      <alignment horizontal="left" vertical="top" wrapText="1" indent="1"/>
    </xf>
    <xf numFmtId="0" fontId="53" fillId="0" borderId="0" xfId="0" applyFont="1" applyAlignment="1">
      <alignment horizontal="left" vertical="top" wrapText="1" indent="1"/>
    </xf>
    <xf numFmtId="0" fontId="37" fillId="12" borderId="0" xfId="0" applyFont="1" applyFill="1" applyAlignment="1">
      <alignment horizontal="left" vertical="center" wrapText="1" indent="1"/>
    </xf>
    <xf numFmtId="0" fontId="52" fillId="0" borderId="0" xfId="0" applyFont="1" applyAlignment="1">
      <alignment horizontal="left" vertical="top" wrapText="1" indent="1"/>
    </xf>
    <xf numFmtId="0" fontId="56" fillId="0" borderId="0" xfId="0" applyFont="1" applyAlignment="1">
      <alignment horizontal="left" vertical="center" indent="1"/>
    </xf>
    <xf numFmtId="0" fontId="57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wrapText="1" indent="1"/>
    </xf>
    <xf numFmtId="0" fontId="37" fillId="12" borderId="0" xfId="0" applyFont="1" applyFill="1" applyAlignment="1">
      <alignment horizontal="left" vertical="center" wrapText="1"/>
    </xf>
    <xf numFmtId="0" fontId="9" fillId="12" borderId="0" xfId="0" applyFont="1" applyFill="1" applyAlignment="1">
      <alignment horizontal="left" vertical="center" wrapText="1"/>
    </xf>
    <xf numFmtId="0" fontId="58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59" fillId="0" borderId="0" xfId="0" applyFont="1"/>
    <xf numFmtId="0" fontId="60" fillId="0" borderId="0" xfId="0" applyFont="1" applyAlignment="1">
      <alignment horizontal="left" vertical="top" wrapText="1" inden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EEF7"/>
      <rgbColor rgb="FF660066"/>
      <rgbColor rgb="FFFF8080"/>
      <rgbColor rgb="FF1F4E8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4E3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E5C"/>
      <rgbColor rgb="FF339966"/>
      <rgbColor rgb="FF003300"/>
      <rgbColor rgb="FF404040"/>
      <rgbColor rgb="FFB22222"/>
      <rgbColor rgb="FF993366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wlsy\Downloads\&#54624;&#48512;&#54032;&#47588;&#44228;&#50557;&#49436;_B2B-B2C.xlsx" TargetMode="External"/><Relationship Id="rId1" Type="http://schemas.openxmlformats.org/officeDocument/2006/relationships/externalLinkPath" Target="&#54624;&#48512;&#54032;&#47588;&#44228;&#50557;&#49436;_B2B-B2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계약리스트"/>
      <sheetName val="계약서"/>
      <sheetName val="이용약관"/>
    </sheetNames>
    <sheetDataSet>
      <sheetData sheetId="0" refreshError="1"/>
      <sheetData sheetId="1">
        <row r="10">
          <cell r="C10" t="str">
            <v>홍길동</v>
          </cell>
        </row>
        <row r="15">
          <cell r="C15" t="str">
            <v>(주)퀵배달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6" sqref="B36"/>
    </sheetView>
  </sheetViews>
  <sheetFormatPr defaultColWidth="8.6640625" defaultRowHeight="14.4"/>
  <cols>
    <col min="1" max="25" width="18" customWidth="1"/>
  </cols>
  <sheetData>
    <row r="1" spans="1:25" ht="30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</row>
    <row r="2" spans="1:25" ht="46.8">
      <c r="A2" s="16">
        <v>1</v>
      </c>
      <c r="B2" s="16" t="s">
        <v>25</v>
      </c>
      <c r="C2" s="16" t="s">
        <v>26</v>
      </c>
      <c r="D2" s="16" t="s">
        <v>27</v>
      </c>
      <c r="E2" s="16" t="s">
        <v>28</v>
      </c>
      <c r="F2" s="17" t="s">
        <v>29</v>
      </c>
      <c r="G2" s="17" t="s">
        <v>30</v>
      </c>
      <c r="H2" s="17" t="s">
        <v>31</v>
      </c>
      <c r="I2" s="16">
        <v>26400</v>
      </c>
      <c r="J2" s="16">
        <v>365</v>
      </c>
      <c r="K2" s="16">
        <v>300000</v>
      </c>
      <c r="L2" s="17" t="s">
        <v>32</v>
      </c>
      <c r="M2" s="16" t="s">
        <v>33</v>
      </c>
      <c r="N2" s="17" t="s">
        <v>34</v>
      </c>
      <c r="O2" s="17" t="s">
        <v>35</v>
      </c>
      <c r="P2" s="16" t="s">
        <v>36</v>
      </c>
      <c r="Q2" s="16" t="s">
        <v>37</v>
      </c>
      <c r="R2" s="16" t="s">
        <v>38</v>
      </c>
      <c r="S2" s="16" t="s">
        <v>36</v>
      </c>
      <c r="T2" s="17" t="s">
        <v>39</v>
      </c>
      <c r="U2" s="17" t="s">
        <v>40</v>
      </c>
      <c r="V2" s="17" t="s">
        <v>41</v>
      </c>
      <c r="W2" s="17" t="s">
        <v>42</v>
      </c>
      <c r="X2" s="17" t="s">
        <v>43</v>
      </c>
      <c r="Y2" s="17" t="s">
        <v>44</v>
      </c>
    </row>
  </sheetData>
  <phoneticPr fontId="3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9"/>
  <sheetViews>
    <sheetView topLeftCell="A33" zoomScaleNormal="100" workbookViewId="0">
      <selection activeCell="B50" sqref="B50:J50"/>
    </sheetView>
  </sheetViews>
  <sheetFormatPr defaultColWidth="8.6640625" defaultRowHeight="14.4"/>
  <cols>
    <col min="1" max="1" width="1.5546875" customWidth="1"/>
    <col min="2" max="2" width="11" customWidth="1"/>
    <col min="3" max="3" width="10" customWidth="1"/>
    <col min="4" max="4" width="16" customWidth="1"/>
    <col min="5" max="5" width="11.33203125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9" t="s">
        <v>45</v>
      </c>
    </row>
    <row r="2" spans="1:12" ht="48" customHeight="1">
      <c r="A2" s="18"/>
      <c r="B2" s="55" t="s">
        <v>263</v>
      </c>
      <c r="C2" s="14"/>
      <c r="D2" s="14"/>
      <c r="E2" s="14"/>
      <c r="F2" s="14"/>
      <c r="G2" s="14"/>
      <c r="H2" s="14"/>
      <c r="I2" s="14"/>
      <c r="J2" s="14"/>
      <c r="K2" s="18"/>
      <c r="L2" s="20">
        <v>1</v>
      </c>
    </row>
    <row r="3" spans="1:12" ht="24" customHeight="1">
      <c r="A3" s="18"/>
      <c r="B3" s="13" t="s">
        <v>46</v>
      </c>
      <c r="C3" s="13"/>
      <c r="D3" s="13"/>
      <c r="E3" s="13"/>
      <c r="F3" s="12" t="s">
        <v>0</v>
      </c>
      <c r="G3" s="12"/>
      <c r="H3" s="12"/>
      <c r="I3" s="11" t="str">
        <f>IFERROR(TEXT($L$2,"0000"),"")</f>
        <v>0001</v>
      </c>
      <c r="J3" s="11"/>
      <c r="K3" s="18"/>
      <c r="L3" s="18"/>
    </row>
    <row r="4" spans="1:12" ht="7.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ht="25.5" customHeight="1">
      <c r="A5" s="18"/>
      <c r="B5" s="10" t="s">
        <v>47</v>
      </c>
      <c r="C5" s="10"/>
      <c r="D5" s="10"/>
      <c r="E5" s="10"/>
      <c r="F5" s="10"/>
      <c r="G5" s="10"/>
      <c r="H5" s="10"/>
      <c r="I5" s="10"/>
      <c r="J5" s="10"/>
      <c r="K5" s="18"/>
      <c r="L5" s="18"/>
    </row>
    <row r="6" spans="1:12" ht="21.75" customHeight="1">
      <c r="A6" s="18"/>
      <c r="B6" s="21" t="s">
        <v>2</v>
      </c>
      <c r="C6" s="9" t="str">
        <f>IFERROR(IF(VLOOKUP($L$2,계약리스트!$A$2:$AD$10000,3,0)="","",VLOOKUP($L$2,계약리스트!$A$2:$AD$10000,3,0)),"")</f>
        <v>UHR150</v>
      </c>
      <c r="D6" s="9"/>
      <c r="E6" s="21" t="s">
        <v>4</v>
      </c>
      <c r="F6" s="9" t="str">
        <f>IFERROR(IF(VLOOKUP($L$2,계약리스트!$A$2:$AD$10000,5,0)="","",VLOOKUP($L$2,계약리스트!$A$2:$AD$10000,5,0)),"")</f>
        <v>1나88370</v>
      </c>
      <c r="G6" s="9"/>
      <c r="H6" s="21" t="s">
        <v>5</v>
      </c>
      <c r="I6" s="9" t="str">
        <f>IFERROR(IF(VLOOKUP($L$2,계약리스트!$A$2:$AD$10000,6,0)="","",VLOOKUP($L$2,계약리스트!$A$2:$AD$10000,6,0)),"")</f>
        <v>화이트</v>
      </c>
      <c r="J6" s="9"/>
      <c r="K6" s="18"/>
      <c r="L6" s="18"/>
    </row>
    <row r="7" spans="1:12" ht="21.75" customHeight="1">
      <c r="A7" s="18"/>
      <c r="B7" s="21" t="s">
        <v>3</v>
      </c>
      <c r="C7" s="9" t="str">
        <f>IFERROR(IF(VLOOKUP($L$2,계약리스트!$A$2:$AD$10000,4,0)="","",VLOOKUP($L$2,계약리스트!$A$2:$AD$10000,4,0)),"")</f>
        <v>LWMTDKH95THJ00467</v>
      </c>
      <c r="D7" s="9"/>
      <c r="E7" s="21" t="s">
        <v>6</v>
      </c>
      <c r="F7" s="9" t="str">
        <f>IFERROR(IF(VLOOKUP($L$2,계약리스트!$A$2:$AD$10000,7,0)="","",VLOOKUP($L$2,계약리스트!$A$2:$AD$10000,7,0)),"")</f>
        <v>비포함</v>
      </c>
      <c r="G7" s="9"/>
      <c r="H7" s="21" t="s">
        <v>1</v>
      </c>
      <c r="I7" s="9" t="str">
        <f>IFERROR(IF(VLOOKUP($L$2,계약리스트!$A$2:$AD$10000,2,0)="","",VLOOKUP($L$2,계약리스트!$A$2:$AD$10000,2,0)),"")</f>
        <v>2026-04-24</v>
      </c>
      <c r="J7" s="9"/>
      <c r="K7" s="18"/>
      <c r="L7" s="18"/>
    </row>
    <row r="8" spans="1:12" ht="25.5" customHeight="1">
      <c r="A8" s="18"/>
      <c r="B8" s="22" t="s">
        <v>7</v>
      </c>
      <c r="C8" s="8" t="str">
        <f>IFERROR(IF(VLOOKUP($L$2,계약리스트!$A$2:$AD$10000,8,0)="","",VLOOKUP($L$2,계약리스트!$A$2:$AD$10000,8,0)),"")</f>
        <v>만30세</v>
      </c>
      <c r="D8" s="8"/>
      <c r="E8" s="51" t="s">
        <v>508</v>
      </c>
      <c r="F8" s="7"/>
      <c r="G8" s="7"/>
      <c r="H8" s="7"/>
      <c r="I8" s="7"/>
      <c r="J8" s="7"/>
      <c r="K8" s="18"/>
      <c r="L8" s="18"/>
    </row>
    <row r="9" spans="1:12" ht="7.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spans="1:12" ht="25.5" customHeight="1">
      <c r="A10" s="18"/>
      <c r="B10" s="10" t="s">
        <v>244</v>
      </c>
      <c r="C10" s="10"/>
      <c r="D10" s="10"/>
      <c r="E10" s="10"/>
      <c r="F10" s="10"/>
      <c r="G10" s="10"/>
      <c r="H10" s="10"/>
      <c r="I10" s="10"/>
      <c r="J10" s="10"/>
      <c r="K10" s="18"/>
      <c r="L10" s="18"/>
    </row>
    <row r="11" spans="1:12" ht="21.75" customHeight="1">
      <c r="A11" s="18"/>
      <c r="B11" s="21" t="s">
        <v>48</v>
      </c>
      <c r="C11" s="9" t="str">
        <f>IFERROR(IF(VLOOKUP($L$2,계약리스트!$A$2:$AD$10000,12,0)="","",VLOOKUP($L$2,계약리스트!$A$2:$AD$10000,12,0)),"")</f>
        <v>중앙 오토바이 가수점</v>
      </c>
      <c r="D11" s="9"/>
      <c r="E11" s="21" t="s">
        <v>12</v>
      </c>
      <c r="F11" s="9" t="str">
        <f>IFERROR(IF(VLOOKUP($L$2,계약리스트!$A$2:$AD$10000,13,0)="","",VLOOKUP($L$2,계약리스트!$A$2:$AD$10000,13,0)),"")</f>
        <v>737-55-00719</v>
      </c>
      <c r="G11" s="9"/>
      <c r="H11" s="21" t="s">
        <v>13</v>
      </c>
      <c r="I11" s="9" t="str">
        <f>IFERROR(IF(VLOOKUP($L$2,계약리스트!$A$2:$AD$10000,14,0)="","",VLOOKUP($L$2,계약리스트!$A$2:$AD$10000,14,0)),"")</f>
        <v>안종식</v>
      </c>
      <c r="J11" s="9"/>
      <c r="K11" s="18"/>
      <c r="L11" s="18"/>
    </row>
    <row r="12" spans="1:12" ht="21.75" customHeight="1">
      <c r="A12" s="18"/>
      <c r="B12" s="21" t="s">
        <v>49</v>
      </c>
      <c r="C12" s="9" t="str">
        <f>IFERROR(IF(VLOOKUP($L$2,계약리스트!$A$2:$AD$10000,16,0)="","",VLOOKUP($L$2,계약리스트!$A$2:$AD$10000,16,0)),"")</f>
        <v>010-5813-7336</v>
      </c>
      <c r="D12" s="9"/>
      <c r="E12" s="21" t="s">
        <v>14</v>
      </c>
      <c r="F12" s="38" t="str">
        <f>IFERROR(IF(VLOOKUP($L$2,계약리스트!$A$2:$AD$10000,15,0)="","",VLOOKUP($L$2,계약리스트!$A$2:$AD$10000,15,0)),"")</f>
        <v>경기도 오산시 가장로 763, 1층 5,6호(가수동)</v>
      </c>
      <c r="G12" s="39"/>
      <c r="H12" s="39"/>
      <c r="I12" s="39"/>
      <c r="J12" s="40"/>
      <c r="K12" s="18"/>
      <c r="L12" s="18"/>
    </row>
    <row r="13" spans="1:12" ht="19.5" customHeight="1">
      <c r="A13" s="18"/>
      <c r="B13" s="41" t="s">
        <v>243</v>
      </c>
      <c r="C13" s="5"/>
      <c r="D13" s="5"/>
      <c r="E13" s="5"/>
      <c r="F13" s="5"/>
      <c r="G13" s="5"/>
      <c r="H13" s="5"/>
      <c r="I13" s="5"/>
      <c r="J13" s="5"/>
      <c r="K13" s="18"/>
      <c r="L13" s="18"/>
    </row>
    <row r="14" spans="1:12" ht="7.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12" ht="25.5" customHeight="1">
      <c r="A15" s="18"/>
      <c r="B15" s="10" t="s">
        <v>245</v>
      </c>
      <c r="C15" s="10"/>
      <c r="D15" s="10"/>
      <c r="E15" s="10"/>
      <c r="F15" s="10"/>
      <c r="G15" s="10"/>
      <c r="H15" s="10"/>
      <c r="I15" s="10"/>
      <c r="J15" s="10"/>
      <c r="K15" s="18"/>
      <c r="L15" s="18"/>
    </row>
    <row r="16" spans="1:12" ht="21.75" customHeight="1">
      <c r="A16" s="18"/>
      <c r="B16" s="21" t="s">
        <v>50</v>
      </c>
      <c r="C16" s="9" t="str">
        <f>IFERROR(IF(VLOOKUP($L$2,계약리스트!$A$2:$AD$10000,14,0)="","",VLOOKUP($L$2,계약리스트!$A$2:$AD$10000,14,0)),"")</f>
        <v>안종식</v>
      </c>
      <c r="D16" s="9"/>
      <c r="E16" s="21" t="s">
        <v>51</v>
      </c>
      <c r="F16" s="9" t="str">
        <f>IFERROR(IF(VLOOKUP($L$2,계약리스트!$A$2:$AD$10000,18,0)="","",VLOOKUP($L$2,계약리스트!$A$2:$AD$10000,18,0)),"")</f>
        <v>820530-1046518</v>
      </c>
      <c r="G16" s="9"/>
      <c r="H16" s="21" t="s">
        <v>49</v>
      </c>
      <c r="I16" s="9" t="str">
        <f>IFERROR(IF(VLOOKUP($L$2,계약리스트!$A$2:$AD$10000,19,0)="","",VLOOKUP($L$2,계약리스트!$A$2:$AD$10000,19,0)),"")</f>
        <v>010-5813-7336</v>
      </c>
      <c r="J16" s="9"/>
      <c r="K16" s="18"/>
      <c r="L16" s="18"/>
    </row>
    <row r="17" spans="1:12" ht="21.75" customHeight="1">
      <c r="A17" s="18"/>
      <c r="B17" s="21" t="s">
        <v>52</v>
      </c>
      <c r="C17" s="6" t="str">
        <f>IFERROR(IF(VLOOKUP($L$2,계약리스트!$A$2:$AD$10000,20,0)="","",VLOOKUP($L$2,계약리스트!$A$2:$AD$10000,20,0)),"")</f>
        <v>경기도 오산시 궐동로 77, 1층(궐동)</v>
      </c>
      <c r="D17" s="6"/>
      <c r="E17" s="6"/>
      <c r="F17" s="6"/>
      <c r="G17" s="6"/>
      <c r="H17" s="6"/>
      <c r="I17" s="6"/>
      <c r="J17" s="6"/>
      <c r="K17" s="18"/>
      <c r="L17" s="18"/>
    </row>
    <row r="18" spans="1:12" ht="19.5" customHeight="1">
      <c r="A18" s="18"/>
      <c r="B18" s="5" t="s">
        <v>53</v>
      </c>
      <c r="C18" s="5"/>
      <c r="D18" s="5"/>
      <c r="E18" s="5"/>
      <c r="F18" s="5"/>
      <c r="G18" s="5"/>
      <c r="H18" s="5"/>
      <c r="I18" s="5"/>
      <c r="J18" s="5"/>
      <c r="K18" s="18"/>
      <c r="L18" s="18"/>
    </row>
    <row r="19" spans="1:12" ht="7.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spans="1:12" ht="25.5" customHeight="1">
      <c r="A20" s="18"/>
      <c r="B20" s="10" t="s">
        <v>54</v>
      </c>
      <c r="C20" s="10"/>
      <c r="D20" s="10"/>
      <c r="E20" s="10"/>
      <c r="F20" s="10"/>
      <c r="G20" s="10"/>
      <c r="H20" s="10"/>
      <c r="I20" s="10"/>
      <c r="J20" s="10"/>
      <c r="K20" s="18"/>
      <c r="L20" s="18"/>
    </row>
    <row r="21" spans="1:12" ht="21.75" customHeight="1">
      <c r="A21" s="18"/>
      <c r="B21" s="21" t="s">
        <v>20</v>
      </c>
      <c r="C21" s="9" t="str">
        <f>IFERROR(IF(VLOOKUP($L$2,계약리스트!$A$2:$AD$10000,21,0)="","",VLOOKUP($L$2,계약리스트!$A$2:$AD$10000,21,0)),"")</f>
        <v>렌트</v>
      </c>
      <c r="D21" s="9"/>
      <c r="E21" s="21" t="s">
        <v>21</v>
      </c>
      <c r="F21" s="9" t="str">
        <f>IFERROR(IF(VLOOKUP($L$2,계약리스트!$A$2:$AD$10000,22,0)="","",VLOOKUP($L$2,계약리스트!$A$2:$AD$10000,22,0)),"")</f>
        <v>인수형</v>
      </c>
      <c r="G21" s="9"/>
      <c r="H21" s="21" t="s">
        <v>55</v>
      </c>
      <c r="I21" s="9" t="str">
        <f>IFERROR(VLOOKUP($L$2,계약리스트!$A$2:$AD$10000,10,0)&amp;"일","")</f>
        <v>365일</v>
      </c>
      <c r="J21" s="9"/>
      <c r="K21" s="18"/>
      <c r="L21" s="18"/>
    </row>
    <row r="22" spans="1:12" ht="21.75" customHeight="1">
      <c r="A22" s="18"/>
      <c r="B22" s="21" t="s">
        <v>56</v>
      </c>
      <c r="C22" s="9" t="str">
        <f>IFERROR(TEXT(VLOOKUP($L$2,계약리스트!$A$2:$AD$10000,9,0),"#,##0")&amp;" 원","")</f>
        <v>26,400 원</v>
      </c>
      <c r="D22" s="9"/>
      <c r="E22" s="21" t="s">
        <v>10</v>
      </c>
      <c r="F22" s="9" t="str">
        <f>IFERROR(TEXT(VLOOKUP($L$2,계약리스트!$A$2:$AD$10000,11,0),"#,##0")&amp;" 원","")</f>
        <v>300,000 원</v>
      </c>
      <c r="G22" s="9"/>
      <c r="H22" s="21" t="s">
        <v>24</v>
      </c>
      <c r="I22" s="9" t="str">
        <f>IFERROR(IF(VLOOKUP($L$2,계약리스트!$A$2:$AD$10000,25,0)="","",VLOOKUP($L$2,계약리스트!$A$2:$AD$10000,25,0)),"")</f>
        <v>월2회(15일,말일)</v>
      </c>
      <c r="J22" s="9"/>
      <c r="K22" s="18"/>
      <c r="L22" s="18"/>
    </row>
    <row r="23" spans="1:12" ht="21.75" customHeight="1">
      <c r="A23" s="18"/>
      <c r="B23" s="21" t="s">
        <v>22</v>
      </c>
      <c r="C23" s="9" t="str">
        <f>IFERROR(IF(VLOOKUP($L$2,계약리스트!$A$2:$AD$10000,23,0)="","",VLOOKUP($L$2,계약리스트!$A$2:$AD$10000,23,0)),"")</f>
        <v>계좌이체</v>
      </c>
      <c r="D23" s="9"/>
      <c r="E23" s="21" t="s">
        <v>57</v>
      </c>
      <c r="F23" s="6" t="s">
        <v>58</v>
      </c>
      <c r="G23" s="6"/>
      <c r="H23" s="6"/>
      <c r="I23" s="6"/>
      <c r="J23" s="6"/>
      <c r="K23" s="18"/>
      <c r="L23" s="18"/>
    </row>
    <row r="24" spans="1:12" ht="21.75" customHeight="1">
      <c r="A24" s="18"/>
      <c r="B24" s="21" t="s">
        <v>23</v>
      </c>
      <c r="C24" s="6" t="str">
        <f>IFERROR(IF(VLOOKUP($L$2,계약리스트!$A$2:$AD$10000,24,0)="","",VLOOKUP($L$2,계약리스트!$A$2:$AD$10000,24,0)),"")</f>
        <v>기업은행 929-028075-04-011 포어스바이크(유)</v>
      </c>
      <c r="D24" s="6"/>
      <c r="E24" s="6"/>
      <c r="F24" s="6"/>
      <c r="G24" s="6"/>
      <c r="H24" s="6"/>
      <c r="I24" s="6"/>
      <c r="J24" s="6"/>
      <c r="K24" s="18"/>
      <c r="L24" s="18"/>
    </row>
    <row r="25" spans="1:12" ht="7.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5.5" customHeight="1">
      <c r="A26" s="18"/>
      <c r="B26" s="10" t="s">
        <v>59</v>
      </c>
      <c r="C26" s="10"/>
      <c r="D26" s="10"/>
      <c r="E26" s="10"/>
      <c r="F26" s="10"/>
      <c r="G26" s="10"/>
      <c r="H26" s="10"/>
      <c r="I26" s="10"/>
      <c r="J26" s="10"/>
      <c r="K26" s="18"/>
      <c r="L26" s="18"/>
    </row>
    <row r="27" spans="1:12" ht="21.75" customHeight="1">
      <c r="A27" s="18"/>
      <c r="B27" s="21" t="s">
        <v>60</v>
      </c>
      <c r="C27" s="6" t="s">
        <v>46</v>
      </c>
      <c r="D27" s="6"/>
      <c r="E27" s="21" t="s">
        <v>12</v>
      </c>
      <c r="F27" s="9" t="s">
        <v>61</v>
      </c>
      <c r="G27" s="9"/>
      <c r="H27" s="21" t="s">
        <v>62</v>
      </c>
      <c r="I27" s="6" t="s">
        <v>63</v>
      </c>
      <c r="J27" s="6"/>
      <c r="K27" s="18"/>
      <c r="L27" s="18"/>
    </row>
    <row r="28" spans="1:12" ht="21.75" customHeight="1">
      <c r="A28" s="18"/>
      <c r="B28" s="21" t="s">
        <v>52</v>
      </c>
      <c r="C28" s="43" t="s">
        <v>246</v>
      </c>
      <c r="D28" s="6"/>
      <c r="E28" s="6"/>
      <c r="F28" s="6"/>
      <c r="G28" s="21" t="s">
        <v>64</v>
      </c>
      <c r="H28" s="9" t="s">
        <v>65</v>
      </c>
      <c r="I28" s="9"/>
      <c r="J28" s="9"/>
      <c r="K28" s="18"/>
      <c r="L28" s="18"/>
    </row>
    <row r="29" spans="1:12" ht="7.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2" ht="25.5" customHeight="1">
      <c r="A30" s="18"/>
      <c r="B30" s="4" t="s">
        <v>66</v>
      </c>
      <c r="C30" s="4"/>
      <c r="D30" s="4"/>
      <c r="E30" s="4"/>
      <c r="F30" s="4"/>
      <c r="G30" s="4"/>
      <c r="H30" s="4"/>
      <c r="I30" s="4"/>
      <c r="J30" s="4"/>
      <c r="K30" s="18"/>
      <c r="L30" s="18"/>
    </row>
    <row r="31" spans="1:12" ht="31.5" customHeight="1">
      <c r="A31" s="18"/>
      <c r="B31" s="3" t="s">
        <v>67</v>
      </c>
      <c r="C31" s="3"/>
      <c r="D31" s="51" t="s">
        <v>251</v>
      </c>
      <c r="E31" s="7"/>
      <c r="F31" s="7"/>
      <c r="G31" s="7"/>
      <c r="H31" s="7"/>
      <c r="I31" s="7"/>
      <c r="J31" s="7"/>
      <c r="K31" s="18"/>
      <c r="L31" s="18"/>
    </row>
    <row r="32" spans="1:12" ht="34.200000000000003" customHeight="1">
      <c r="A32" s="18"/>
      <c r="B32" s="3" t="s">
        <v>68</v>
      </c>
      <c r="C32" s="3"/>
      <c r="D32" s="51" t="s">
        <v>250</v>
      </c>
      <c r="E32" s="7"/>
      <c r="F32" s="7"/>
      <c r="G32" s="7"/>
      <c r="H32" s="7"/>
      <c r="I32" s="7"/>
      <c r="J32" s="7"/>
      <c r="K32" s="18"/>
      <c r="L32" s="18"/>
    </row>
    <row r="33" spans="1:12" ht="31.5" customHeight="1">
      <c r="A33" s="18"/>
      <c r="B33" s="3" t="s">
        <v>69</v>
      </c>
      <c r="C33" s="3"/>
      <c r="D33" s="51" t="s">
        <v>249</v>
      </c>
      <c r="E33" s="7"/>
      <c r="F33" s="7"/>
      <c r="G33" s="7"/>
      <c r="H33" s="7"/>
      <c r="I33" s="7"/>
      <c r="J33" s="7"/>
      <c r="K33" s="18"/>
      <c r="L33" s="18"/>
    </row>
    <row r="34" spans="1:12" ht="31.5" customHeight="1">
      <c r="A34" s="18"/>
      <c r="B34" s="2" t="s">
        <v>70</v>
      </c>
      <c r="C34" s="2"/>
      <c r="D34" s="51" t="s">
        <v>248</v>
      </c>
      <c r="E34" s="7"/>
      <c r="F34" s="7"/>
      <c r="G34" s="7"/>
      <c r="H34" s="7"/>
      <c r="I34" s="7"/>
      <c r="J34" s="7"/>
      <c r="K34" s="18"/>
      <c r="L34" s="18"/>
    </row>
    <row r="35" spans="1:12" ht="31.5" customHeight="1">
      <c r="A35" s="18"/>
      <c r="B35" s="3" t="s">
        <v>71</v>
      </c>
      <c r="C35" s="3"/>
      <c r="D35" s="51" t="s">
        <v>252</v>
      </c>
      <c r="E35" s="7"/>
      <c r="F35" s="7"/>
      <c r="G35" s="7"/>
      <c r="H35" s="7"/>
      <c r="I35" s="7"/>
      <c r="J35" s="7"/>
      <c r="K35" s="18"/>
      <c r="L35" s="18"/>
    </row>
    <row r="36" spans="1:12" ht="31.5" customHeight="1">
      <c r="A36" s="18"/>
      <c r="B36" s="1" t="s">
        <v>72</v>
      </c>
      <c r="C36" s="1"/>
      <c r="D36" s="52" t="s">
        <v>253</v>
      </c>
      <c r="E36" s="30"/>
      <c r="F36" s="30"/>
      <c r="G36" s="30"/>
      <c r="H36" s="30"/>
      <c r="I36" s="30"/>
      <c r="J36" s="30"/>
      <c r="K36" s="18"/>
      <c r="L36" s="18"/>
    </row>
    <row r="37" spans="1:12" ht="31.5" customHeight="1">
      <c r="A37" s="18"/>
      <c r="B37" s="1" t="s">
        <v>73</v>
      </c>
      <c r="C37" s="1"/>
      <c r="D37" s="52" t="s">
        <v>254</v>
      </c>
      <c r="E37" s="30"/>
      <c r="F37" s="30"/>
      <c r="G37" s="30"/>
      <c r="H37" s="30"/>
      <c r="I37" s="30"/>
      <c r="J37" s="30"/>
      <c r="K37" s="18"/>
      <c r="L37" s="18"/>
    </row>
    <row r="38" spans="1:12" ht="31.5" customHeight="1">
      <c r="A38" s="18"/>
      <c r="B38" s="1" t="s">
        <v>74</v>
      </c>
      <c r="C38" s="1"/>
      <c r="D38" s="52" t="s">
        <v>255</v>
      </c>
      <c r="E38" s="30"/>
      <c r="F38" s="30"/>
      <c r="G38" s="30"/>
      <c r="H38" s="30"/>
      <c r="I38" s="30"/>
      <c r="J38" s="30"/>
      <c r="K38" s="18"/>
      <c r="L38" s="18"/>
    </row>
    <row r="39" spans="1:12" ht="7.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</row>
    <row r="40" spans="1:12" ht="25.5" customHeight="1">
      <c r="A40" s="18"/>
      <c r="B40" s="44" t="s">
        <v>75</v>
      </c>
      <c r="C40" s="45"/>
      <c r="D40" s="45"/>
      <c r="E40" s="45"/>
      <c r="F40" s="45"/>
      <c r="G40" s="45"/>
      <c r="H40" s="45"/>
      <c r="I40" s="45"/>
      <c r="J40" s="46"/>
      <c r="K40" s="18"/>
      <c r="L40" s="18"/>
    </row>
    <row r="41" spans="1:12" ht="25.5" customHeight="1">
      <c r="A41" s="18"/>
      <c r="B41" s="47" t="s">
        <v>76</v>
      </c>
      <c r="C41" s="31"/>
      <c r="D41" s="53" t="s">
        <v>256</v>
      </c>
      <c r="E41" s="32"/>
      <c r="F41" s="32"/>
      <c r="G41" s="32"/>
      <c r="H41" s="32"/>
      <c r="I41" s="32"/>
      <c r="J41" s="48"/>
      <c r="K41" s="18"/>
      <c r="L41" s="18"/>
    </row>
    <row r="42" spans="1:12" ht="25.5" customHeight="1">
      <c r="A42" s="18"/>
      <c r="B42" s="47" t="s">
        <v>77</v>
      </c>
      <c r="C42" s="31"/>
      <c r="D42" s="53" t="s">
        <v>257</v>
      </c>
      <c r="E42" s="32"/>
      <c r="F42" s="32"/>
      <c r="G42" s="32"/>
      <c r="H42" s="32"/>
      <c r="I42" s="32"/>
      <c r="J42" s="48"/>
      <c r="K42" s="18"/>
      <c r="L42" s="18"/>
    </row>
    <row r="43" spans="1:12" ht="25.5" customHeight="1">
      <c r="A43" s="18"/>
      <c r="B43" s="47" t="s">
        <v>78</v>
      </c>
      <c r="C43" s="31"/>
      <c r="D43" s="53" t="s">
        <v>258</v>
      </c>
      <c r="E43" s="32"/>
      <c r="F43" s="32"/>
      <c r="G43" s="32"/>
      <c r="H43" s="32"/>
      <c r="I43" s="32"/>
      <c r="J43" s="48"/>
      <c r="K43" s="18"/>
      <c r="L43" s="18"/>
    </row>
    <row r="44" spans="1:12" ht="25.5" customHeight="1">
      <c r="A44" s="18"/>
      <c r="B44" s="47" t="s">
        <v>79</v>
      </c>
      <c r="C44" s="31"/>
      <c r="D44" s="53" t="s">
        <v>259</v>
      </c>
      <c r="E44" s="32"/>
      <c r="F44" s="32"/>
      <c r="G44" s="32"/>
      <c r="H44" s="32"/>
      <c r="I44" s="32"/>
      <c r="J44" s="48"/>
      <c r="K44" s="18"/>
      <c r="L44" s="18"/>
    </row>
    <row r="45" spans="1:12" ht="25.5" customHeight="1">
      <c r="A45" s="18"/>
      <c r="B45" s="47" t="s">
        <v>80</v>
      </c>
      <c r="C45" s="31"/>
      <c r="D45" s="53" t="s">
        <v>260</v>
      </c>
      <c r="E45" s="32"/>
      <c r="F45" s="32"/>
      <c r="G45" s="32"/>
      <c r="H45" s="32"/>
      <c r="I45" s="32"/>
      <c r="J45" s="48"/>
      <c r="K45" s="18"/>
      <c r="L45" s="18"/>
    </row>
    <row r="46" spans="1:12" ht="25.5" customHeight="1">
      <c r="A46" s="18"/>
      <c r="B46" s="47" t="s">
        <v>81</v>
      </c>
      <c r="C46" s="31"/>
      <c r="D46" s="53" t="s">
        <v>261</v>
      </c>
      <c r="E46" s="32"/>
      <c r="F46" s="32"/>
      <c r="G46" s="32"/>
      <c r="H46" s="32"/>
      <c r="I46" s="32"/>
      <c r="J46" s="48"/>
      <c r="K46" s="18"/>
      <c r="L46" s="18"/>
    </row>
    <row r="47" spans="1:12" ht="25.5" customHeight="1">
      <c r="A47" s="18"/>
      <c r="B47" s="54" t="s">
        <v>262</v>
      </c>
      <c r="C47" s="42"/>
      <c r="D47" s="42"/>
      <c r="E47" s="42"/>
      <c r="F47" s="42"/>
      <c r="G47" s="42"/>
      <c r="H47" s="42"/>
      <c r="I47" s="42"/>
      <c r="J47" s="49"/>
      <c r="K47" s="18"/>
      <c r="L47" s="18"/>
    </row>
    <row r="48" spans="1:12" ht="12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</row>
    <row r="49" spans="1:12" ht="25.5" customHeight="1">
      <c r="A49" s="18"/>
      <c r="B49" s="10" t="s">
        <v>82</v>
      </c>
      <c r="C49" s="10"/>
      <c r="D49" s="10"/>
      <c r="E49" s="10"/>
      <c r="F49" s="10"/>
      <c r="G49" s="10"/>
      <c r="H49" s="10"/>
      <c r="I49" s="10"/>
      <c r="J49" s="10"/>
      <c r="K49" s="18"/>
      <c r="L49" s="18"/>
    </row>
    <row r="50" spans="1:12" ht="36" customHeight="1">
      <c r="A50" s="18"/>
      <c r="B50" s="50" t="s">
        <v>247</v>
      </c>
      <c r="C50" s="33"/>
      <c r="D50" s="33"/>
      <c r="E50" s="33"/>
      <c r="F50" s="33"/>
      <c r="G50" s="33"/>
      <c r="H50" s="33"/>
      <c r="I50" s="33"/>
      <c r="J50" s="33"/>
      <c r="K50" s="18"/>
      <c r="L50" s="18"/>
    </row>
    <row r="51" spans="1:12" ht="48" customHeight="1">
      <c r="A51" s="18"/>
      <c r="B51" s="21" t="s">
        <v>83</v>
      </c>
      <c r="C51" s="9" t="str">
        <f>IFERROR(IF(VLOOKUP($L$2,계약리스트!$A$2:$AD$10000,12,0)="","",VLOOKUP($L$2,계약리스트!$A$2:$AD$10000,12,0)),"")</f>
        <v>중앙 오토바이 가수점</v>
      </c>
      <c r="D51" s="9"/>
      <c r="E51" s="9"/>
      <c r="F51" s="23" t="s">
        <v>84</v>
      </c>
      <c r="G51" s="21" t="s">
        <v>85</v>
      </c>
      <c r="H51" s="9" t="str">
        <f>IFERROR(IF(VLOOKUP($L$2,계약리스트!$A$2:$AD$10000,14,0)="","",VLOOKUP($L$2,계약리스트!$A$2:$AD$10000,14,0)),"")</f>
        <v>안종식</v>
      </c>
      <c r="I51" s="9"/>
      <c r="J51" s="23" t="s">
        <v>84</v>
      </c>
      <c r="K51" s="18"/>
      <c r="L51" s="18"/>
    </row>
    <row r="52" spans="1:12" ht="24" customHeight="1">
      <c r="A52" s="18"/>
      <c r="B52" s="21" t="s">
        <v>86</v>
      </c>
      <c r="C52" s="9" t="str">
        <f>IFERROR(TEXT(VLOOKUP($L$2,계약리스트!$A$2:$AD$10000,2,0),"yyyy년 m월 d일"),"")</f>
        <v>2026년 4월 24일</v>
      </c>
      <c r="D52" s="9"/>
      <c r="E52" s="9"/>
      <c r="F52" s="34" t="s">
        <v>87</v>
      </c>
      <c r="G52" s="34"/>
      <c r="H52" s="6" t="s">
        <v>46</v>
      </c>
      <c r="I52" s="6"/>
      <c r="J52" s="23" t="s">
        <v>84</v>
      </c>
      <c r="K52" s="18"/>
      <c r="L52" s="18"/>
    </row>
    <row r="53" spans="1:12" ht="15.6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1:12" ht="15.6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spans="1:12" ht="15.6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spans="1:12" ht="15.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2" ht="15.6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1:12" ht="15.6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</row>
    <row r="59" spans="1:12" ht="15.6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</row>
    <row r="60" spans="1:12" ht="15.6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</row>
    <row r="61" spans="1:12" ht="15.6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 spans="1:12" ht="15.6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2" ht="15.6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 spans="1:12" ht="15.6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</row>
    <row r="65" spans="1:12" ht="15.6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</row>
    <row r="66" spans="1:12" ht="15.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</row>
    <row r="67" spans="1:12" ht="15.6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</row>
    <row r="68" spans="1:12" ht="15.6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</row>
    <row r="69" spans="1:12" ht="15.6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</row>
    <row r="70" spans="1:12" ht="15.6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</row>
    <row r="71" spans="1:12" ht="15.6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</row>
    <row r="72" spans="1:12" ht="15.6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</row>
    <row r="73" spans="1:12" ht="15.6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</row>
    <row r="74" spans="1:12" ht="15.6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</row>
    <row r="75" spans="1:12" ht="15.6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6" spans="1:12" ht="15.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</row>
    <row r="77" spans="1:12" ht="15.6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</row>
    <row r="78" spans="1:12" ht="15.6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 spans="1:12" ht="15.6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 spans="1:12" ht="15.6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</row>
    <row r="81" spans="1:12" ht="15.6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</row>
    <row r="82" spans="1:12" ht="15.6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</row>
    <row r="83" spans="1:12" ht="15.6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</row>
    <row r="84" spans="1:12" ht="15.6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 spans="1:12" ht="15.6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</row>
    <row r="86" spans="1:12" ht="15.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</row>
    <row r="87" spans="1:12" ht="15.6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</row>
    <row r="88" spans="1:12" ht="15.6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</row>
    <row r="89" spans="1:12" ht="15.6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</row>
    <row r="90" spans="1:12" ht="15.6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 spans="1:12" ht="15.6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</row>
    <row r="92" spans="1:12" ht="15.6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</row>
    <row r="93" spans="1:12" ht="15.6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 spans="1:12" ht="15.6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</row>
    <row r="95" spans="1:12" ht="15.6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 spans="1:12" ht="15.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</row>
    <row r="97" spans="1:12" ht="15.6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</row>
    <row r="98" spans="1:12" ht="15.6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</row>
    <row r="99" spans="1:12" ht="15.6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</row>
    <row r="100" spans="1:12" ht="15.6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</row>
    <row r="101" spans="1:12" ht="15.6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 spans="1:12" ht="15.6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</row>
    <row r="103" spans="1:12" ht="15.6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</row>
    <row r="104" spans="1:12" ht="15.6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</row>
    <row r="105" spans="1:12" ht="15.6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</row>
    <row r="106" spans="1:12" ht="15.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</row>
    <row r="107" spans="1:12" ht="15.6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</row>
    <row r="108" spans="1:12" ht="15.6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</row>
    <row r="109" spans="1:12" ht="15.6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</row>
  </sheetData>
  <mergeCells count="80">
    <mergeCell ref="B49:J49"/>
    <mergeCell ref="B50:J50"/>
    <mergeCell ref="C51:E51"/>
    <mergeCell ref="H51:I51"/>
    <mergeCell ref="C52:E52"/>
    <mergeCell ref="F52:G52"/>
    <mergeCell ref="H52:I52"/>
    <mergeCell ref="B45:C45"/>
    <mergeCell ref="D45:J45"/>
    <mergeCell ref="B46:C46"/>
    <mergeCell ref="D46:J46"/>
    <mergeCell ref="B47:J47"/>
    <mergeCell ref="B42:C42"/>
    <mergeCell ref="D42:J42"/>
    <mergeCell ref="B43:C43"/>
    <mergeCell ref="D43:J43"/>
    <mergeCell ref="B44:C44"/>
    <mergeCell ref="D44:J44"/>
    <mergeCell ref="B38:C38"/>
    <mergeCell ref="D38:J38"/>
    <mergeCell ref="B40:J40"/>
    <mergeCell ref="B41:C41"/>
    <mergeCell ref="D41:J41"/>
    <mergeCell ref="B35:C35"/>
    <mergeCell ref="D35:J35"/>
    <mergeCell ref="B36:C36"/>
    <mergeCell ref="D36:J36"/>
    <mergeCell ref="B37:C37"/>
    <mergeCell ref="D37:J37"/>
    <mergeCell ref="B32:C32"/>
    <mergeCell ref="D32:J32"/>
    <mergeCell ref="B33:C33"/>
    <mergeCell ref="D33:J33"/>
    <mergeCell ref="B34:C34"/>
    <mergeCell ref="D34:J34"/>
    <mergeCell ref="C28:F28"/>
    <mergeCell ref="H28:J28"/>
    <mergeCell ref="B30:J30"/>
    <mergeCell ref="B31:C31"/>
    <mergeCell ref="D31:J31"/>
    <mergeCell ref="C23:D23"/>
    <mergeCell ref="F23:J23"/>
    <mergeCell ref="C24:J24"/>
    <mergeCell ref="B26:J26"/>
    <mergeCell ref="C27:D27"/>
    <mergeCell ref="F27:G27"/>
    <mergeCell ref="I27:J27"/>
    <mergeCell ref="B20:J20"/>
    <mergeCell ref="C21:D21"/>
    <mergeCell ref="F21:G21"/>
    <mergeCell ref="I21:J21"/>
    <mergeCell ref="C22:D22"/>
    <mergeCell ref="F22:G22"/>
    <mergeCell ref="I22:J22"/>
    <mergeCell ref="C16:D16"/>
    <mergeCell ref="F16:G16"/>
    <mergeCell ref="I16:J16"/>
    <mergeCell ref="C17:J17"/>
    <mergeCell ref="B18:J18"/>
    <mergeCell ref="C12:D12"/>
    <mergeCell ref="F12:J12"/>
    <mergeCell ref="B13:J13"/>
    <mergeCell ref="B15:J15"/>
    <mergeCell ref="C8:D8"/>
    <mergeCell ref="E8:J8"/>
    <mergeCell ref="B10:J10"/>
    <mergeCell ref="C11:D11"/>
    <mergeCell ref="F11:G11"/>
    <mergeCell ref="I11:J11"/>
    <mergeCell ref="C6:D6"/>
    <mergeCell ref="F6:G6"/>
    <mergeCell ref="I6:J6"/>
    <mergeCell ref="C7:D7"/>
    <mergeCell ref="F7:G7"/>
    <mergeCell ref="I7:J7"/>
    <mergeCell ref="B2:J2"/>
    <mergeCell ref="B3:E3"/>
    <mergeCell ref="F3:H3"/>
    <mergeCell ref="I3:J3"/>
    <mergeCell ref="B5:J5"/>
  </mergeCells>
  <phoneticPr fontId="33" type="noConversion"/>
  <printOptions horizontalCentered="1"/>
  <pageMargins left="0.3" right="0.3" top="0.4" bottom="0.4" header="0.511811023622047" footer="0.511811023622047"/>
  <pageSetup paperSize="9" scale="64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101"/>
  <sheetViews>
    <sheetView topLeftCell="A21" zoomScaleNormal="100" workbookViewId="0">
      <selection activeCell="B28" sqref="B28"/>
    </sheetView>
  </sheetViews>
  <sheetFormatPr defaultColWidth="8.6640625" defaultRowHeight="14.4"/>
  <cols>
    <col min="1" max="1" width="1.5546875" customWidth="1"/>
    <col min="2" max="2" width="60" customWidth="1"/>
    <col min="3" max="3" width="1.5546875" customWidth="1"/>
    <col min="4" max="4" width="60" customWidth="1"/>
    <col min="5" max="5" width="1.5546875" customWidth="1"/>
  </cols>
  <sheetData>
    <row r="1" spans="2:4" ht="27.75" customHeight="1">
      <c r="B1" s="35" t="s">
        <v>88</v>
      </c>
      <c r="C1" s="35"/>
      <c r="D1" s="35"/>
    </row>
    <row r="2" spans="2:4" ht="6" customHeight="1"/>
    <row r="3" spans="2:4" ht="18" customHeight="1">
      <c r="B3" s="24" t="s">
        <v>89</v>
      </c>
      <c r="D3" s="24" t="s">
        <v>90</v>
      </c>
    </row>
    <row r="4" spans="2:4" ht="25.5" customHeight="1">
      <c r="B4" s="59" t="s">
        <v>480</v>
      </c>
      <c r="D4" s="25" t="s">
        <v>91</v>
      </c>
    </row>
    <row r="5" spans="2:4" ht="15" customHeight="1">
      <c r="D5" s="25" t="s">
        <v>92</v>
      </c>
    </row>
    <row r="6" spans="2:4" ht="18" customHeight="1">
      <c r="B6" s="24" t="s">
        <v>93</v>
      </c>
      <c r="D6" s="25" t="s">
        <v>94</v>
      </c>
    </row>
    <row r="7" spans="2:4" ht="25.5" customHeight="1">
      <c r="B7" s="26" t="s">
        <v>95</v>
      </c>
      <c r="D7" s="25" t="s">
        <v>96</v>
      </c>
    </row>
    <row r="8" spans="2:4" ht="25.5" customHeight="1">
      <c r="B8" s="26" t="s">
        <v>97</v>
      </c>
      <c r="D8" s="25" t="s">
        <v>98</v>
      </c>
    </row>
    <row r="9" spans="2:4" ht="36.75" customHeight="1">
      <c r="B9" s="26" t="s">
        <v>99</v>
      </c>
      <c r="D9" s="25" t="s">
        <v>100</v>
      </c>
    </row>
    <row r="10" spans="2:4" ht="25.5" customHeight="1">
      <c r="B10" s="26" t="s">
        <v>101</v>
      </c>
    </row>
    <row r="11" spans="2:4" ht="18" customHeight="1">
      <c r="B11" s="26" t="s">
        <v>102</v>
      </c>
      <c r="D11" s="24" t="s">
        <v>103</v>
      </c>
    </row>
    <row r="12" spans="2:4" ht="25.5" customHeight="1">
      <c r="B12" s="26" t="s">
        <v>104</v>
      </c>
      <c r="D12" s="25" t="s">
        <v>105</v>
      </c>
    </row>
    <row r="13" spans="2:4" ht="36.75" customHeight="1">
      <c r="B13" s="26" t="s">
        <v>106</v>
      </c>
      <c r="D13" s="25" t="s">
        <v>107</v>
      </c>
    </row>
    <row r="14" spans="2:4" ht="25.5" customHeight="1">
      <c r="B14" s="26" t="s">
        <v>108</v>
      </c>
      <c r="D14" s="25" t="s">
        <v>109</v>
      </c>
    </row>
    <row r="15" spans="2:4" ht="25.5" customHeight="1">
      <c r="B15" s="26" t="s">
        <v>482</v>
      </c>
      <c r="D15" s="25" t="s">
        <v>110</v>
      </c>
    </row>
    <row r="16" spans="2:4" ht="25.5" customHeight="1">
      <c r="B16" s="26" t="s">
        <v>111</v>
      </c>
      <c r="D16" s="25" t="s">
        <v>112</v>
      </c>
    </row>
    <row r="17" spans="2:4" ht="25.5" customHeight="1">
      <c r="B17" s="26" t="s">
        <v>113</v>
      </c>
    </row>
    <row r="18" spans="2:4" ht="18" customHeight="1">
      <c r="D18" s="24" t="s">
        <v>114</v>
      </c>
    </row>
    <row r="19" spans="2:4" ht="18" customHeight="1">
      <c r="B19" s="24" t="s">
        <v>115</v>
      </c>
      <c r="D19" s="25" t="s">
        <v>116</v>
      </c>
    </row>
    <row r="20" spans="2:4" ht="36.75" customHeight="1">
      <c r="B20" s="25" t="s">
        <v>117</v>
      </c>
      <c r="D20" s="25" t="s">
        <v>118</v>
      </c>
    </row>
    <row r="21" spans="2:4" ht="15" customHeight="1">
      <c r="B21" s="25" t="s">
        <v>119</v>
      </c>
      <c r="D21" s="25" t="s">
        <v>120</v>
      </c>
    </row>
    <row r="22" spans="2:4" ht="25.5" customHeight="1">
      <c r="D22" s="25" t="s">
        <v>121</v>
      </c>
    </row>
    <row r="23" spans="2:4" ht="18" customHeight="1">
      <c r="B23" s="24" t="s">
        <v>122</v>
      </c>
    </row>
    <row r="24" spans="2:4" ht="18" customHeight="1">
      <c r="B24" s="25" t="s">
        <v>123</v>
      </c>
      <c r="D24" s="24" t="s">
        <v>124</v>
      </c>
    </row>
    <row r="25" spans="2:4" ht="15" customHeight="1">
      <c r="B25" s="25" t="s">
        <v>125</v>
      </c>
      <c r="D25" s="25" t="s">
        <v>126</v>
      </c>
    </row>
    <row r="26" spans="2:4" ht="25.5" customHeight="1">
      <c r="D26" s="25" t="s">
        <v>127</v>
      </c>
    </row>
    <row r="27" spans="2:4" ht="18" customHeight="1">
      <c r="B27" s="24" t="s">
        <v>128</v>
      </c>
      <c r="D27" s="25" t="s">
        <v>129</v>
      </c>
    </row>
    <row r="28" spans="2:4" ht="25.5" customHeight="1">
      <c r="B28" s="25" t="s">
        <v>130</v>
      </c>
    </row>
    <row r="29" spans="2:4" ht="18" customHeight="1">
      <c r="B29" s="25" t="s">
        <v>131</v>
      </c>
      <c r="D29" s="24" t="s">
        <v>132</v>
      </c>
    </row>
    <row r="30" spans="2:4" ht="69.75" customHeight="1">
      <c r="B30" s="25" t="s">
        <v>133</v>
      </c>
      <c r="D30" s="25" t="s">
        <v>134</v>
      </c>
    </row>
    <row r="31" spans="2:4" ht="15" customHeight="1">
      <c r="B31" s="25" t="s">
        <v>135</v>
      </c>
    </row>
    <row r="32" spans="2:4" ht="18" customHeight="1">
      <c r="B32" s="25" t="s">
        <v>136</v>
      </c>
      <c r="D32" s="24" t="s">
        <v>137</v>
      </c>
    </row>
    <row r="33" spans="2:4" ht="36.75" customHeight="1">
      <c r="D33" s="25" t="s">
        <v>138</v>
      </c>
    </row>
    <row r="34" spans="2:4" ht="18" customHeight="1">
      <c r="B34" s="24" t="s">
        <v>139</v>
      </c>
      <c r="D34" s="25" t="s">
        <v>140</v>
      </c>
    </row>
    <row r="35" spans="2:4" ht="25.5" customHeight="1">
      <c r="B35" s="25" t="s">
        <v>141</v>
      </c>
      <c r="D35" s="25" t="s">
        <v>142</v>
      </c>
    </row>
    <row r="36" spans="2:4" ht="25.5" customHeight="1">
      <c r="B36" s="25" t="s">
        <v>143</v>
      </c>
    </row>
    <row r="37" spans="2:4" ht="18" customHeight="1">
      <c r="B37" s="25" t="s">
        <v>144</v>
      </c>
      <c r="D37" s="24" t="s">
        <v>145</v>
      </c>
    </row>
    <row r="38" spans="2:4" ht="25.5" customHeight="1">
      <c r="B38" s="25" t="s">
        <v>146</v>
      </c>
      <c r="D38" s="25" t="s">
        <v>147</v>
      </c>
    </row>
    <row r="39" spans="2:4" ht="25.5" customHeight="1">
      <c r="B39" s="25" t="s">
        <v>148</v>
      </c>
      <c r="D39" s="25" t="s">
        <v>149</v>
      </c>
    </row>
    <row r="40" spans="2:4" ht="25.5" customHeight="1">
      <c r="B40" s="25" t="s">
        <v>150</v>
      </c>
      <c r="D40" s="25" t="s">
        <v>151</v>
      </c>
    </row>
    <row r="41" spans="2:4" ht="15" customHeight="1">
      <c r="D41" s="25" t="s">
        <v>152</v>
      </c>
    </row>
    <row r="42" spans="2:4" ht="18" customHeight="1">
      <c r="B42" s="24" t="s">
        <v>153</v>
      </c>
    </row>
    <row r="43" spans="2:4" ht="18" customHeight="1">
      <c r="B43" s="25" t="s">
        <v>154</v>
      </c>
      <c r="D43" s="27" t="s">
        <v>155</v>
      </c>
    </row>
    <row r="44" spans="2:4" ht="102.75" customHeight="1">
      <c r="B44" s="25" t="s">
        <v>156</v>
      </c>
      <c r="D44" s="28" t="s">
        <v>157</v>
      </c>
    </row>
    <row r="45" spans="2:4" ht="15" customHeight="1">
      <c r="B45" s="25" t="s">
        <v>158</v>
      </c>
    </row>
    <row r="46" spans="2:4" ht="18" customHeight="1">
      <c r="B46" s="25" t="s">
        <v>159</v>
      </c>
      <c r="D46" s="27" t="s">
        <v>160</v>
      </c>
    </row>
    <row r="47" spans="2:4" ht="25.5" customHeight="1">
      <c r="B47" s="25" t="s">
        <v>161</v>
      </c>
      <c r="D47" s="28" t="s">
        <v>162</v>
      </c>
    </row>
    <row r="48" spans="2:4" ht="15" customHeight="1">
      <c r="D48" s="28" t="s">
        <v>163</v>
      </c>
    </row>
    <row r="49" spans="2:4" ht="18" customHeight="1">
      <c r="B49" s="24" t="s">
        <v>164</v>
      </c>
      <c r="D49" s="28" t="s">
        <v>165</v>
      </c>
    </row>
    <row r="50" spans="2:4" ht="25.5" customHeight="1">
      <c r="B50" s="25" t="s">
        <v>166</v>
      </c>
    </row>
    <row r="51" spans="2:4" ht="18" customHeight="1">
      <c r="B51" s="25" t="s">
        <v>167</v>
      </c>
      <c r="D51" s="24" t="s">
        <v>168</v>
      </c>
    </row>
    <row r="52" spans="2:4" ht="25.5" customHeight="1">
      <c r="B52" s="25" t="s">
        <v>169</v>
      </c>
      <c r="D52" s="25" t="s">
        <v>170</v>
      </c>
    </row>
    <row r="53" spans="2:4" ht="36.75" customHeight="1">
      <c r="B53" s="25" t="s">
        <v>171</v>
      </c>
      <c r="D53" s="25" t="s">
        <v>172</v>
      </c>
    </row>
    <row r="54" spans="2:4" ht="15" customHeight="1">
      <c r="D54" s="25" t="s">
        <v>173</v>
      </c>
    </row>
    <row r="55" spans="2:4" ht="18" customHeight="1">
      <c r="B55" s="24" t="s">
        <v>174</v>
      </c>
      <c r="D55" s="25" t="s">
        <v>175</v>
      </c>
    </row>
    <row r="56" spans="2:4" ht="25.5" customHeight="1">
      <c r="B56" s="25" t="s">
        <v>176</v>
      </c>
    </row>
    <row r="57" spans="2:4" ht="18" customHeight="1">
      <c r="B57" s="25" t="s">
        <v>177</v>
      </c>
      <c r="D57" s="24" t="s">
        <v>178</v>
      </c>
    </row>
    <row r="58" spans="2:4" ht="25.5" customHeight="1">
      <c r="B58" s="25" t="s">
        <v>179</v>
      </c>
      <c r="D58" s="25" t="s">
        <v>180</v>
      </c>
    </row>
    <row r="59" spans="2:4" ht="25.5" customHeight="1">
      <c r="B59" s="25" t="s">
        <v>181</v>
      </c>
      <c r="D59" s="25" t="s">
        <v>182</v>
      </c>
    </row>
    <row r="60" spans="2:4" ht="25.5" customHeight="1">
      <c r="B60" s="25" t="s">
        <v>183</v>
      </c>
      <c r="D60" s="25" t="s">
        <v>184</v>
      </c>
    </row>
    <row r="61" spans="2:4" ht="36.75" customHeight="1">
      <c r="B61" s="25" t="s">
        <v>185</v>
      </c>
      <c r="D61" s="25" t="s">
        <v>186</v>
      </c>
    </row>
    <row r="62" spans="2:4" ht="36.75" customHeight="1">
      <c r="B62" s="25" t="s">
        <v>187</v>
      </c>
      <c r="D62" s="25" t="s">
        <v>188</v>
      </c>
    </row>
    <row r="63" spans="2:4" ht="25.5" customHeight="1">
      <c r="B63" s="25" t="s">
        <v>189</v>
      </c>
      <c r="D63" s="25" t="s">
        <v>190</v>
      </c>
    </row>
    <row r="64" spans="2:4" ht="6" customHeight="1"/>
    <row r="65" spans="2:4" ht="18" customHeight="1">
      <c r="B65" s="27" t="s">
        <v>191</v>
      </c>
      <c r="D65" s="24" t="s">
        <v>192</v>
      </c>
    </row>
    <row r="66" spans="2:4" ht="36.75" customHeight="1">
      <c r="B66" s="28" t="s">
        <v>193</v>
      </c>
      <c r="D66" s="25" t="s">
        <v>194</v>
      </c>
    </row>
    <row r="67" spans="2:4" ht="36.75" customHeight="1">
      <c r="B67" s="28" t="s">
        <v>195</v>
      </c>
      <c r="D67" s="25" t="s">
        <v>196</v>
      </c>
    </row>
    <row r="68" spans="2:4" ht="36.75" customHeight="1">
      <c r="B68" s="28" t="s">
        <v>197</v>
      </c>
    </row>
    <row r="69" spans="2:4" ht="18" customHeight="1">
      <c r="B69" s="28" t="s">
        <v>198</v>
      </c>
      <c r="D69" s="24" t="s">
        <v>199</v>
      </c>
    </row>
    <row r="70" spans="2:4" ht="15" customHeight="1">
      <c r="D70" s="25" t="s">
        <v>200</v>
      </c>
    </row>
    <row r="71" spans="2:4" ht="18" customHeight="1">
      <c r="B71" s="27" t="s">
        <v>201</v>
      </c>
      <c r="D71" s="25" t="s">
        <v>202</v>
      </c>
    </row>
    <row r="72" spans="2:4" ht="25.5" customHeight="1">
      <c r="B72" s="28" t="s">
        <v>203</v>
      </c>
      <c r="D72" s="25" t="s">
        <v>204</v>
      </c>
    </row>
    <row r="73" spans="2:4" ht="48" customHeight="1">
      <c r="B73" s="28" t="s">
        <v>205</v>
      </c>
      <c r="D73" s="25" t="s">
        <v>206</v>
      </c>
    </row>
    <row r="74" spans="2:4" ht="25.5" customHeight="1">
      <c r="B74" s="28" t="s">
        <v>207</v>
      </c>
    </row>
    <row r="75" spans="2:4" ht="18" customHeight="1">
      <c r="B75" s="28" t="s">
        <v>208</v>
      </c>
      <c r="D75" s="27" t="s">
        <v>209</v>
      </c>
    </row>
    <row r="76" spans="2:4" ht="36.75" customHeight="1">
      <c r="B76" s="29" t="s">
        <v>210</v>
      </c>
      <c r="D76" s="28" t="s">
        <v>211</v>
      </c>
    </row>
    <row r="77" spans="2:4" ht="25.5" customHeight="1">
      <c r="B77" s="29" t="s">
        <v>212</v>
      </c>
      <c r="D77" s="28" t="s">
        <v>213</v>
      </c>
    </row>
    <row r="78" spans="2:4" ht="25.5" customHeight="1">
      <c r="B78" s="29" t="s">
        <v>214</v>
      </c>
      <c r="D78" s="28" t="s">
        <v>215</v>
      </c>
    </row>
    <row r="79" spans="2:4" ht="25.5" customHeight="1">
      <c r="B79" s="28" t="s">
        <v>216</v>
      </c>
    </row>
    <row r="80" spans="2:4" ht="18" customHeight="1">
      <c r="D80" s="24" t="s">
        <v>217</v>
      </c>
    </row>
    <row r="81" spans="2:4" ht="18" customHeight="1">
      <c r="B81" s="27" t="s">
        <v>218</v>
      </c>
      <c r="D81" s="25" t="s">
        <v>219</v>
      </c>
    </row>
    <row r="82" spans="2:4" ht="15" customHeight="1">
      <c r="B82" s="28" t="s">
        <v>220</v>
      </c>
    </row>
    <row r="83" spans="2:4" ht="18" customHeight="1">
      <c r="B83" s="28" t="s">
        <v>221</v>
      </c>
      <c r="D83" s="24" t="s">
        <v>222</v>
      </c>
    </row>
    <row r="84" spans="2:4" ht="25.5" customHeight="1">
      <c r="B84" s="28" t="s">
        <v>223</v>
      </c>
      <c r="D84" s="25" t="s">
        <v>224</v>
      </c>
    </row>
    <row r="85" spans="2:4" ht="25.5" customHeight="1">
      <c r="B85" s="28" t="s">
        <v>225</v>
      </c>
    </row>
    <row r="86" spans="2:4" ht="18" customHeight="1">
      <c r="D86" s="24" t="s">
        <v>226</v>
      </c>
    </row>
    <row r="87" spans="2:4" ht="18" customHeight="1">
      <c r="B87" s="27" t="s">
        <v>227</v>
      </c>
      <c r="D87" s="25" t="s">
        <v>228</v>
      </c>
    </row>
    <row r="88" spans="2:4" ht="91.5" customHeight="1">
      <c r="B88" s="28" t="s">
        <v>229</v>
      </c>
      <c r="D88" s="25" t="s">
        <v>230</v>
      </c>
    </row>
    <row r="89" spans="2:4" ht="36.75" customHeight="1">
      <c r="B89" s="28" t="s">
        <v>231</v>
      </c>
      <c r="D89" s="25" t="s">
        <v>232</v>
      </c>
    </row>
    <row r="90" spans="2:4" ht="25.5" customHeight="1">
      <c r="B90" s="28" t="s">
        <v>233</v>
      </c>
      <c r="D90" s="25" t="s">
        <v>234</v>
      </c>
    </row>
    <row r="91" spans="2:4" ht="25.5" customHeight="1">
      <c r="B91" s="28" t="s">
        <v>235</v>
      </c>
      <c r="D91" s="25" t="s">
        <v>236</v>
      </c>
    </row>
    <row r="92" spans="2:4" ht="6" customHeight="1"/>
    <row r="93" spans="2:4" ht="18" customHeight="1">
      <c r="B93" s="24" t="s">
        <v>237</v>
      </c>
    </row>
    <row r="94" spans="2:4" ht="25.5" customHeight="1">
      <c r="B94" s="25" t="s">
        <v>238</v>
      </c>
    </row>
    <row r="95" spans="2:4" ht="25.5" customHeight="1">
      <c r="B95" s="25" t="s">
        <v>239</v>
      </c>
    </row>
    <row r="96" spans="2:4" ht="25.5" customHeight="1">
      <c r="B96" s="25" t="s">
        <v>240</v>
      </c>
    </row>
    <row r="97" spans="2:4" ht="6" customHeight="1"/>
    <row r="100" spans="2:4" ht="19.5" customHeight="1">
      <c r="B100" s="36" t="s">
        <v>241</v>
      </c>
      <c r="C100" s="36"/>
      <c r="D100" s="36"/>
    </row>
    <row r="101" spans="2:4" ht="30" customHeight="1">
      <c r="B101" s="37" t="s">
        <v>242</v>
      </c>
      <c r="C101" s="37"/>
      <c r="D101" s="37"/>
    </row>
  </sheetData>
  <mergeCells count="3">
    <mergeCell ref="B1:D1"/>
    <mergeCell ref="B100:D100"/>
    <mergeCell ref="B101:D101"/>
  </mergeCells>
  <phoneticPr fontId="33" type="noConversion"/>
  <pageMargins left="0.2" right="0.2" top="0.3" bottom="0.3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B0576-F57A-4D09-A2A5-CAE7D6B3A51B}">
  <sheetPr>
    <pageSetUpPr fitToPage="1"/>
  </sheetPr>
  <dimension ref="B1:D202"/>
  <sheetViews>
    <sheetView showGridLines="0" tabSelected="1" topLeftCell="A15" zoomScaleNormal="100" zoomScaleSheetLayoutView="130" zoomScalePageLayoutView="145" workbookViewId="0">
      <selection activeCell="Q33" sqref="Q33"/>
    </sheetView>
  </sheetViews>
  <sheetFormatPr defaultColWidth="8.6640625" defaultRowHeight="14.4"/>
  <cols>
    <col min="1" max="1" width="2" customWidth="1"/>
    <col min="2" max="2" width="63.33203125" customWidth="1"/>
    <col min="3" max="3" width="1.5546875" customWidth="1"/>
    <col min="4" max="4" width="63.33203125" customWidth="1"/>
    <col min="5" max="5" width="2" customWidth="1"/>
  </cols>
  <sheetData>
    <row r="1" spans="2:4" ht="31.5" customHeight="1">
      <c r="B1" s="56" t="s">
        <v>264</v>
      </c>
      <c r="C1" s="56"/>
      <c r="D1" s="56"/>
    </row>
    <row r="3" spans="2:4" ht="14.25" customHeight="1">
      <c r="B3" s="57" t="s">
        <v>265</v>
      </c>
      <c r="D3" s="58" t="s">
        <v>266</v>
      </c>
    </row>
    <row r="4" spans="2:4" ht="14.25" customHeight="1">
      <c r="B4" s="26" t="s">
        <v>486</v>
      </c>
      <c r="D4" s="59" t="s">
        <v>267</v>
      </c>
    </row>
    <row r="5" spans="2:4" ht="14.25" customHeight="1">
      <c r="B5" s="59" t="s">
        <v>485</v>
      </c>
      <c r="D5" s="59" t="s">
        <v>268</v>
      </c>
    </row>
    <row r="6" spans="2:4" ht="14.25" customHeight="1">
      <c r="B6" s="25"/>
      <c r="D6" s="59" t="s">
        <v>269</v>
      </c>
    </row>
    <row r="7" spans="2:4" ht="14.25" customHeight="1">
      <c r="B7" s="57" t="s">
        <v>270</v>
      </c>
      <c r="D7" s="58" t="s">
        <v>271</v>
      </c>
    </row>
    <row r="8" spans="2:4" ht="14.25" customHeight="1">
      <c r="B8" s="26" t="s">
        <v>487</v>
      </c>
      <c r="D8" s="59" t="s">
        <v>272</v>
      </c>
    </row>
    <row r="9" spans="2:4" ht="14.25" customHeight="1">
      <c r="B9" s="26" t="s">
        <v>488</v>
      </c>
      <c r="D9" s="59"/>
    </row>
    <row r="10" spans="2:4" ht="14.25" customHeight="1">
      <c r="B10" s="26" t="s">
        <v>489</v>
      </c>
      <c r="D10" s="59" t="s">
        <v>273</v>
      </c>
    </row>
    <row r="11" spans="2:4" ht="14.25" customHeight="1">
      <c r="B11" s="26" t="s">
        <v>490</v>
      </c>
      <c r="D11" s="58" t="s">
        <v>274</v>
      </c>
    </row>
    <row r="12" spans="2:4" ht="14.25" customHeight="1">
      <c r="B12" s="26" t="s">
        <v>481</v>
      </c>
      <c r="D12" s="59" t="s">
        <v>275</v>
      </c>
    </row>
    <row r="13" spans="2:4" ht="14.25" customHeight="1">
      <c r="B13" s="26" t="s">
        <v>491</v>
      </c>
      <c r="D13" s="58" t="s">
        <v>276</v>
      </c>
    </row>
    <row r="14" spans="2:4" ht="14.25" customHeight="1">
      <c r="B14" s="26" t="s">
        <v>492</v>
      </c>
      <c r="D14" s="59" t="s">
        <v>277</v>
      </c>
    </row>
    <row r="15" spans="2:4" ht="14.25" customHeight="1">
      <c r="B15" s="59" t="s">
        <v>493</v>
      </c>
      <c r="D15" s="58" t="s">
        <v>278</v>
      </c>
    </row>
    <row r="16" spans="2:4" ht="14.25" customHeight="1">
      <c r="B16" s="26" t="s">
        <v>494</v>
      </c>
      <c r="D16" s="59" t="s">
        <v>279</v>
      </c>
    </row>
    <row r="17" spans="2:4" ht="14.25" customHeight="1">
      <c r="B17" s="26" t="s">
        <v>495</v>
      </c>
    </row>
    <row r="18" spans="2:4" ht="14.25" customHeight="1">
      <c r="B18" s="59" t="s">
        <v>496</v>
      </c>
      <c r="D18" s="60" t="s">
        <v>280</v>
      </c>
    </row>
    <row r="19" spans="2:4" ht="14.25" customHeight="1">
      <c r="B19" s="26" t="s">
        <v>497</v>
      </c>
      <c r="D19" s="58" t="s">
        <v>281</v>
      </c>
    </row>
    <row r="20" spans="2:4" ht="14.25" customHeight="1">
      <c r="B20" s="59" t="s">
        <v>499</v>
      </c>
      <c r="D20" s="59" t="s">
        <v>282</v>
      </c>
    </row>
    <row r="21" spans="2:4" ht="14.25" customHeight="1">
      <c r="B21" s="26" t="s">
        <v>498</v>
      </c>
      <c r="D21" s="58" t="s">
        <v>283</v>
      </c>
    </row>
    <row r="22" spans="2:4" ht="14.25" customHeight="1">
      <c r="B22" s="26" t="s">
        <v>500</v>
      </c>
      <c r="D22" s="58"/>
    </row>
    <row r="23" spans="2:4" ht="14.25" customHeight="1">
      <c r="B23" s="26" t="s">
        <v>501</v>
      </c>
      <c r="D23" s="25" t="s">
        <v>284</v>
      </c>
    </row>
    <row r="24" spans="2:4" ht="14.25" customHeight="1">
      <c r="B24" s="26" t="s">
        <v>502</v>
      </c>
      <c r="D24" s="58" t="s">
        <v>285</v>
      </c>
    </row>
    <row r="25" spans="2:4" ht="14.25" customHeight="1">
      <c r="B25" s="59" t="s">
        <v>503</v>
      </c>
      <c r="D25" s="59" t="s">
        <v>286</v>
      </c>
    </row>
    <row r="26" spans="2:4" ht="14.25" customHeight="1">
      <c r="B26" s="26" t="s">
        <v>483</v>
      </c>
      <c r="D26" s="58" t="s">
        <v>287</v>
      </c>
    </row>
    <row r="27" spans="2:4" ht="14.25" customHeight="1">
      <c r="B27" s="26" t="s">
        <v>484</v>
      </c>
      <c r="D27" s="58"/>
    </row>
    <row r="28" spans="2:4" ht="14.25" customHeight="1">
      <c r="B28" s="26" t="s">
        <v>504</v>
      </c>
      <c r="D28" s="58"/>
    </row>
    <row r="29" spans="2:4" ht="14.25" customHeight="1">
      <c r="B29" s="26" t="s">
        <v>505</v>
      </c>
      <c r="D29" s="58"/>
    </row>
    <row r="30" spans="2:4" ht="14.25" customHeight="1">
      <c r="B30" s="26"/>
      <c r="D30" s="59" t="s">
        <v>288</v>
      </c>
    </row>
    <row r="31" spans="2:4" ht="14.25" customHeight="1">
      <c r="B31" s="57" t="s">
        <v>289</v>
      </c>
      <c r="D31" s="58" t="s">
        <v>290</v>
      </c>
    </row>
    <row r="32" spans="2:4" ht="14.25" customHeight="1">
      <c r="B32" s="58" t="s">
        <v>507</v>
      </c>
      <c r="D32" s="59" t="s">
        <v>291</v>
      </c>
    </row>
    <row r="33" spans="2:4" ht="14.25" customHeight="1">
      <c r="B33" s="26" t="s">
        <v>506</v>
      </c>
      <c r="D33" s="58" t="s">
        <v>292</v>
      </c>
    </row>
    <row r="34" spans="2:4" ht="14.25" customHeight="1">
      <c r="B34" s="58" t="s">
        <v>293</v>
      </c>
      <c r="D34" s="59" t="s">
        <v>294</v>
      </c>
    </row>
    <row r="35" spans="2:4" ht="14.25" customHeight="1">
      <c r="D35" s="59" t="s">
        <v>295</v>
      </c>
    </row>
    <row r="36" spans="2:4" ht="14.25" customHeight="1">
      <c r="B36" s="57" t="s">
        <v>296</v>
      </c>
    </row>
    <row r="37" spans="2:4" ht="14.25" customHeight="1">
      <c r="B37" s="58" t="s">
        <v>297</v>
      </c>
      <c r="D37" s="57" t="s">
        <v>298</v>
      </c>
    </row>
    <row r="38" spans="2:4" ht="14.25" customHeight="1">
      <c r="B38" s="59" t="s">
        <v>299</v>
      </c>
      <c r="D38" s="58" t="s">
        <v>300</v>
      </c>
    </row>
    <row r="39" spans="2:4" ht="14.25" customHeight="1">
      <c r="B39" s="58" t="s">
        <v>301</v>
      </c>
      <c r="D39" s="59" t="s">
        <v>302</v>
      </c>
    </row>
    <row r="40" spans="2:4" ht="14.25" customHeight="1">
      <c r="B40" s="59" t="s">
        <v>303</v>
      </c>
      <c r="D40" s="58" t="s">
        <v>304</v>
      </c>
    </row>
    <row r="41" spans="2:4" ht="14.25" customHeight="1">
      <c r="D41" s="58" t="s">
        <v>305</v>
      </c>
    </row>
    <row r="42" spans="2:4" ht="14.25" customHeight="1">
      <c r="B42" s="57" t="s">
        <v>306</v>
      </c>
      <c r="D42" s="59" t="s">
        <v>307</v>
      </c>
    </row>
    <row r="43" spans="2:4" ht="14.25" customHeight="1">
      <c r="B43" s="58" t="s">
        <v>308</v>
      </c>
      <c r="D43" s="59" t="s">
        <v>309</v>
      </c>
    </row>
    <row r="44" spans="2:4" ht="14.25" customHeight="1">
      <c r="B44" s="59" t="s">
        <v>310</v>
      </c>
      <c r="D44" s="58" t="s">
        <v>311</v>
      </c>
    </row>
    <row r="45" spans="2:4" ht="14.25" customHeight="1">
      <c r="B45" s="59" t="s">
        <v>312</v>
      </c>
      <c r="D45" s="58" t="s">
        <v>313</v>
      </c>
    </row>
    <row r="46" spans="2:4" ht="14.25" customHeight="1">
      <c r="B46" s="58" t="s">
        <v>314</v>
      </c>
      <c r="D46" s="59" t="s">
        <v>315</v>
      </c>
    </row>
    <row r="47" spans="2:4" ht="14.25" customHeight="1">
      <c r="B47" s="58" t="s">
        <v>316</v>
      </c>
    </row>
    <row r="48" spans="2:4" ht="14.25" customHeight="1">
      <c r="B48" s="59" t="s">
        <v>317</v>
      </c>
      <c r="D48" s="57" t="s">
        <v>318</v>
      </c>
    </row>
    <row r="49" spans="2:4" ht="14.25" customHeight="1">
      <c r="B49" s="59" t="s">
        <v>319</v>
      </c>
      <c r="D49" s="58" t="s">
        <v>320</v>
      </c>
    </row>
    <row r="50" spans="2:4" ht="14.25" customHeight="1">
      <c r="B50" s="58" t="s">
        <v>321</v>
      </c>
      <c r="D50" s="59" t="s">
        <v>322</v>
      </c>
    </row>
    <row r="51" spans="2:4" ht="14.25" customHeight="1">
      <c r="B51" s="59" t="s">
        <v>323</v>
      </c>
      <c r="D51" s="59" t="s">
        <v>324</v>
      </c>
    </row>
    <row r="52" spans="2:4" ht="14.25" customHeight="1">
      <c r="B52" s="58" t="s">
        <v>325</v>
      </c>
      <c r="D52" s="58" t="s">
        <v>326</v>
      </c>
    </row>
    <row r="53" spans="2:4" ht="14.25" customHeight="1">
      <c r="B53" s="59" t="s">
        <v>327</v>
      </c>
      <c r="D53" s="59" t="s">
        <v>328</v>
      </c>
    </row>
    <row r="54" spans="2:4" ht="14.25" customHeight="1">
      <c r="B54" s="59" t="s">
        <v>329</v>
      </c>
      <c r="D54" s="58" t="s">
        <v>330</v>
      </c>
    </row>
    <row r="55" spans="2:4" ht="14.25" customHeight="1">
      <c r="B55" s="58" t="s">
        <v>331</v>
      </c>
      <c r="D55" s="25" t="s">
        <v>332</v>
      </c>
    </row>
    <row r="56" spans="2:4" ht="14.25" customHeight="1">
      <c r="B56" s="59" t="s">
        <v>333</v>
      </c>
      <c r="D56" s="58" t="s">
        <v>334</v>
      </c>
    </row>
    <row r="57" spans="2:4" ht="14.25" customHeight="1">
      <c r="B57" s="58" t="s">
        <v>335</v>
      </c>
      <c r="D57" s="59" t="s">
        <v>336</v>
      </c>
    </row>
    <row r="58" spans="2:4" ht="14.25" customHeight="1">
      <c r="B58" s="61" t="s">
        <v>337</v>
      </c>
      <c r="D58" s="59" t="s">
        <v>338</v>
      </c>
    </row>
    <row r="59" spans="2:4" ht="14.25" customHeight="1">
      <c r="B59" s="58" t="s">
        <v>339</v>
      </c>
      <c r="D59" s="59" t="s">
        <v>340</v>
      </c>
    </row>
    <row r="60" spans="2:4" ht="14.25" customHeight="1">
      <c r="B60" s="59" t="s">
        <v>341</v>
      </c>
      <c r="D60" s="59" t="s">
        <v>342</v>
      </c>
    </row>
    <row r="61" spans="2:4" ht="14.25" customHeight="1">
      <c r="D61" s="25"/>
    </row>
    <row r="62" spans="2:4" ht="14.25" customHeight="1">
      <c r="B62" s="57" t="s">
        <v>343</v>
      </c>
      <c r="D62" s="57" t="s">
        <v>344</v>
      </c>
    </row>
    <row r="63" spans="2:4" ht="14.25" customHeight="1">
      <c r="B63" s="58" t="s">
        <v>345</v>
      </c>
      <c r="D63" s="58" t="s">
        <v>346</v>
      </c>
    </row>
    <row r="64" spans="2:4" ht="14.25" customHeight="1">
      <c r="B64" s="58" t="s">
        <v>347</v>
      </c>
      <c r="D64" s="59" t="s">
        <v>348</v>
      </c>
    </row>
    <row r="65" spans="2:4" ht="14.25" customHeight="1">
      <c r="B65" s="59" t="s">
        <v>349</v>
      </c>
      <c r="D65" s="58" t="s">
        <v>350</v>
      </c>
    </row>
    <row r="66" spans="2:4" ht="14.25" customHeight="1">
      <c r="B66" s="58" t="s">
        <v>351</v>
      </c>
      <c r="D66" s="59" t="s">
        <v>352</v>
      </c>
    </row>
    <row r="67" spans="2:4" ht="14.25" customHeight="1">
      <c r="B67" s="59" t="s">
        <v>353</v>
      </c>
      <c r="D67" s="58" t="s">
        <v>354</v>
      </c>
    </row>
    <row r="68" spans="2:4" ht="14.25" customHeight="1">
      <c r="B68" s="25"/>
      <c r="D68" s="59" t="s">
        <v>355</v>
      </c>
    </row>
    <row r="69" spans="2:4" ht="14.25" customHeight="1">
      <c r="B69" s="57" t="s">
        <v>356</v>
      </c>
      <c r="D69" s="58" t="s">
        <v>357</v>
      </c>
    </row>
    <row r="70" spans="2:4" ht="14.25" customHeight="1">
      <c r="B70" s="58" t="s">
        <v>358</v>
      </c>
      <c r="D70" s="58" t="s">
        <v>359</v>
      </c>
    </row>
    <row r="71" spans="2:4" ht="14.25" customHeight="1">
      <c r="B71" s="59" t="s">
        <v>360</v>
      </c>
      <c r="D71" s="25"/>
    </row>
    <row r="72" spans="2:4" ht="14.25" customHeight="1">
      <c r="B72" s="61" t="s">
        <v>361</v>
      </c>
      <c r="D72" s="58" t="s">
        <v>362</v>
      </c>
    </row>
    <row r="73" spans="2:4" ht="14.25" customHeight="1">
      <c r="D73" s="59" t="s">
        <v>363</v>
      </c>
    </row>
    <row r="74" spans="2:4" ht="14.25" customHeight="1">
      <c r="B74" s="57" t="s">
        <v>364</v>
      </c>
      <c r="D74" s="58" t="s">
        <v>365</v>
      </c>
    </row>
    <row r="75" spans="2:4" ht="14.25" customHeight="1">
      <c r="B75" s="58" t="s">
        <v>366</v>
      </c>
      <c r="D75" s="58" t="s">
        <v>367</v>
      </c>
    </row>
    <row r="76" spans="2:4" ht="14.25" customHeight="1">
      <c r="B76" s="59" t="s">
        <v>368</v>
      </c>
      <c r="D76" s="25"/>
    </row>
    <row r="77" spans="2:4" ht="14.25" customHeight="1">
      <c r="B77" s="58" t="s">
        <v>369</v>
      </c>
      <c r="D77" s="60" t="s">
        <v>370</v>
      </c>
    </row>
    <row r="78" spans="2:4" ht="14.25" customHeight="1">
      <c r="B78" s="59" t="s">
        <v>371</v>
      </c>
      <c r="D78" s="58" t="s">
        <v>372</v>
      </c>
    </row>
    <row r="79" spans="2:4" ht="14.25" customHeight="1">
      <c r="B79" s="59" t="s">
        <v>373</v>
      </c>
      <c r="D79" s="25" t="s">
        <v>374</v>
      </c>
    </row>
    <row r="80" spans="2:4" ht="14.25" customHeight="1">
      <c r="B80" s="58" t="s">
        <v>375</v>
      </c>
      <c r="D80" s="58" t="s">
        <v>376</v>
      </c>
    </row>
    <row r="81" spans="2:4" ht="14.25" customHeight="1">
      <c r="B81" s="58" t="s">
        <v>377</v>
      </c>
      <c r="D81" s="59" t="s">
        <v>378</v>
      </c>
    </row>
    <row r="82" spans="2:4" ht="14.25" customHeight="1">
      <c r="B82" s="59" t="s">
        <v>379</v>
      </c>
      <c r="D82" s="58" t="s">
        <v>380</v>
      </c>
    </row>
    <row r="83" spans="2:4" ht="14.25" customHeight="1">
      <c r="D83" s="59" t="s">
        <v>381</v>
      </c>
    </row>
    <row r="84" spans="2:4" ht="14.25" customHeight="1">
      <c r="B84" s="57" t="s">
        <v>382</v>
      </c>
      <c r="D84" s="59" t="s">
        <v>383</v>
      </c>
    </row>
    <row r="85" spans="2:4" ht="14.25" customHeight="1">
      <c r="B85" s="58" t="s">
        <v>384</v>
      </c>
      <c r="D85" s="58" t="s">
        <v>385</v>
      </c>
    </row>
    <row r="86" spans="2:4" ht="14.25" customHeight="1">
      <c r="B86" s="58" t="s">
        <v>386</v>
      </c>
      <c r="D86" s="59" t="s">
        <v>387</v>
      </c>
    </row>
    <row r="87" spans="2:4" ht="14.25" customHeight="1">
      <c r="B87" s="59" t="s">
        <v>388</v>
      </c>
      <c r="D87" s="59" t="s">
        <v>389</v>
      </c>
    </row>
    <row r="88" spans="2:4" ht="14.25" customHeight="1">
      <c r="B88" s="58" t="s">
        <v>390</v>
      </c>
      <c r="D88" s="58" t="s">
        <v>391</v>
      </c>
    </row>
    <row r="89" spans="2:4" ht="14.25" customHeight="1">
      <c r="B89" s="59" t="s">
        <v>392</v>
      </c>
      <c r="D89" s="59" t="s">
        <v>393</v>
      </c>
    </row>
    <row r="90" spans="2:4" ht="14.25" customHeight="1">
      <c r="B90" s="59" t="s">
        <v>394</v>
      </c>
      <c r="D90" s="59" t="s">
        <v>395</v>
      </c>
    </row>
    <row r="91" spans="2:4" ht="14.25" customHeight="1">
      <c r="B91" s="58" t="s">
        <v>396</v>
      </c>
      <c r="D91" s="58" t="s">
        <v>397</v>
      </c>
    </row>
    <row r="92" spans="2:4" ht="14.25" customHeight="1">
      <c r="B92" s="59" t="s">
        <v>398</v>
      </c>
      <c r="D92" s="59" t="s">
        <v>399</v>
      </c>
    </row>
    <row r="93" spans="2:4" ht="14.25" customHeight="1">
      <c r="B93" s="25"/>
      <c r="D93" s="59" t="s">
        <v>400</v>
      </c>
    </row>
    <row r="94" spans="2:4" ht="14.25" customHeight="1">
      <c r="B94" s="57" t="s">
        <v>401</v>
      </c>
      <c r="D94" s="25"/>
    </row>
    <row r="95" spans="2:4" ht="14.25" customHeight="1">
      <c r="B95" s="59" t="s">
        <v>402</v>
      </c>
      <c r="D95" s="60" t="s">
        <v>403</v>
      </c>
    </row>
    <row r="96" spans="2:4" ht="14.25" customHeight="1">
      <c r="B96" s="59" t="s">
        <v>404</v>
      </c>
      <c r="D96" s="58" t="s">
        <v>405</v>
      </c>
    </row>
    <row r="97" spans="2:4" ht="14.25" customHeight="1">
      <c r="B97" s="59" t="s">
        <v>406</v>
      </c>
      <c r="D97" s="58" t="s">
        <v>407</v>
      </c>
    </row>
    <row r="98" spans="2:4" ht="14.25" customHeight="1">
      <c r="B98" s="59" t="s">
        <v>408</v>
      </c>
      <c r="D98" s="59" t="s">
        <v>409</v>
      </c>
    </row>
    <row r="99" spans="2:4" ht="14.25" customHeight="1">
      <c r="B99" s="59" t="s">
        <v>410</v>
      </c>
      <c r="D99" s="58" t="s">
        <v>411</v>
      </c>
    </row>
    <row r="100" spans="2:4" ht="14.25" customHeight="1">
      <c r="B100" s="25"/>
      <c r="D100" s="59" t="s">
        <v>412</v>
      </c>
    </row>
    <row r="101" spans="2:4" ht="14.25" customHeight="1">
      <c r="B101" s="57" t="s">
        <v>413</v>
      </c>
    </row>
    <row r="102" spans="2:4" ht="14.25" customHeight="1">
      <c r="B102" s="58" t="s">
        <v>414</v>
      </c>
      <c r="D102" s="60" t="s">
        <v>415</v>
      </c>
    </row>
    <row r="103" spans="2:4" ht="14.25" customHeight="1">
      <c r="B103" s="59" t="s">
        <v>416</v>
      </c>
      <c r="D103" s="58" t="s">
        <v>417</v>
      </c>
    </row>
    <row r="104" spans="2:4" ht="14.25" customHeight="1">
      <c r="B104" s="59" t="s">
        <v>418</v>
      </c>
      <c r="D104" s="59" t="s">
        <v>419</v>
      </c>
    </row>
    <row r="105" spans="2:4" ht="14.25" customHeight="1">
      <c r="B105" s="58" t="s">
        <v>420</v>
      </c>
      <c r="D105" s="58" t="s">
        <v>421</v>
      </c>
    </row>
    <row r="106" spans="2:4" ht="14.25" customHeight="1">
      <c r="B106" s="59" t="s">
        <v>422</v>
      </c>
      <c r="D106" s="58" t="s">
        <v>423</v>
      </c>
    </row>
    <row r="107" spans="2:4" ht="14.25" customHeight="1">
      <c r="B107" s="58" t="s">
        <v>424</v>
      </c>
      <c r="D107" s="25" t="s">
        <v>425</v>
      </c>
    </row>
    <row r="108" spans="2:4" ht="14.25" customHeight="1">
      <c r="B108" s="59" t="s">
        <v>426</v>
      </c>
    </row>
    <row r="109" spans="2:4" ht="14.25" customHeight="1">
      <c r="B109" s="25"/>
      <c r="D109" s="60" t="s">
        <v>427</v>
      </c>
    </row>
    <row r="110" spans="2:4" ht="14.25" customHeight="1">
      <c r="B110" s="57" t="s">
        <v>428</v>
      </c>
      <c r="D110" s="58" t="s">
        <v>429</v>
      </c>
    </row>
    <row r="111" spans="2:4" ht="14.25" customHeight="1">
      <c r="B111" s="58" t="s">
        <v>430</v>
      </c>
      <c r="D111" s="59" t="s">
        <v>431</v>
      </c>
    </row>
    <row r="112" spans="2:4" ht="14.25" customHeight="1">
      <c r="B112" s="59" t="s">
        <v>432</v>
      </c>
      <c r="D112" s="58" t="s">
        <v>433</v>
      </c>
    </row>
    <row r="113" spans="2:4" ht="14.25" customHeight="1">
      <c r="B113" s="58" t="s">
        <v>434</v>
      </c>
      <c r="D113" s="58" t="s">
        <v>435</v>
      </c>
    </row>
    <row r="114" spans="2:4" ht="14.25" customHeight="1">
      <c r="B114" s="59" t="s">
        <v>436</v>
      </c>
      <c r="D114" s="59" t="s">
        <v>437</v>
      </c>
    </row>
    <row r="115" spans="2:4" ht="14.25" customHeight="1">
      <c r="B115" s="58" t="s">
        <v>438</v>
      </c>
      <c r="D115" s="58" t="s">
        <v>439</v>
      </c>
    </row>
    <row r="116" spans="2:4" ht="14.25" customHeight="1">
      <c r="B116" s="59" t="s">
        <v>440</v>
      </c>
    </row>
    <row r="117" spans="2:4" ht="14.25" customHeight="1">
      <c r="B117" s="58" t="s">
        <v>441</v>
      </c>
      <c r="D117" s="60" t="s">
        <v>442</v>
      </c>
    </row>
    <row r="118" spans="2:4" ht="14.25" customHeight="1">
      <c r="B118" s="59" t="s">
        <v>443</v>
      </c>
      <c r="D118" s="58" t="s">
        <v>444</v>
      </c>
    </row>
    <row r="119" spans="2:4" ht="14.25" customHeight="1">
      <c r="B119" s="25"/>
      <c r="D119" s="59" t="s">
        <v>445</v>
      </c>
    </row>
    <row r="120" spans="2:4" ht="14.25" customHeight="1">
      <c r="B120" s="60" t="s">
        <v>446</v>
      </c>
      <c r="D120" s="58" t="s">
        <v>447</v>
      </c>
    </row>
    <row r="121" spans="2:4" ht="14.25" customHeight="1">
      <c r="B121" s="59" t="s">
        <v>448</v>
      </c>
      <c r="D121" s="59" t="s">
        <v>449</v>
      </c>
    </row>
    <row r="122" spans="2:4" ht="14.25" customHeight="1">
      <c r="B122" s="59" t="s">
        <v>450</v>
      </c>
      <c r="D122" s="25"/>
    </row>
    <row r="123" spans="2:4" ht="14.25" customHeight="1">
      <c r="B123" s="59" t="s">
        <v>451</v>
      </c>
      <c r="D123" s="60" t="s">
        <v>452</v>
      </c>
    </row>
    <row r="124" spans="2:4" ht="14.25" customHeight="1">
      <c r="B124" s="59" t="s">
        <v>453</v>
      </c>
      <c r="D124" s="59" t="s">
        <v>454</v>
      </c>
    </row>
    <row r="125" spans="2:4" ht="14.25" customHeight="1">
      <c r="B125" s="59" t="s">
        <v>455</v>
      </c>
    </row>
    <row r="126" spans="2:4" ht="14.25" customHeight="1">
      <c r="B126" s="26" t="s">
        <v>456</v>
      </c>
      <c r="D126" s="60" t="s">
        <v>457</v>
      </c>
    </row>
    <row r="127" spans="2:4" ht="14.25" customHeight="1">
      <c r="B127" s="59" t="s">
        <v>458</v>
      </c>
      <c r="C127" s="62"/>
      <c r="D127" s="59" t="s">
        <v>459</v>
      </c>
    </row>
    <row r="128" spans="2:4" ht="14.25" customHeight="1">
      <c r="B128" s="63"/>
      <c r="C128" s="63"/>
      <c r="D128" s="59" t="s">
        <v>460</v>
      </c>
    </row>
    <row r="129" spans="2:4" ht="14.25" customHeight="1">
      <c r="B129" s="57" t="s">
        <v>461</v>
      </c>
      <c r="D129" s="64"/>
    </row>
    <row r="130" spans="2:4" ht="14.25" customHeight="1">
      <c r="B130" s="58" t="s">
        <v>462</v>
      </c>
      <c r="D130" s="60" t="s">
        <v>463</v>
      </c>
    </row>
    <row r="131" spans="2:4" ht="14.25" customHeight="1">
      <c r="B131" s="59" t="s">
        <v>464</v>
      </c>
      <c r="D131" s="59" t="s">
        <v>465</v>
      </c>
    </row>
    <row r="132" spans="2:4" ht="14.25" customHeight="1">
      <c r="B132" s="58" t="s">
        <v>466</v>
      </c>
      <c r="D132" s="59" t="s">
        <v>467</v>
      </c>
    </row>
    <row r="133" spans="2:4" ht="14.25" customHeight="1">
      <c r="B133" s="58" t="s">
        <v>468</v>
      </c>
      <c r="D133" s="59" t="s">
        <v>469</v>
      </c>
    </row>
    <row r="134" spans="2:4">
      <c r="B134" s="59" t="s">
        <v>470</v>
      </c>
      <c r="D134" s="58" t="s">
        <v>471</v>
      </c>
    </row>
    <row r="135" spans="2:4">
      <c r="D135" s="58" t="s">
        <v>472</v>
      </c>
    </row>
    <row r="136" spans="2:4">
      <c r="B136" s="60" t="s">
        <v>473</v>
      </c>
      <c r="D136" s="58" t="s">
        <v>474</v>
      </c>
    </row>
    <row r="137" spans="2:4">
      <c r="B137" s="58" t="s">
        <v>475</v>
      </c>
      <c r="D137" s="58" t="s">
        <v>476</v>
      </c>
    </row>
    <row r="138" spans="2:4">
      <c r="B138" s="59" t="s">
        <v>477</v>
      </c>
      <c r="D138" s="59" t="s">
        <v>478</v>
      </c>
    </row>
    <row r="139" spans="2:4" ht="14.25" customHeight="1"/>
    <row r="140" spans="2:4" ht="14.25" customHeight="1"/>
    <row r="141" spans="2:4" ht="14.25" customHeight="1">
      <c r="B141" s="65" t="s">
        <v>479</v>
      </c>
      <c r="C141" s="66"/>
      <c r="D141" s="66"/>
    </row>
    <row r="142" spans="2:4" ht="14.25" customHeight="1">
      <c r="B142" s="67" t="str">
        <f>"계약자             "&amp;[1]계약서!C10&amp;"                       서명 또는 인"</f>
        <v>계약자             홍길동                       서명 또는 인</v>
      </c>
      <c r="D142" s="67" t="str">
        <f>"연대보증인                 "&amp;[1]계약서!C15&amp;"                 서명 또는 인"</f>
        <v>연대보증인                 (주)퀵배달                 서명 또는 인</v>
      </c>
    </row>
    <row r="143" spans="2:4" s="69" customFormat="1" ht="14.25" customHeight="1">
      <c r="B143" s="67"/>
      <c r="C143" s="68"/>
      <c r="D143" s="67"/>
    </row>
    <row r="144" spans="2:4" ht="14.25" customHeight="1">
      <c r="D144" s="25"/>
    </row>
    <row r="145" spans="4:4" ht="14.25" customHeight="1">
      <c r="D145" s="25"/>
    </row>
    <row r="146" spans="4:4" ht="14.25" customHeight="1">
      <c r="D146" s="25"/>
    </row>
    <row r="147" spans="4:4" ht="14.25" customHeight="1">
      <c r="D147" s="25"/>
    </row>
    <row r="148" spans="4:4" ht="14.25" customHeight="1">
      <c r="D148" s="25"/>
    </row>
    <row r="149" spans="4:4" ht="14.25" customHeight="1"/>
    <row r="150" spans="4:4" ht="14.25" customHeight="1">
      <c r="D150" s="64"/>
    </row>
    <row r="151" spans="4:4" ht="14.25" customHeight="1">
      <c r="D151" s="70"/>
    </row>
    <row r="152" spans="4:4" ht="14.25" customHeight="1">
      <c r="D152" s="25"/>
    </row>
    <row r="153" spans="4:4" ht="48" customHeight="1">
      <c r="D153" s="25"/>
    </row>
    <row r="154" spans="4:4" ht="31.5" customHeight="1">
      <c r="D154" s="25"/>
    </row>
    <row r="156" spans="4:4" ht="21.75" customHeight="1">
      <c r="D156" s="64"/>
    </row>
    <row r="157" spans="4:4" ht="15.75" customHeight="1">
      <c r="D157" s="25"/>
    </row>
    <row r="158" spans="4:4" ht="31.5" customHeight="1">
      <c r="D158" s="25"/>
    </row>
    <row r="159" spans="4:4" ht="31.5" customHeight="1">
      <c r="D159" s="25"/>
    </row>
    <row r="160" spans="4:4">
      <c r="D160" s="25"/>
    </row>
    <row r="161" spans="4:4" ht="21.75" customHeight="1">
      <c r="D161" s="25"/>
    </row>
    <row r="162" spans="4:4" ht="31.5" customHeight="1">
      <c r="D162" s="25"/>
    </row>
    <row r="163" spans="4:4" ht="31.5" customHeight="1">
      <c r="D163" s="25"/>
    </row>
    <row r="164" spans="4:4" ht="31.5" customHeight="1">
      <c r="D164" s="25"/>
    </row>
    <row r="166" spans="4:4" ht="21.75" customHeight="1"/>
    <row r="167" spans="4:4" ht="31.5" customHeight="1"/>
    <row r="168" spans="4:4" ht="31.5" customHeight="1">
      <c r="D168" s="62"/>
    </row>
    <row r="169" spans="4:4" ht="31.5" customHeight="1">
      <c r="D169" s="63"/>
    </row>
    <row r="170" spans="4:4" ht="15.75" customHeight="1"/>
    <row r="172" spans="4:4" ht="21.75" customHeight="1"/>
    <row r="173" spans="4:4" ht="31.5" customHeight="1"/>
    <row r="174" spans="4:4" ht="31.5" customHeight="1"/>
    <row r="176" spans="4:4" ht="21.75" customHeight="1"/>
    <row r="177" ht="15.75" customHeight="1"/>
    <row r="179" ht="21.75" customHeight="1"/>
    <row r="180" ht="31.5" customHeight="1"/>
    <row r="184" ht="21.75" customHeight="1"/>
    <row r="185" ht="15.75" customHeight="1"/>
    <row r="186" ht="15.75" customHeight="1"/>
    <row r="187" ht="15.75" customHeight="1"/>
    <row r="188" ht="15.75" customHeight="1"/>
    <row r="190" ht="21.75" customHeight="1"/>
    <row r="191" ht="48" customHeight="1"/>
    <row r="192" ht="48" customHeight="1"/>
    <row r="193" ht="48" customHeight="1"/>
    <row r="194" ht="31.5" customHeight="1"/>
    <row r="195" ht="31.5" customHeight="1"/>
    <row r="196" ht="31.5" customHeight="1"/>
    <row r="197" ht="31.5" customHeight="1"/>
    <row r="198" ht="15.75" customHeight="1"/>
    <row r="201" ht="21.75" customHeight="1"/>
    <row r="202" ht="31.5" customHeight="1"/>
  </sheetData>
  <mergeCells count="2">
    <mergeCell ref="B1:D1"/>
    <mergeCell ref="B141:D141"/>
  </mergeCells>
  <phoneticPr fontId="33" type="noConversion"/>
  <pageMargins left="0.3" right="0.3" top="0.4" bottom="0.4" header="0.511811023622047" footer="0.511811023622047"/>
  <pageSetup paperSize="9" scale="74" fitToHeight="0" orientation="portrait" horizontalDpi="300" verticalDpi="300" r:id="rId1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계약리스트</vt:lpstr>
      <vt:lpstr>계약서</vt:lpstr>
      <vt:lpstr>이용약관</vt:lpstr>
      <vt:lpstr>이용약관 (2)</vt:lpstr>
      <vt:lpstr>계약서!Print_Area</vt:lpstr>
      <vt:lpstr>'이용약관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유주 박</cp:lastModifiedBy>
  <cp:revision>0</cp:revision>
  <cp:lastPrinted>2026-04-27T05:32:19Z</cp:lastPrinted>
  <dcterms:created xsi:type="dcterms:W3CDTF">2026-04-27T04:32:15Z</dcterms:created>
  <dcterms:modified xsi:type="dcterms:W3CDTF">2026-04-27T06:09:56Z</dcterms:modified>
  <dc:language>en-US</dc:language>
</cp:coreProperties>
</file>