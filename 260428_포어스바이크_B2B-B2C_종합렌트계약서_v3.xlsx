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500" firstSheet="0" activeTab="2" autoFilterDateGrouping="1"/>
  </bookViews>
  <sheets>
    <sheet xmlns:r="http://schemas.openxmlformats.org/officeDocument/2006/relationships" name="계약리스트" sheetId="1" state="visible" r:id="rId1"/>
    <sheet xmlns:r="http://schemas.openxmlformats.org/officeDocument/2006/relationships" name="계약서" sheetId="2" state="visible" r:id="rId2"/>
    <sheet xmlns:r="http://schemas.openxmlformats.org/officeDocument/2006/relationships" name="이용약관" sheetId="3" state="visible" r:id="rId3"/>
  </sheets>
  <externalReferences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</externalReferences>
  <definedNames>
    <definedName name="_xlnm.Print_Area" localSheetId="1">'계약서'!$A$1:$K$52</definedName>
    <definedName name="_xlnm.Print_Area" localSheetId="2">'이용약관'!$A$1:$D$144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9">
    <font>
      <name val="Calibri"/>
      <charset val="1"/>
      <family val="2"/>
      <color theme="1"/>
      <sz val="11"/>
    </font>
    <font>
      <name val="DejaVu Sans"/>
      <family val="2"/>
      <b val="1"/>
      <color rgb="FFFFFFFF"/>
      <sz val="9"/>
    </font>
    <font>
      <name val="맑은 고딕"/>
      <charset val="129"/>
      <family val="3"/>
      <color rgb="FF000000"/>
      <sz val="10"/>
    </font>
    <font>
      <name val="DejaVu Sans"/>
      <family val="2"/>
      <color rgb="FF000000"/>
      <sz val="10"/>
    </font>
    <font>
      <name val="맑은 고딕"/>
      <charset val="129"/>
      <family val="3"/>
      <sz val="10"/>
    </font>
    <font>
      <name val="DejaVu Sans"/>
      <family val="2"/>
      <i val="1"/>
      <color rgb="FF808080"/>
      <sz val="8"/>
    </font>
    <font>
      <name val="DejaVu Sans"/>
      <family val="2"/>
      <b val="1"/>
      <color rgb="FFFFFFFF"/>
      <sz val="18"/>
    </font>
    <font>
      <name val="맑은 고딕"/>
      <charset val="129"/>
      <family val="3"/>
      <b val="1"/>
      <color rgb="FFC00000"/>
      <sz val="12"/>
    </font>
    <font>
      <name val="DejaVu Sans"/>
      <family val="2"/>
      <b val="1"/>
      <color rgb="FF1F4E89"/>
      <sz val="10"/>
    </font>
    <font>
      <name val="DejaVu Sans"/>
      <family val="2"/>
      <b val="1"/>
      <color rgb="FF1F3864"/>
      <sz val="9"/>
    </font>
    <font>
      <name val="맑은 고딕"/>
      <charset val="129"/>
      <family val="3"/>
      <b val="1"/>
      <color rgb="FFC00000"/>
      <sz val="11"/>
    </font>
    <font>
      <name val="DejaVu Sans"/>
      <family val="2"/>
      <b val="1"/>
      <color rgb="FFFFFFFF"/>
      <sz val="11"/>
    </font>
    <font>
      <name val="DejaVu Sans"/>
      <family val="2"/>
      <b val="1"/>
      <color rgb="FFC00000"/>
      <sz val="9"/>
    </font>
    <font>
      <name val="DejaVu Sans"/>
      <family val="2"/>
      <b val="1"/>
      <color rgb="FFC00000"/>
      <sz val="10"/>
    </font>
    <font>
      <name val="DejaVu Sans"/>
      <family val="2"/>
      <b val="1"/>
      <color rgb="FFC00000"/>
      <sz val="8"/>
    </font>
    <font>
      <name val="맑은 고딕"/>
      <charset val="129"/>
      <family val="3"/>
      <b val="1"/>
      <color rgb="FFC00000"/>
      <sz val="8"/>
    </font>
    <font>
      <name val="맑은 고딕"/>
      <charset val="129"/>
      <family val="3"/>
      <b val="1"/>
      <color rgb="FFFFFFFF"/>
      <sz val="11"/>
    </font>
    <font>
      <name val="DejaVu Sans"/>
      <family val="2"/>
      <i val="1"/>
      <color rgb="FF595959"/>
      <sz val="8"/>
    </font>
    <font>
      <name val="맑은 고딕"/>
      <charset val="129"/>
      <family val="3"/>
      <b val="1"/>
      <color rgb="FF1F3864"/>
      <sz val="9"/>
    </font>
    <font>
      <name val="맑은 고딕"/>
      <charset val="129"/>
      <family val="3"/>
      <b val="1"/>
      <color rgb="FFC00000"/>
      <sz val="9"/>
    </font>
    <font>
      <name val="DejaVu Sans"/>
      <family val="2"/>
      <color rgb="FF404040"/>
      <sz val="8"/>
    </font>
    <font>
      <name val="맑은 고딕"/>
      <charset val="129"/>
      <family val="3"/>
      <color rgb="FF404040"/>
      <sz val="8"/>
    </font>
    <font>
      <name val="DejaVu Sans"/>
      <family val="2"/>
      <color rgb="FF000000"/>
      <sz val="9"/>
    </font>
    <font>
      <name val="맑은 고딕"/>
      <charset val="129"/>
      <family val="3"/>
      <color rgb="FF000000"/>
      <sz val="9"/>
    </font>
    <font>
      <name val="맑은 고딕"/>
      <charset val="129"/>
      <family val="3"/>
      <b val="1"/>
      <color rgb="FFFFFFFF"/>
      <sz val="14"/>
    </font>
    <font>
      <name val="DejaVu Sans"/>
      <family val="2"/>
      <b val="1"/>
      <color rgb="FF1F4E89"/>
      <sz val="9"/>
    </font>
    <font>
      <name val="맑은 고딕"/>
      <charset val="129"/>
      <family val="3"/>
      <b val="1"/>
      <color rgb="FF1F4E89"/>
      <sz val="9"/>
    </font>
    <font>
      <name val="DejaVu Sans"/>
      <family val="2"/>
      <color rgb="FF2B2B2B"/>
      <sz val="8"/>
    </font>
    <font>
      <name val="맑은 고딕"/>
      <charset val="129"/>
      <family val="3"/>
      <color rgb="FF2B2B2B"/>
      <sz val="8"/>
    </font>
    <font>
      <name val="돋움"/>
      <charset val="129"/>
      <family val="3"/>
      <sz val="8"/>
    </font>
    <font>
      <name val="DejaVu Sans"/>
      <family val="1"/>
      <color rgb="FF2B2B2B"/>
      <sz val="8"/>
    </font>
    <font>
      <name val="Segoe UI Symbol"/>
      <family val="1"/>
      <color rgb="FF2B2B2B"/>
      <sz val="8"/>
    </font>
    <font>
      <name val="DejaVu Sans"/>
      <charset val="129"/>
      <family val="3"/>
      <color rgb="FF2B2B2B"/>
      <sz val="8"/>
    </font>
    <font>
      <name val="Arial"/>
      <family val="2"/>
      <color rgb="FF2B2B2B"/>
      <sz val="8"/>
    </font>
    <font>
      <name val="DejaVu Sans"/>
      <charset val="129"/>
      <family val="3"/>
      <b val="1"/>
      <color rgb="FF1F3864"/>
      <sz val="9"/>
    </font>
    <font>
      <name val="Arial"/>
      <family val="2"/>
      <b val="1"/>
      <color rgb="FF1F3864"/>
      <sz val="9"/>
    </font>
    <font>
      <name val="DejaVu Sans"/>
      <charset val="129"/>
      <family val="1"/>
      <color rgb="FF2B2B2B"/>
      <sz val="8"/>
    </font>
    <font>
      <name val="DejaVu Sans"/>
      <charset val="1"/>
      <family val="2"/>
      <b val="1"/>
      <color rgb="FF1F3864"/>
      <sz val="10"/>
    </font>
    <font>
      <name val="DejaVu Sans"/>
      <charset val="1"/>
      <family val="2"/>
      <sz val="10"/>
    </font>
    <font>
      <name val="DejaVu Sans"/>
      <family val="2"/>
      <b val="1"/>
      <sz val="10"/>
    </font>
    <font>
      <name val="Calibri"/>
      <charset val="1"/>
      <family val="2"/>
      <color theme="1"/>
      <sz val="10"/>
    </font>
    <font>
      <name val="Segoe UI Symbol"/>
      <family val="3"/>
      <color rgb="FF2B2B2B"/>
      <sz val="8"/>
    </font>
    <font>
      <name val="DejaVu Sans"/>
      <charset val="129"/>
      <family val="2"/>
      <color rgb="FF2B2B2B"/>
      <sz val="8"/>
    </font>
    <font>
      <name val="Segoe UI Symbol"/>
      <family val="2"/>
      <color rgb="FF2B2B2B"/>
      <sz val="8"/>
    </font>
    <font>
      <name val="맑은 고딕"/>
      <charset val="129"/>
      <family val="1"/>
      <color rgb="FF2B2B2B"/>
      <sz val="8"/>
    </font>
    <font>
      <name val="DejaVu Sans"/>
      <family val="3"/>
      <color rgb="FF2B2B2B"/>
      <sz val="8"/>
    </font>
    <font>
      <name val="맑은 고딕"/>
      <charset val="129"/>
      <family val="3"/>
      <color rgb="FFC00000"/>
      <sz val="8"/>
    </font>
    <font>
      <name val="Segoe UI Symbol"/>
      <family val="2"/>
      <b val="1"/>
      <color rgb="FFFFFFFF"/>
      <sz val="11"/>
    </font>
    <font>
      <name val="Arial"/>
      <family val="2"/>
      <b val="1"/>
      <color rgb="FF1F4E89"/>
      <sz val="9"/>
    </font>
    <font>
      <name val="DejaVu Sans"/>
      <charset val="129"/>
      <family val="3"/>
      <b val="1"/>
      <color rgb="FF1F4E89"/>
      <sz val="9"/>
    </font>
    <font>
      <name val="Arial"/>
      <family val="2"/>
      <color rgb="FF000000"/>
      <sz val="10"/>
    </font>
    <font>
      <name val="DejaVu Sans"/>
      <charset val="129"/>
      <family val="3"/>
      <color rgb="FF000000"/>
      <sz val="10"/>
    </font>
    <font>
      <name val="Arial"/>
      <family val="2"/>
      <b val="1"/>
      <color rgb="FFFFFFFF"/>
      <sz val="11"/>
    </font>
    <font>
      <name val="Arial"/>
      <family val="2"/>
      <color rgb="FF404040"/>
      <sz val="8"/>
    </font>
    <font>
      <name val="DejaVu Sans"/>
      <charset val="129"/>
      <family val="3"/>
      <color rgb="FF404040"/>
      <sz val="8"/>
    </font>
    <font>
      <name val="DejaVu Sans"/>
      <charset val="129"/>
      <family val="3"/>
      <i val="1"/>
      <color rgb="FF595959"/>
      <sz val="8"/>
    </font>
    <font>
      <name val="맑은 고딕"/>
      <charset val="129"/>
      <family val="3"/>
      <b val="1"/>
      <color rgb="FFFFFFFF"/>
      <sz val="18"/>
    </font>
    <font>
      <name val="Arial"/>
      <family val="2"/>
      <b val="1"/>
      <color rgb="FFFFFFFF"/>
      <sz val="18"/>
    </font>
    <font>
      <name val="DejaVu Sans"/>
      <charset val="129"/>
      <family val="3"/>
      <b val="1"/>
      <color rgb="FFFFFFFF"/>
      <sz val="18"/>
    </font>
    <font>
      <name val="Arial"/>
      <family val="2"/>
      <color rgb="FF000000"/>
      <sz val="9"/>
    </font>
    <font>
      <name val="DejaVu Sans"/>
      <charset val="129"/>
      <family val="3"/>
      <color rgb="FF000000"/>
      <sz val="9"/>
    </font>
    <font>
      <name val="맑은 고딕"/>
      <charset val="129"/>
      <family val="3"/>
      <color theme="1"/>
      <sz val="8"/>
    </font>
    <font>
      <name val="Segoe UI Symbol"/>
      <family val="1"/>
      <color theme="1"/>
      <sz val="8"/>
    </font>
    <font>
      <name val="Arial"/>
      <family val="2"/>
      <color theme="1"/>
      <sz val="8"/>
    </font>
    <font>
      <name val="DejaVu Sans"/>
      <charset val="129"/>
      <family val="1"/>
      <color theme="1"/>
      <sz val="8"/>
    </font>
    <font>
      <name val="DejaVu Sans"/>
      <charset val="129"/>
      <family val="3"/>
      <color theme="1"/>
      <sz val="8"/>
    </font>
    <font>
      <name val="맑은 고딕"/>
      <charset val="129"/>
      <family val="2"/>
      <color theme="1"/>
      <sz val="8"/>
    </font>
    <font>
      <name val="DejaVu Sans"/>
      <charset val="1"/>
      <family val="2"/>
      <i val="1"/>
      <color rgb="FF595959"/>
      <sz val="8"/>
    </font>
    <font>
      <name val="DejaVu Sans"/>
      <charset val="1"/>
      <family val="2"/>
      <b val="1"/>
      <color rgb="FF1F3864"/>
      <sz val="9"/>
    </font>
  </fonts>
  <fills count="15">
    <fill>
      <patternFill/>
    </fill>
    <fill>
      <patternFill patternType="gray125"/>
    </fill>
    <fill>
      <patternFill patternType="solid">
        <fgColor rgb="FF1F4E89"/>
        <bgColor rgb="FF1F3864"/>
      </patternFill>
    </fill>
    <fill>
      <patternFill patternType="solid">
        <fgColor rgb="FF0E2E5C"/>
        <bgColor rgb="FF1F3864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7F9FC"/>
      </patternFill>
    </fill>
    <fill>
      <patternFill patternType="solid">
        <fgColor rgb="FFE8EEF7"/>
        <bgColor rgb="FFF7F9FC"/>
      </patternFill>
    </fill>
    <fill>
      <patternFill patternType="solid">
        <fgColor rgb="FFFBE5E5"/>
        <bgColor rgb="FFFFF4E3"/>
      </patternFill>
    </fill>
    <fill>
      <patternFill patternType="solid">
        <fgColor rgb="FFFFF4E3"/>
        <bgColor rgb="FFFFF2CC"/>
      </patternFill>
    </fill>
    <fill>
      <patternFill patternType="solid">
        <fgColor rgb="FFB22222"/>
        <bgColor rgb="FF993366"/>
      </patternFill>
    </fill>
    <fill>
      <patternFill patternType="solid">
        <fgColor rgb="FFF7F9FC"/>
        <bgColor rgb="FFFFFFFF"/>
      </patternFill>
    </fill>
    <fill>
      <patternFill patternType="solid">
        <fgColor rgb="FF1F3864"/>
        <bgColor rgb="FF2B2B2B"/>
      </patternFill>
    </fill>
    <fill>
      <patternFill patternType="solid">
        <fgColor rgb="FFEAF0F8"/>
        <bgColor rgb="FFF7F9FC"/>
      </patternFill>
    </fill>
    <fill>
      <patternFill patternType="solid">
        <fgColor rgb="FFE8EEF7"/>
        <bgColor rgb="FFEAF0F8"/>
      </patternFill>
    </fill>
    <fill>
      <patternFill patternType="solid">
        <fgColor rgb="FFEAF0F8"/>
        <bgColor rgb="FFE8EEF7"/>
      </patternFill>
    </fill>
  </fills>
  <borders count="2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C00000"/>
      </bottom>
      <diagonal/>
    </border>
    <border>
      <left style="thin">
        <color theme="0" tint="-0.249977111117893"/>
      </left>
      <right style="medium">
        <color rgb="FF1F3864"/>
      </right>
      <top style="thin">
        <color rgb="FFBFBFBF"/>
      </top>
      <bottom style="thin">
        <color theme="0" tint="-0.249977111117893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theme="0" tint="-0.249977111117893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rgb="FFBFBFBF"/>
      </top>
      <bottom style="thin">
        <color theme="0" tint="-0.249977111117893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medium">
        <color rgb="FF1F3864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theme="0" tint="-0.249977111117893"/>
      </bottom>
      <diagonal/>
    </border>
    <border>
      <left/>
      <right style="medium">
        <color rgb="FF1F3864"/>
      </right>
      <top style="thin">
        <color rgb="FFBFBFBF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27" fillId="0" borderId="0" applyAlignment="1" pivotButton="0" quotePrefix="0" xfId="0">
      <alignment horizontal="left" vertical="top" wrapText="1" indent="1"/>
    </xf>
    <xf numFmtId="0" fontId="28" fillId="0" borderId="0" applyAlignment="1" pivotButton="0" quotePrefix="0" xfId="0">
      <alignment horizontal="left" vertical="top" wrapText="1" indent="1"/>
    </xf>
    <xf numFmtId="0" fontId="9" fillId="12" borderId="0" applyAlignment="1" pivotButton="0" quotePrefix="0" xfId="0">
      <alignment horizontal="left" vertical="center" wrapText="1" indent="1"/>
    </xf>
    <xf numFmtId="0" fontId="30" fillId="0" borderId="0" applyAlignment="1" pivotButton="0" quotePrefix="0" xfId="0">
      <alignment horizontal="left" vertical="top" wrapText="1" indent="1"/>
    </xf>
    <xf numFmtId="0" fontId="32" fillId="0" borderId="0" applyAlignment="1" pivotButton="0" quotePrefix="0" xfId="0">
      <alignment horizontal="left" vertical="top" wrapText="1" indent="1"/>
    </xf>
    <xf numFmtId="0" fontId="37" fillId="0" borderId="0" applyAlignment="1" pivotButton="0" quotePrefix="0" xfId="0">
      <alignment horizontal="left" vertical="center" indent="1"/>
    </xf>
    <xf numFmtId="0" fontId="38" fillId="0" borderId="0" applyAlignment="1" pivotButton="0" quotePrefix="0" xfId="0">
      <alignment horizontal="left" vertical="center" indent="1"/>
    </xf>
    <xf numFmtId="0" fontId="19" fillId="0" borderId="0" applyAlignment="1" pivotButton="0" quotePrefix="0" xfId="0">
      <alignment horizontal="left" vertical="center" wrapText="1" indent="1"/>
    </xf>
    <xf numFmtId="0" fontId="39" fillId="0" borderId="0" applyAlignment="1" pivotButton="0" quotePrefix="0" xfId="0">
      <alignment vertical="center"/>
    </xf>
    <xf numFmtId="0" fontId="40" fillId="0" borderId="0" pivotButton="0" quotePrefix="0" xfId="0"/>
    <xf numFmtId="0" fontId="42" fillId="0" borderId="0" applyAlignment="1" pivotButton="0" quotePrefix="0" xfId="0">
      <alignment horizontal="left" vertical="top" wrapText="1" indent="1"/>
    </xf>
    <xf numFmtId="0" fontId="36" fillId="0" borderId="0" applyAlignment="1" pivotButton="0" quotePrefix="0" xfId="0">
      <alignment horizontal="left" vertical="top" wrapText="1" indent="1"/>
    </xf>
    <xf numFmtId="0" fontId="46" fillId="0" borderId="0" applyAlignment="1" pivotButton="0" quotePrefix="0" xfId="0">
      <alignment horizontal="left" vertical="top" wrapText="1" indent="1"/>
    </xf>
    <xf numFmtId="0" fontId="34" fillId="12" borderId="0" applyAlignment="1" pivotButton="0" quotePrefix="0" xfId="0">
      <alignment horizontal="left" vertical="center" wrapText="1"/>
    </xf>
    <xf numFmtId="0" fontId="9" fillId="12" borderId="0" applyAlignment="1" pivotButton="0" quotePrefix="0" xfId="0">
      <alignment horizontal="left" vertical="center" wrapText="1"/>
    </xf>
    <xf numFmtId="0" fontId="44" fillId="0" borderId="0" applyAlignment="1" pivotButton="0" quotePrefix="0" xfId="0">
      <alignment horizontal="left" vertical="top" wrapText="1" indent="1"/>
    </xf>
    <xf numFmtId="0" fontId="49" fillId="6" borderId="0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61" fillId="0" borderId="0" applyAlignment="1" pivotButton="0" quotePrefix="0" xfId="0">
      <alignment horizontal="left" vertical="top" wrapText="1" indent="1"/>
    </xf>
    <xf numFmtId="0" fontId="26" fillId="6" borderId="0" applyAlignment="1" pivotButton="0" quotePrefix="0" xfId="0">
      <alignment horizontal="left" vertical="center" wrapText="1" indent="1"/>
    </xf>
    <xf numFmtId="0" fontId="64" fillId="0" borderId="0" applyAlignment="1" pivotButton="0" quotePrefix="0" xfId="0">
      <alignment horizontal="left" vertical="top" wrapText="1" indent="1"/>
    </xf>
    <xf numFmtId="0" fontId="65" fillId="0" borderId="0" applyAlignment="1" pivotButton="0" quotePrefix="0" xfId="0">
      <alignment horizontal="left" vertical="top" wrapText="1" indent="1"/>
    </xf>
    <xf numFmtId="0" fontId="9" fillId="13" borderId="1" applyAlignment="1" pivotButton="0" quotePrefix="0" xfId="0">
      <alignment horizontal="center" vertical="center" wrapText="1"/>
    </xf>
    <xf numFmtId="0" fontId="18" fillId="13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24" fillId="11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60" fillId="5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center" vertical="center" wrapText="1"/>
    </xf>
    <xf numFmtId="0" fontId="23" fillId="5" borderId="5" applyAlignment="1" pivotButton="0" quotePrefix="0" xfId="0">
      <alignment horizontal="center" vertical="center" wrapText="1"/>
    </xf>
    <xf numFmtId="0" fontId="23" fillId="5" borderId="7" applyAlignment="1" pivotButton="0" quotePrefix="0" xfId="0">
      <alignment horizontal="center" vertical="center" wrapText="1"/>
    </xf>
    <xf numFmtId="0" fontId="23" fillId="5" borderId="6" applyAlignment="1" pivotButton="0" quotePrefix="0" xfId="0">
      <alignment horizontal="center" vertical="center" wrapText="1"/>
    </xf>
    <xf numFmtId="0" fontId="22" fillId="5" borderId="5" applyAlignment="1" pivotButton="0" quotePrefix="0" xfId="0">
      <alignment horizontal="center" vertical="center" wrapText="1"/>
    </xf>
    <xf numFmtId="0" fontId="22" fillId="5" borderId="6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9" fillId="10" borderId="1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54" fillId="10" borderId="1" applyAlignment="1" pivotButton="0" quotePrefix="0" xfId="0">
      <alignment horizontal="left" vertical="center" wrapText="1" indent="1"/>
    </xf>
    <xf numFmtId="0" fontId="20" fillId="10" borderId="1" applyAlignment="1" pivotButton="0" quotePrefix="0" xfId="0">
      <alignment horizontal="left" vertical="center" wrapText="1" indent="1"/>
    </xf>
    <xf numFmtId="0" fontId="20" fillId="10" borderId="12" applyAlignment="1" pivotButton="0" quotePrefix="0" xfId="0">
      <alignment horizontal="left" vertical="center" wrapText="1" indent="1"/>
    </xf>
    <xf numFmtId="0" fontId="9" fillId="10" borderId="3" applyAlignment="1" pivotButton="0" quotePrefix="0" xfId="0">
      <alignment horizontal="center" vertical="center" wrapText="1"/>
    </xf>
    <xf numFmtId="0" fontId="9" fillId="10" borderId="13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54" fillId="8" borderId="1" applyAlignment="1" pivotButton="0" quotePrefix="0" xfId="0">
      <alignment horizontal="left" vertical="center" wrapText="1" indent="1"/>
    </xf>
    <xf numFmtId="0" fontId="20" fillId="8" borderId="1" applyAlignment="1" pivotButton="0" quotePrefix="0" xfId="0">
      <alignment horizontal="left" vertical="center" wrapText="1" indent="1"/>
    </xf>
    <xf numFmtId="0" fontId="11" fillId="2" borderId="8" applyAlignment="1" pivotButton="0" quotePrefix="0" xfId="0">
      <alignment horizontal="center" vertical="center" wrapText="1"/>
    </xf>
    <xf numFmtId="0" fontId="11" fillId="2" borderId="9" applyAlignment="1" pivotButton="0" quotePrefix="0" xfId="0">
      <alignment horizontal="center" vertical="center" wrapText="1"/>
    </xf>
    <xf numFmtId="0" fontId="11" fillId="2" borderId="10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vertical="center" wrapText="1" indent="1"/>
    </xf>
    <xf numFmtId="0" fontId="19" fillId="7" borderId="1" applyAlignment="1" pivotButton="0" quotePrefix="0" xfId="0">
      <alignment horizontal="center" vertical="center" wrapText="1"/>
    </xf>
    <xf numFmtId="0" fontId="51" fillId="5" borderId="1" applyAlignment="1" pivotButton="0" quotePrefix="0" xfId="0">
      <alignment horizontal="left" vertical="center" wrapText="1" indent="1"/>
    </xf>
    <xf numFmtId="0" fontId="3" fillId="5" borderId="1" applyAlignment="1" pivotButton="0" quotePrefix="0" xfId="0">
      <alignment horizontal="left" vertical="center" wrapText="1" indent="1"/>
    </xf>
    <xf numFmtId="0" fontId="2" fillId="5" borderId="1" applyAlignment="1" pivotButton="0" quotePrefix="0" xfId="0">
      <alignment horizontal="left" vertical="center" wrapText="1" indent="1"/>
    </xf>
    <xf numFmtId="0" fontId="11" fillId="9" borderId="0" applyAlignment="1" pivotButton="0" quotePrefix="0" xfId="0">
      <alignment horizontal="center" vertical="center" wrapText="1"/>
    </xf>
    <xf numFmtId="31" fontId="3" fillId="5" borderId="1" applyAlignment="1" pivotButton="0" quotePrefix="0" xfId="0">
      <alignment horizontal="left" vertical="center" wrapText="1" indent="1"/>
    </xf>
    <xf numFmtId="0" fontId="17" fillId="8" borderId="1" applyAlignment="1" pivotButton="0" quotePrefix="0" xfId="0">
      <alignment horizontal="left" vertical="center" wrapText="1" indent="1"/>
    </xf>
    <xf numFmtId="0" fontId="2" fillId="5" borderId="5" applyAlignment="1" pivotButton="0" quotePrefix="0" xfId="0">
      <alignment horizontal="left" vertical="center" wrapText="1" indent="1"/>
    </xf>
    <xf numFmtId="0" fontId="2" fillId="5" borderId="6" applyAlignment="1" pivotButton="0" quotePrefix="0" xfId="0">
      <alignment horizontal="left" vertical="center" wrapText="1" indent="1"/>
    </xf>
    <xf numFmtId="0" fontId="3" fillId="5" borderId="5" applyAlignment="1" pivotButton="0" quotePrefix="0" xfId="0">
      <alignment horizontal="left" vertical="center" wrapText="1" indent="1"/>
    </xf>
    <xf numFmtId="0" fontId="3" fillId="5" borderId="7" applyAlignment="1" pivotButton="0" quotePrefix="0" xfId="0">
      <alignment horizontal="left" vertical="center" wrapText="1" indent="1"/>
    </xf>
    <xf numFmtId="0" fontId="3" fillId="5" borderId="6" applyAlignment="1" pivotButton="0" quotePrefix="0" xfId="0">
      <alignment horizontal="left" vertical="center" wrapText="1" indent="1"/>
    </xf>
    <xf numFmtId="0" fontId="13" fillId="4" borderId="1" applyAlignment="1" pivotButton="0" quotePrefix="0" xfId="0">
      <alignment horizontal="left" vertical="center" wrapText="1" indent="1"/>
    </xf>
    <xf numFmtId="0" fontId="11" fillId="2" borderId="4" applyAlignment="1" pivotButton="0" quotePrefix="0" xfId="0">
      <alignment horizontal="center" vertical="center" wrapText="1"/>
    </xf>
    <xf numFmtId="0" fontId="58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center" wrapText="1" indent="1"/>
    </xf>
    <xf numFmtId="0" fontId="9" fillId="5" borderId="0" applyAlignment="1" pivotButton="0" quotePrefix="0" xfId="0">
      <alignment horizontal="right" vertical="center" wrapText="1"/>
    </xf>
    <xf numFmtId="0" fontId="10" fillId="5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4" pivotButton="0" quotePrefix="0" xfId="0"/>
    <xf numFmtId="0" fontId="11" fillId="2" borderId="16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8" pivotButton="0" quotePrefix="0" xfId="0"/>
    <xf numFmtId="0" fontId="0" fillId="0" borderId="19" pivotButton="0" quotePrefix="0" xfId="0"/>
    <xf numFmtId="0" fontId="23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EEF7"/>
      <rgbColor rgb="FF660066"/>
      <rgbColor rgb="FFFF8080"/>
      <rgbColor rgb="FF1F4E8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CCFFCC"/>
      <rgbColor rgb="FFFFF4E3"/>
      <rgbColor rgb="FF99CCFF"/>
      <rgbColor rgb="FFFF99CC"/>
      <rgbColor rgb="FFCC99FF"/>
      <rgbColor rgb="FFFBE5E5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E2E5C"/>
      <rgbColor rgb="FF339966"/>
      <rgbColor rgb="FF003300"/>
      <rgbColor rgb="FF404040"/>
      <rgbColor rgb="FFB22222"/>
      <rgbColor rgb="FF993366"/>
      <rgbColor rgb="FF1F3864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externalLink" Target="/xl/externalLinks/externalLink2.xml" Id="rId5"/><Relationship Type="http://schemas.openxmlformats.org/officeDocument/2006/relationships/externalLink" Target="/xl/externalLinks/externalLink3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owlsy\Downloads\&#44228;&#50557;&#49436;%20(NEW)\260428_&#54620;&#47784;&#49324;_&#52293;&#51076;&#47116;&#53944;_&#44228;&#50557;&#49436;_v2%20(&#50756;&#47308;).xlsx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owlsy\Downloads\&#44228;&#50557;&#49436;%20(NEW)\260428_&#54620;&#47784;&#49324;_B2B-B2C_&#52293;&#51076;&#47116;&#53944;_&#44228;&#50557;&#49436;(&#50756;&#47308;).xlsx" TargetMode="External" Id="rId2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C:\Users\owlsy\Downloads\&#44228;&#50557;&#49436;%20(NEW)\260428_&#54620;&#47784;&#49324;_B2B-B2C_&#54624;&#48512;&#54032;&#47588;&#44228;&#50557;&#49436;%20ver.4%20(&#50756;&#47308;)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계약리스트"/>
      <sheetName val="계약서"/>
      <sheetName val="이용약관"/>
    </sheetNames>
    <sheetDataSet>
      <sheetData sheetId="0">
        <row r="2">
          <cell r="A2">
            <v>1</v>
          </cell>
          <cell r="B2" t="str">
            <v>2026-04-24</v>
          </cell>
          <cell r="C2" t="str">
            <v>UHR150</v>
          </cell>
          <cell r="D2" t="str">
            <v>LWMTDKH95THJ00467</v>
          </cell>
          <cell r="E2" t="str">
            <v>1나88370</v>
          </cell>
          <cell r="F2" t="str">
            <v>화이트</v>
          </cell>
          <cell r="G2" t="str">
            <v>비포함</v>
          </cell>
          <cell r="H2" t="str">
            <v>만30세</v>
          </cell>
          <cell r="I2">
            <v>26400</v>
          </cell>
          <cell r="J2">
            <v>365</v>
          </cell>
          <cell r="K2">
            <v>300000</v>
          </cell>
          <cell r="L2" t="str">
            <v>중앙 오토바이 가수점</v>
          </cell>
          <cell r="M2" t="str">
            <v>737-55-00719</v>
          </cell>
          <cell r="N2" t="str">
            <v>안종식</v>
          </cell>
          <cell r="O2" t="str">
            <v>경기도 오산시 가장로 763, 1층 5,6호(가수동)</v>
          </cell>
          <cell r="P2" t="str">
            <v>010-5813-7336</v>
          </cell>
          <cell r="Q2" t="str">
            <v>jungang@example.com</v>
          </cell>
          <cell r="R2" t="str">
            <v>820530-1046518</v>
          </cell>
          <cell r="S2" t="str">
            <v>010-5813-7336</v>
          </cell>
          <cell r="T2" t="str">
            <v>경기도 오산시 궐동로 77, 1층(궐동)</v>
          </cell>
          <cell r="U2" t="str">
            <v>렌트</v>
          </cell>
          <cell r="V2" t="str">
            <v>인수형</v>
          </cell>
          <cell r="W2" t="str">
            <v>계좌이체</v>
          </cell>
          <cell r="X2" t="str">
            <v>기업은행 929-028075-04-011 포어스바이크(유)</v>
          </cell>
          <cell r="Y2" t="str">
            <v>월2회(15일,말일)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계약리스트"/>
      <sheetName val="계약서"/>
      <sheetName val="이용약관"/>
    </sheetNames>
    <sheetDataSet>
      <sheetData sheetId="0">
        <row r="1">
          <cell r="A1" t="str">
            <v>계약번호</v>
          </cell>
          <cell r="B1" t="str">
            <v>출고일자</v>
          </cell>
        </row>
        <row r="2">
          <cell r="A2">
            <v>1</v>
          </cell>
          <cell r="B2" t="str">
            <v>2026-04-24</v>
          </cell>
          <cell r="C2" t="str">
            <v>UHR150</v>
          </cell>
          <cell r="D2" t="str">
            <v>LWMTDKH95THJ00467</v>
          </cell>
          <cell r="E2" t="str">
            <v>1나88370</v>
          </cell>
          <cell r="F2" t="str">
            <v>화이트</v>
          </cell>
          <cell r="G2" t="str">
            <v>비포함</v>
          </cell>
          <cell r="H2" t="str">
            <v>만30세</v>
          </cell>
          <cell r="I2">
            <v>26400</v>
          </cell>
          <cell r="J2">
            <v>365</v>
          </cell>
          <cell r="K2">
            <v>300000</v>
          </cell>
          <cell r="L2" t="str">
            <v>중앙 오토바이 가수점</v>
          </cell>
          <cell r="M2" t="str">
            <v>737-55-00719</v>
          </cell>
          <cell r="N2" t="str">
            <v>안종식</v>
          </cell>
          <cell r="O2" t="str">
            <v>경기도 오산시 가장로 763, 1층 5,6호(가수동)</v>
          </cell>
          <cell r="P2" t="str">
            <v>010-5813-7336</v>
          </cell>
          <cell r="Q2" t="str">
            <v>jungang@example.com</v>
          </cell>
          <cell r="R2" t="str">
            <v>820530-1046518</v>
          </cell>
          <cell r="S2" t="str">
            <v>010-5813-7336</v>
          </cell>
          <cell r="T2" t="str">
            <v>경기도 오산시 궐동로 77, 1층(궐동)</v>
          </cell>
          <cell r="U2" t="str">
            <v>렌트</v>
          </cell>
          <cell r="V2" t="str">
            <v>인수형</v>
          </cell>
          <cell r="W2" t="str">
            <v>계좌이체</v>
          </cell>
          <cell r="X2" t="str">
            <v>기업은행 929-028075-04-011 포어스바이크(유)</v>
          </cell>
          <cell r="Y2" t="str">
            <v>월2회(15일,말일)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계약리스트"/>
      <sheetName val="계약서"/>
      <sheetName val="이용약관"/>
    </sheetNames>
    <sheetDataSet>
      <sheetData sheetId="0">
        <row r="2">
          <cell r="A2">
            <v>1</v>
          </cell>
          <cell r="B2" t="str">
            <v>2026-04-24</v>
          </cell>
          <cell r="C2" t="str">
            <v>UHR150</v>
          </cell>
          <cell r="D2" t="str">
            <v>LWMTDKH95THJ00467</v>
          </cell>
          <cell r="E2" t="str">
            <v>1나88370</v>
          </cell>
          <cell r="F2" t="str">
            <v>화이트</v>
          </cell>
          <cell r="G2" t="str">
            <v>비포함</v>
          </cell>
          <cell r="H2" t="str">
            <v>만30세</v>
          </cell>
          <cell r="I2">
            <v>26400</v>
          </cell>
          <cell r="J2">
            <v>365</v>
          </cell>
          <cell r="K2">
            <v>300000</v>
          </cell>
          <cell r="L2" t="str">
            <v>중앙 오토바이 가수점</v>
          </cell>
          <cell r="M2" t="str">
            <v>737-55-00719</v>
          </cell>
          <cell r="N2" t="str">
            <v>안종식</v>
          </cell>
          <cell r="O2" t="str">
            <v>경기도 오산시 가장로 763, 1층 5,6호(가수동)</v>
          </cell>
          <cell r="P2" t="str">
            <v>010-5813-7336</v>
          </cell>
          <cell r="Q2" t="str">
            <v>jungang@example.com</v>
          </cell>
          <cell r="R2" t="str">
            <v>820530-1046518</v>
          </cell>
          <cell r="S2" t="str">
            <v>010-5813-7336</v>
          </cell>
          <cell r="T2" t="str">
            <v>경기도 오산시 궐동로 77, 1층(궐동)</v>
          </cell>
          <cell r="U2" t="str">
            <v>할부판매</v>
          </cell>
          <cell r="V2" t="str">
            <v>인수형</v>
          </cell>
          <cell r="W2" t="str">
            <v>계좌이체</v>
          </cell>
          <cell r="X2" t="str">
            <v>기업은행 929-028075-04-011 포어스바이크(유)</v>
          </cell>
          <cell r="Y2" t="str">
            <v>월2회(15일,말일)</v>
          </cell>
          <cell r="Z2" t="str">
            <v>할부 판매</v>
          </cell>
          <cell r="AA2" t="str">
            <v>인수형</v>
          </cell>
          <cell r="AB2" t="str">
            <v>계좌이체</v>
          </cell>
          <cell r="AC2" t="str">
            <v>기업은행 929-028519-04-010</v>
          </cell>
          <cell r="AD2" t="str">
            <v>월2회(15일, 말일)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zoomScaleNormal="100" workbookViewId="0">
      <pane xSplit="1" ySplit="1" topLeftCell="P2" activePane="bottomRight" state="frozen"/>
      <selection pane="topRight" activeCell="B1" sqref="B1"/>
      <selection pane="bottomLeft" activeCell="A2" sqref="A2"/>
      <selection pane="bottomRight" activeCell="P37" sqref="P37"/>
    </sheetView>
  </sheetViews>
  <sheetFormatPr baseColWidth="8" defaultColWidth="8.6640625" defaultRowHeight="14.4"/>
  <cols>
    <col width="18" customWidth="1" min="1" max="25"/>
  </cols>
  <sheetData>
    <row r="1" ht="30" customHeight="1">
      <c r="A1" s="1" t="inlineStr">
        <is>
          <t>계약번호</t>
        </is>
      </c>
      <c r="B1" s="1" t="inlineStr">
        <is>
          <t>계약일자</t>
        </is>
      </c>
      <c r="C1" s="1" t="inlineStr">
        <is>
          <t>차종</t>
        </is>
      </c>
      <c r="D1" s="1" t="inlineStr">
        <is>
          <t>차대번호</t>
        </is>
      </c>
      <c r="E1" s="1" t="inlineStr">
        <is>
          <t>차량번호</t>
        </is>
      </c>
      <c r="F1" s="1" t="inlineStr">
        <is>
          <t>색상</t>
        </is>
      </c>
      <c r="G1" s="1" t="inlineStr">
        <is>
          <t>정비여부</t>
        </is>
      </c>
      <c r="H1" s="1" t="inlineStr">
        <is>
          <t>보험연령</t>
        </is>
      </c>
      <c r="I1" s="1" t="inlineStr">
        <is>
          <t>일사용료</t>
        </is>
      </c>
      <c r="J1" s="1" t="inlineStr">
        <is>
          <t>사용일수</t>
        </is>
      </c>
      <c r="K1" s="1" t="inlineStr">
        <is>
          <t>보증금</t>
        </is>
      </c>
      <c r="L1" s="1" t="inlineStr">
        <is>
          <t>사업장 업체명</t>
        </is>
      </c>
      <c r="M1" s="1" t="inlineStr">
        <is>
          <t>사업자번호</t>
        </is>
      </c>
      <c r="N1" s="1" t="inlineStr">
        <is>
          <t>대표자명</t>
        </is>
      </c>
      <c r="O1" s="1" t="inlineStr">
        <is>
          <t>업체주소</t>
        </is>
      </c>
      <c r="P1" s="1" t="inlineStr">
        <is>
          <t>사업장 연락처</t>
        </is>
      </c>
      <c r="Q1" s="1" t="inlineStr">
        <is>
          <t>사업장 이메일</t>
        </is>
      </c>
      <c r="R1" s="1" t="inlineStr">
        <is>
          <t>대표자 주민번호</t>
        </is>
      </c>
      <c r="S1" s="1" t="inlineStr">
        <is>
          <t>대표자 연락처</t>
        </is>
      </c>
      <c r="T1" s="1" t="inlineStr">
        <is>
          <t>대표자 주소</t>
        </is>
      </c>
      <c r="U1" s="1" t="inlineStr">
        <is>
          <t>계약유형</t>
        </is>
      </c>
      <c r="V1" s="1" t="inlineStr">
        <is>
          <t>상품유형</t>
        </is>
      </c>
      <c r="W1" s="1" t="inlineStr">
        <is>
          <t>납입방법</t>
        </is>
      </c>
      <c r="X1" s="1" t="inlineStr">
        <is>
          <t>납입계좌</t>
        </is>
      </c>
      <c r="Y1" s="1" t="inlineStr">
        <is>
          <t>요금결제일</t>
        </is>
      </c>
    </row>
    <row r="2" ht="46.8" customHeight="1">
      <c r="A2" s="2" t="n">
        <v>1</v>
      </c>
      <c r="B2" s="2" t="inlineStr">
        <is>
          <t>2026-04-24</t>
        </is>
      </c>
      <c r="C2" s="2" t="inlineStr">
        <is>
          <t>UHR150</t>
        </is>
      </c>
      <c r="D2" s="2" t="inlineStr">
        <is>
          <t>LWMTDKH95THJ00467</t>
        </is>
      </c>
      <c r="E2" s="2" t="inlineStr">
        <is>
          <t>1나88370</t>
        </is>
      </c>
      <c r="F2" s="3" t="inlineStr">
        <is>
          <t>화이트</t>
        </is>
      </c>
      <c r="G2" s="3" t="inlineStr">
        <is>
          <t>비포함</t>
        </is>
      </c>
      <c r="H2" s="3" t="inlineStr">
        <is>
          <t>만30세</t>
        </is>
      </c>
      <c r="I2" s="2" t="n">
        <v>26400</v>
      </c>
      <c r="J2" s="2" t="n">
        <v>365</v>
      </c>
      <c r="K2" s="2" t="n">
        <v>300000</v>
      </c>
      <c r="L2" s="3" t="inlineStr">
        <is>
          <t>중앙 오토바이 가수점</t>
        </is>
      </c>
      <c r="M2" s="2" t="inlineStr">
        <is>
          <t>737-55-00719</t>
        </is>
      </c>
      <c r="N2" s="3" t="inlineStr">
        <is>
          <t>안종식</t>
        </is>
      </c>
      <c r="O2" s="3" t="inlineStr">
        <is>
          <t>경기도 오산시 가장로 763, 1층 5,6호(가수동)</t>
        </is>
      </c>
      <c r="P2" s="2" t="inlineStr">
        <is>
          <t>010-5813-7336</t>
        </is>
      </c>
      <c r="Q2" s="2" t="inlineStr">
        <is>
          <t>jungang@example.com</t>
        </is>
      </c>
      <c r="R2" s="2" t="inlineStr">
        <is>
          <t>820530-1046518</t>
        </is>
      </c>
      <c r="S2" s="2" t="inlineStr">
        <is>
          <t>010-5813-7336</t>
        </is>
      </c>
      <c r="T2" s="3" t="inlineStr">
        <is>
          <t>경기도 오산시 궐동로 77, 1층(궐동)</t>
        </is>
      </c>
      <c r="U2" s="3" t="inlineStr">
        <is>
          <t>렌트</t>
        </is>
      </c>
      <c r="V2" s="3" t="inlineStr">
        <is>
          <t>인수형</t>
        </is>
      </c>
      <c r="W2" s="3" t="inlineStr">
        <is>
          <t>계좌이체</t>
        </is>
      </c>
      <c r="X2" s="3" t="inlineStr">
        <is>
          <t>기업은행 929-028075-04-011 포어스바이크(유)</t>
        </is>
      </c>
      <c r="Y2" s="3" t="inlineStr">
        <is>
          <t>월2회(15일,말일)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09"/>
  <sheetViews>
    <sheetView topLeftCell="A35" zoomScaleNormal="100" workbookViewId="0">
      <selection activeCell="E59" sqref="E59"/>
    </sheetView>
  </sheetViews>
  <sheetFormatPr baseColWidth="8" defaultColWidth="8.6640625" defaultRowHeight="14.4"/>
  <cols>
    <col width="1.5546875" customWidth="1" min="1" max="1"/>
    <col width="11" customWidth="1" min="2" max="2"/>
    <col width="10" customWidth="1" min="3" max="3"/>
    <col width="16" customWidth="1" min="4" max="4"/>
    <col width="11" customWidth="1" style="29" min="5" max="5"/>
    <col width="16" customWidth="1" min="6" max="6"/>
    <col width="10" customWidth="1" min="7" max="7"/>
    <col width="16" customWidth="1" min="8" max="8"/>
    <col width="10" customWidth="1" min="9" max="9"/>
    <col width="14" customWidth="1" min="10" max="10"/>
    <col width="1.5546875" customWidth="1" min="11" max="11"/>
    <col width="6" customWidth="1" min="12" max="12"/>
  </cols>
  <sheetData>
    <row r="1" ht="7.5" customHeight="1">
      <c r="A1" s="4" t="n"/>
      <c r="B1" s="4" t="n"/>
      <c r="C1" s="4" t="n"/>
      <c r="D1" s="4" t="n"/>
      <c r="E1" s="28" t="n"/>
      <c r="F1" s="4" t="n"/>
      <c r="G1" s="4" t="n"/>
      <c r="H1" s="4" t="n"/>
      <c r="I1" s="4" t="n"/>
      <c r="J1" s="4" t="n"/>
      <c r="K1" s="4" t="n"/>
      <c r="L1" s="5" t="inlineStr">
        <is>
          <t>계약번호입력→</t>
        </is>
      </c>
    </row>
    <row r="2" ht="48" customHeight="1">
      <c r="A2" s="4" t="n"/>
      <c r="B2" s="76" t="inlineStr">
        <is>
          <t>이륜차 종합렌트 계약서</t>
        </is>
      </c>
      <c r="K2" s="4" t="n"/>
      <c r="L2" s="6" t="n">
        <v>1</v>
      </c>
    </row>
    <row r="3" ht="24" customHeight="1">
      <c r="A3" s="4" t="n"/>
      <c r="B3" s="78" t="inlineStr">
        <is>
          <t>포어스바이크 유한회사</t>
        </is>
      </c>
      <c r="F3" s="79" t="inlineStr">
        <is>
          <t>계약번호</t>
        </is>
      </c>
      <c r="I3" s="80">
        <f>IFERROR(TEXT($L$2,"0000"),"")</f>
        <v/>
      </c>
      <c r="J3" s="81" t="n"/>
      <c r="K3" s="4" t="n"/>
      <c r="L3" s="4" t="n"/>
    </row>
    <row r="4" ht="7.5" customHeight="1">
      <c r="A4" s="4" t="n"/>
      <c r="B4" s="4" t="n"/>
      <c r="C4" s="4" t="n"/>
      <c r="D4" s="4" t="n"/>
      <c r="E4" s="28" t="n"/>
      <c r="F4" s="4" t="n"/>
      <c r="G4" s="4" t="n"/>
      <c r="H4" s="4" t="n"/>
      <c r="I4" s="4" t="n"/>
      <c r="J4" s="4" t="n"/>
      <c r="K4" s="4" t="n"/>
      <c r="L4" s="4" t="n"/>
    </row>
    <row r="5" ht="25.5" customHeight="1">
      <c r="A5" s="4" t="n"/>
      <c r="B5" s="38" t="inlineStr">
        <is>
          <t>■ 차량 정보</t>
        </is>
      </c>
      <c r="K5" s="4" t="n"/>
      <c r="L5" s="4" t="n"/>
    </row>
    <row r="6" ht="21.75" customHeight="1">
      <c r="A6" s="4" t="n"/>
      <c r="B6" s="7" t="inlineStr">
        <is>
          <t>차종</t>
        </is>
      </c>
      <c r="C6" s="65">
        <f>IFERROR(IF(VLOOKUP($L$2,계약리스트!$A$2:$AD$10000,3,0)="","",VLOOKUP($L$2,계약리스트!$A$2:$AD$10000,3,0)),"")</f>
        <v/>
      </c>
      <c r="D6" s="82" t="n"/>
      <c r="E6" s="7" t="inlineStr">
        <is>
          <t>차량번호</t>
        </is>
      </c>
      <c r="F6" s="65">
        <f>IFERROR(IF(VLOOKUP($L$2,계약리스트!$A$2:$AD$10000,5,0)="","",VLOOKUP($L$2,계약리스트!$A$2:$AD$10000,5,0)),"")</f>
        <v/>
      </c>
      <c r="G6" s="82" t="n"/>
      <c r="H6" s="7" t="inlineStr">
        <is>
          <t>색상</t>
        </is>
      </c>
      <c r="I6" s="65">
        <f>IFERROR(IF(VLOOKUP($L$2,계약리스트!$A$2:$AD$10000,6,0)="","",VLOOKUP($L$2,계약리스트!$A$2:$AD$10000,6,0)),"")</f>
        <v/>
      </c>
      <c r="J6" s="82" t="n"/>
      <c r="K6" s="4" t="n"/>
      <c r="L6" s="4" t="n"/>
    </row>
    <row r="7" ht="21.75" customHeight="1">
      <c r="A7" s="4" t="n"/>
      <c r="B7" s="7" t="inlineStr">
        <is>
          <t>차대번호</t>
        </is>
      </c>
      <c r="C7" s="65">
        <f>IFERROR(IF(VLOOKUP($L$2,계약리스트!$A$2:$AD$10000,4,0)="","",VLOOKUP($L$2,계약리스트!$A$2:$AD$10000,4,0)),"")</f>
        <v/>
      </c>
      <c r="D7" s="82" t="n"/>
      <c r="E7" s="7" t="inlineStr">
        <is>
          <t>정비여부</t>
        </is>
      </c>
      <c r="F7" s="65">
        <f>IFERROR(IF(VLOOKUP($L$2,계약리스트!$A$2:$AD$10000,7,0)="","",VLOOKUP($L$2,계약리스트!$A$2:$AD$10000,7,0)),"")</f>
        <v/>
      </c>
      <c r="G7" s="82" t="n"/>
      <c r="H7" s="7" t="inlineStr">
        <is>
          <t>계약일자</t>
        </is>
      </c>
      <c r="I7" s="65">
        <f>IFERROR(IF(VLOOKUP($L$2,계약리스트!$A$2:$AD$10000,2,0)="","",VLOOKUP($L$2,계약리스트!$A$2:$AD$10000,2,0)),"")</f>
        <v/>
      </c>
      <c r="J7" s="82" t="n"/>
      <c r="K7" s="4" t="n"/>
      <c r="L7" s="4" t="n"/>
    </row>
    <row r="8" ht="25.5" customHeight="1">
      <c r="A8" s="4" t="n"/>
      <c r="B8" s="8" t="inlineStr">
        <is>
          <t>보험연령</t>
        </is>
      </c>
      <c r="C8" s="74">
        <f>IFERROR(IF(VLOOKUP($L$2,계약리스트!$A$2:$AD$10000,8,0)="","",VLOOKUP($L$2,계약리스트!$A$2:$AD$10000,8,0)),"")</f>
        <v/>
      </c>
      <c r="D8" s="82" t="n"/>
      <c r="E8" s="61" t="inlineStr">
        <is>
          <t>※ 본 차량은 위 보험연령 이상의 운전자만 운행 가능. 미달자 운전 사고 시 발생하는 모든 손해·구상금은 계약자가 전적으로 책임집니다.</t>
        </is>
      </c>
      <c r="F8" s="83" t="n"/>
      <c r="G8" s="83" t="n"/>
      <c r="H8" s="83" t="n"/>
      <c r="I8" s="83" t="n"/>
      <c r="J8" s="82" t="n"/>
      <c r="K8" s="4" t="n"/>
      <c r="L8" s="4" t="n"/>
    </row>
    <row r="9" ht="7.5" customHeight="1">
      <c r="A9" s="4" t="n"/>
      <c r="B9" s="4" t="n"/>
      <c r="C9" s="4" t="n"/>
      <c r="D9" s="4" t="n"/>
      <c r="E9" s="28" t="n"/>
      <c r="F9" s="4" t="n"/>
      <c r="G9" s="4" t="n"/>
      <c r="H9" s="4" t="n"/>
      <c r="I9" s="4" t="n"/>
      <c r="J9" s="4" t="n"/>
      <c r="K9" s="4" t="n"/>
      <c r="L9" s="4" t="n"/>
    </row>
    <row r="10" ht="25.5" customHeight="1">
      <c r="A10" s="4" t="n"/>
      <c r="B10" s="75" t="inlineStr">
        <is>
          <t>■ 계약자</t>
        </is>
      </c>
      <c r="C10" s="84" t="n"/>
      <c r="D10" s="84" t="n"/>
      <c r="E10" s="84" t="n"/>
      <c r="F10" s="84" t="n"/>
      <c r="G10" s="84" t="n"/>
      <c r="H10" s="84" t="n"/>
      <c r="I10" s="84" t="n"/>
      <c r="J10" s="84" t="n"/>
      <c r="K10" s="4" t="n"/>
      <c r="L10" s="4" t="n"/>
    </row>
    <row r="11" ht="21.75" customHeight="1">
      <c r="A11" s="4" t="n"/>
      <c r="B11" s="34" t="inlineStr">
        <is>
          <t>업체명</t>
        </is>
      </c>
      <c r="C11" s="65">
        <f>IFERROR(IF(VLOOKUP($L$2,[1]계약리스트!$A$2:$AD$10000,14,0)="","",VLOOKUP($L$2,[1]계약리스트!$A$2:$AD$10000,14,0)),"")</f>
        <v/>
      </c>
      <c r="D11" s="82" t="n"/>
      <c r="E11" s="34" t="inlineStr">
        <is>
          <t>주민등록번호</t>
        </is>
      </c>
      <c r="F11" s="65">
        <f>IFERROR(IF(VLOOKUP($L$2,[1]계약리스트!$A$2:$AD$10000,18,0)="","",VLOOKUP($L$2,[1]계약리스트!$A$2:$AD$10000,18,0)),"")</f>
        <v/>
      </c>
      <c r="G11" s="82" t="n"/>
      <c r="H11" s="35" t="inlineStr">
        <is>
          <t>연락처</t>
        </is>
      </c>
      <c r="I11" s="65">
        <f>IFERROR(IF(VLOOKUP($L$2,[1]계약리스트!$A$2:$AD$10000,19,0)="","",VLOOKUP($L$2,[1]계약리스트!$A$2:$AD$10000,19,0)),"")</f>
        <v/>
      </c>
      <c r="J11" s="82" t="n"/>
      <c r="K11" s="4" t="n"/>
      <c r="L11" s="4" t="n"/>
    </row>
    <row r="12" ht="21.75" customHeight="1">
      <c r="A12" s="4" t="n"/>
      <c r="B12" s="34" t="inlineStr">
        <is>
          <t>연락처</t>
        </is>
      </c>
      <c r="C12" s="65">
        <f>IFERROR(IF(VLOOKUP($L$2,[1]계약리스트!$A$2:$AD$10000,16,0)="","",VLOOKUP($L$2,[1]계약리스트!$A$2:$AD$10000,16,0)),"")</f>
        <v/>
      </c>
      <c r="D12" s="82" t="n"/>
      <c r="E12" s="34" t="inlineStr">
        <is>
          <t>업체주소</t>
        </is>
      </c>
      <c r="F12" s="64">
        <f>IFERROR(IF(VLOOKUP($L$2,[1]계약리스트!$A$2:$AD$10000,15,0)="","",VLOOKUP($L$2,[1]계약리스트!$A$2:$AD$10000,15,0)),"")</f>
        <v/>
      </c>
      <c r="G12" s="83" t="n"/>
      <c r="H12" s="83" t="n"/>
      <c r="I12" s="83" t="n"/>
      <c r="J12" s="82" t="n"/>
      <c r="K12" s="4" t="n"/>
      <c r="L12" s="4" t="n"/>
    </row>
    <row r="13" ht="19.5" customHeight="1">
      <c r="A13" s="4" t="n"/>
      <c r="B13" s="68" t="inlineStr">
        <is>
          <t>※ 제출 서류 : 사업자등록증 사본, 대표자 신분증 사본</t>
        </is>
      </c>
      <c r="C13" s="83" t="n"/>
      <c r="D13" s="83" t="n"/>
      <c r="E13" s="83" t="n"/>
      <c r="F13" s="83" t="n"/>
      <c r="G13" s="83" t="n"/>
      <c r="H13" s="83" t="n"/>
      <c r="I13" s="83" t="n"/>
      <c r="J13" s="82" t="n"/>
      <c r="K13" s="4" t="n"/>
      <c r="L13" s="4" t="n"/>
    </row>
    <row r="14" ht="7.5" customHeight="1">
      <c r="A14" s="4" t="n"/>
      <c r="B14" s="4" t="n"/>
      <c r="C14" s="4" t="n"/>
      <c r="D14" s="4" t="n"/>
      <c r="E14" s="28" t="n"/>
      <c r="F14" s="4" t="n"/>
      <c r="G14" s="4" t="n"/>
      <c r="H14" s="4" t="n"/>
      <c r="I14" s="4" t="n"/>
      <c r="J14" s="4" t="n"/>
      <c r="K14" s="4" t="n"/>
      <c r="L14" s="4" t="n"/>
    </row>
    <row r="15" ht="25.5" customHeight="1">
      <c r="A15" s="4" t="n"/>
      <c r="B15" s="38" t="inlineStr">
        <is>
          <t>■ 연대보증인</t>
        </is>
      </c>
      <c r="K15" s="4" t="n"/>
      <c r="L15" s="4" t="n"/>
    </row>
    <row r="16" ht="21.75" customHeight="1">
      <c r="A16" s="4" t="n"/>
      <c r="B16" s="35" t="inlineStr">
        <is>
          <t>업체명</t>
        </is>
      </c>
      <c r="C16" s="65">
        <f>IFERROR(IF(VLOOKUP($L$2,[1]계약리스트!$A$2:$AD$10000,12,0)="","",VLOOKUP($L$2,[1]계약리스트!$A$2:$AD$10000,12,0)),"")</f>
        <v/>
      </c>
      <c r="D16" s="82" t="n"/>
      <c r="E16" s="35" t="inlineStr">
        <is>
          <t>사업자번호</t>
        </is>
      </c>
      <c r="F16" s="65">
        <f>IFERROR(IF(VLOOKUP($L$2,[1]계약리스트!$A$2:$AD$10000,13,0)="","",VLOOKUP($L$2,[1]계약리스트!$A$2:$AD$10000,13,0)),"")</f>
        <v/>
      </c>
      <c r="G16" s="82" t="n"/>
      <c r="H16" s="35" t="inlineStr">
        <is>
          <t>대표자명</t>
        </is>
      </c>
      <c r="I16" s="65">
        <f>IFERROR(IF(VLOOKUP($L$2,[1]계약리스트!$A$2:$AD$10000,14,0)="","",VLOOKUP($L$2,[1]계약리스트!$A$2:$AD$10000,14,0)),"")</f>
        <v/>
      </c>
      <c r="J16" s="82" t="n"/>
      <c r="K16" s="4" t="n"/>
      <c r="L16" s="4" t="n"/>
    </row>
    <row r="17" ht="21.75" customHeight="1">
      <c r="A17" s="4" t="n"/>
      <c r="B17" s="34" t="inlineStr">
        <is>
          <t>주소</t>
        </is>
      </c>
      <c r="C17" s="64">
        <f>IFERROR(IF(VLOOKUP($L$2,[1]계약리스트!$A$2:$AD$10000,20,0)="","",VLOOKUP($L$2,[1]계약리스트!$A$2:$AD$10000,20,0)),"")</f>
        <v/>
      </c>
      <c r="D17" s="83" t="n"/>
      <c r="E17" s="83" t="n"/>
      <c r="F17" s="83" t="n"/>
      <c r="G17" s="83" t="n"/>
      <c r="H17" s="83" t="n"/>
      <c r="I17" s="83" t="n"/>
      <c r="J17" s="82" t="n"/>
      <c r="K17" s="4" t="n"/>
      <c r="L17" s="4" t="n"/>
    </row>
    <row r="18" ht="19.5" customHeight="1">
      <c r="A18" s="4" t="n"/>
      <c r="B18" s="68" t="inlineStr">
        <is>
          <t>※ 제출 서류 : 대표자 신분증 사본  |  보증 기한 : 2년  |  보증 한도 : 전체 이용료의 130%</t>
        </is>
      </c>
      <c r="C18" s="83" t="n"/>
      <c r="D18" s="83" t="n"/>
      <c r="E18" s="83" t="n"/>
      <c r="F18" s="83" t="n"/>
      <c r="G18" s="83" t="n"/>
      <c r="H18" s="83" t="n"/>
      <c r="I18" s="83" t="n"/>
      <c r="J18" s="82" t="n"/>
      <c r="K18" s="4" t="n"/>
      <c r="L18" s="4" t="n"/>
    </row>
    <row r="19" ht="7.5" customHeight="1">
      <c r="A19" s="4" t="n"/>
      <c r="B19" s="4" t="n"/>
      <c r="C19" s="4" t="n"/>
      <c r="D19" s="4" t="n"/>
      <c r="E19" s="28" t="n"/>
      <c r="F19" s="4" t="n"/>
      <c r="G19" s="4" t="n"/>
      <c r="H19" s="4" t="n"/>
      <c r="I19" s="4" t="n"/>
      <c r="J19" s="4" t="n"/>
      <c r="K19" s="4" t="n"/>
      <c r="L19" s="4" t="n"/>
    </row>
    <row r="20" ht="25.5" customHeight="1">
      <c r="A20" s="4" t="n"/>
      <c r="B20" s="38" t="inlineStr">
        <is>
          <t>■ 계약 조건</t>
        </is>
      </c>
      <c r="K20" s="4" t="n"/>
      <c r="L20" s="4" t="n"/>
    </row>
    <row r="21" ht="21.75" customHeight="1">
      <c r="A21" s="4" t="n"/>
      <c r="B21" s="34" t="inlineStr">
        <is>
          <t>계약유형</t>
        </is>
      </c>
      <c r="C21" s="65">
        <f>IFERROR(IF(VLOOKUP($L$2,[2]계약리스트!$A$2:$AD$10000,21,0)="","",VLOOKUP($L$2,[2]계약리스트!$A$2:$AD$10000,21,0)),"")</f>
        <v/>
      </c>
      <c r="D21" s="82" t="n"/>
      <c r="E21" s="34" t="inlineStr">
        <is>
          <t>상품유형</t>
        </is>
      </c>
      <c r="F21" s="65">
        <f>IFERROR(IF(VLOOKUP($L$2,[2]계약리스트!$A$2:$AD$10000,22,0)="","",VLOOKUP($L$2,[2]계약리스트!$A$2:$AD$10000,22,0)),"")</f>
        <v/>
      </c>
      <c r="G21" s="82" t="n"/>
      <c r="H21" s="34" t="inlineStr">
        <is>
          <t>렌트 기간</t>
        </is>
      </c>
      <c r="I21" s="65">
        <f>IFERROR(VLOOKUP($L$2,[2]계약리스트!$A$2:$AD$10000,10,0)&amp;"일","")</f>
        <v/>
      </c>
      <c r="J21" s="82" t="n"/>
      <c r="K21" s="4" t="n"/>
      <c r="L21" s="4" t="n"/>
    </row>
    <row r="22" ht="21.75" customHeight="1">
      <c r="A22" s="4" t="n"/>
      <c r="B22" s="34" t="inlineStr">
        <is>
          <t>일사용료
(VAT포함)</t>
        </is>
      </c>
      <c r="C22" s="65">
        <f>IFERROR(TEXT(VLOOKUP($L$2,[2]계약리스트!$A$2:$AD$10000,9,0),"#,##0")&amp;" 원","")</f>
        <v/>
      </c>
      <c r="D22" s="82" t="n"/>
      <c r="E22" s="35" t="inlineStr">
        <is>
          <t>보증금</t>
        </is>
      </c>
      <c r="F22" s="65">
        <f>IFERROR(TEXT(VLOOKUP($L$2,[2]계약리스트!$A$2:$AD$10000,11,0),"#,##0")&amp;" 원","")</f>
        <v/>
      </c>
      <c r="G22" s="82" t="n"/>
      <c r="H22" s="34" t="inlineStr">
        <is>
          <t>요금결제일</t>
        </is>
      </c>
      <c r="I22" s="65">
        <f>IFERROR(IF(VLOOKUP($L$2,[2]계약리스트!$A$2:$AD$10000,25,0)="","",VLOOKUP($L$2,[2]계약리스트!$A$2:$AD$10000,25,0)),"")</f>
        <v/>
      </c>
      <c r="J22" s="82" t="n"/>
      <c r="K22" s="4" t="n"/>
      <c r="L22" s="4" t="n"/>
    </row>
    <row r="23" ht="21.75" customHeight="1">
      <c r="A23" s="4" t="n"/>
      <c r="B23" s="34" t="inlineStr">
        <is>
          <t>납입방법</t>
        </is>
      </c>
      <c r="C23" s="65">
        <f>IFERROR(IF(VLOOKUP($L$2,[2]계약리스트!$A$2:$AD$10000,23,0)="","",VLOOKUP($L$2,[2]계약리스트!$A$2:$AD$10000,23,0)),"")</f>
        <v/>
      </c>
      <c r="D23" s="82" t="n"/>
      <c r="E23" s="34" t="inlineStr">
        <is>
          <t>청구시작일</t>
        </is>
      </c>
      <c r="F23" s="67">
        <f>TEXT(_xlfn.XLOOKUP(L2,[2]계약리스트!A:A,[2]계약리스트!B:B), "yyyy년 mm월 dd일")</f>
        <v/>
      </c>
      <c r="G23" s="83" t="n"/>
      <c r="H23" s="83" t="n"/>
      <c r="I23" s="83" t="n"/>
      <c r="J23" s="82" t="n"/>
      <c r="K23" s="4" t="n"/>
      <c r="L23" s="4" t="n"/>
    </row>
    <row r="24" ht="21.75" customHeight="1">
      <c r="A24" s="4" t="n"/>
      <c r="B24" s="34" t="inlineStr">
        <is>
          <t>납입계좌</t>
        </is>
      </c>
      <c r="C24" s="64">
        <f>IFERROR(IF(VLOOKUP($L$2,[2]계약리스트!$A$2:$AD$10000,24,0)="","",VLOOKUP($L$2,[2]계약리스트!$A$2:$AD$10000,24,0)),"")</f>
        <v/>
      </c>
      <c r="D24" s="83" t="n"/>
      <c r="E24" s="83" t="n"/>
      <c r="F24" s="83" t="n"/>
      <c r="G24" s="83" t="n"/>
      <c r="H24" s="83" t="n"/>
      <c r="I24" s="83" t="n"/>
      <c r="J24" s="82" t="n"/>
      <c r="K24" s="4" t="n"/>
      <c r="L24" s="4" t="n"/>
    </row>
    <row r="25" ht="7.5" customHeight="1">
      <c r="A25" s="4" t="n"/>
      <c r="B25" s="4" t="n"/>
      <c r="C25" s="4" t="n"/>
      <c r="D25" s="4" t="n"/>
      <c r="E25" s="28" t="n"/>
      <c r="F25" s="4" t="n"/>
      <c r="G25" s="4" t="n"/>
      <c r="H25" s="4" t="n"/>
      <c r="I25" s="4" t="n"/>
      <c r="J25" s="4" t="n"/>
      <c r="K25" s="4" t="n"/>
      <c r="L25" s="4" t="n"/>
    </row>
    <row r="26" ht="25.5" customHeight="1">
      <c r="A26" s="4" t="n"/>
      <c r="B26" s="38" t="inlineStr">
        <is>
          <t>■ 회사 정보</t>
        </is>
      </c>
      <c r="K26" s="4" t="n"/>
      <c r="L26" s="4" t="n"/>
    </row>
    <row r="27" ht="21.75" customHeight="1">
      <c r="A27" s="4" t="n"/>
      <c r="B27" s="7" t="inlineStr">
        <is>
          <t>상호</t>
        </is>
      </c>
      <c r="C27" s="64" t="inlineStr">
        <is>
          <t>포어스바이크 유한회사</t>
        </is>
      </c>
      <c r="D27" s="82" t="n"/>
      <c r="E27" s="7" t="inlineStr">
        <is>
          <t>사업자번호</t>
        </is>
      </c>
      <c r="F27" s="65" t="inlineStr">
        <is>
          <t>104-86-62883</t>
        </is>
      </c>
      <c r="G27" s="82" t="n"/>
      <c r="H27" s="7" t="inlineStr">
        <is>
          <t>대표이사</t>
        </is>
      </c>
      <c r="I27" s="64" t="inlineStr">
        <is>
          <t>김현수</t>
        </is>
      </c>
      <c r="J27" s="82" t="n"/>
      <c r="K27" s="4" t="n"/>
      <c r="L27" s="4" t="n"/>
    </row>
    <row r="28" ht="21.75" customHeight="1">
      <c r="A28" s="4" t="n"/>
      <c r="B28" s="7" t="inlineStr">
        <is>
          <t>주소</t>
        </is>
      </c>
      <c r="C28" s="63" t="inlineStr">
        <is>
          <t>강원특별자치도 춘천시 춘천로 188, 210호, 211호-에이66호</t>
        </is>
      </c>
      <c r="D28" s="83" t="n"/>
      <c r="E28" s="83" t="n"/>
      <c r="F28" s="82" t="n"/>
      <c r="G28" s="7" t="inlineStr">
        <is>
          <t>고객센터</t>
        </is>
      </c>
      <c r="H28" s="65" t="inlineStr">
        <is>
          <t>010-2730-7845</t>
        </is>
      </c>
      <c r="I28" s="83" t="n"/>
      <c r="J28" s="82" t="n"/>
      <c r="K28" s="4" t="n"/>
      <c r="L28" s="4" t="n"/>
    </row>
    <row r="29" ht="7.5" customHeight="1">
      <c r="A29" s="4" t="n"/>
      <c r="B29" s="4" t="n"/>
      <c r="C29" s="4" t="n"/>
      <c r="D29" s="4" t="n"/>
      <c r="E29" s="28" t="n"/>
      <c r="F29" s="4" t="n"/>
      <c r="G29" s="4" t="n"/>
      <c r="H29" s="4" t="n"/>
      <c r="I29" s="4" t="n"/>
      <c r="J29" s="4" t="n"/>
      <c r="K29" s="4" t="n"/>
      <c r="L29" s="4" t="n"/>
    </row>
    <row r="30" ht="25.5" customHeight="1">
      <c r="A30" s="4" t="n"/>
      <c r="B30" s="66" t="inlineStr">
        <is>
          <t>⚠ 주요 확인사항 (서명 전 필독)</t>
        </is>
      </c>
      <c r="K30" s="4" t="n"/>
      <c r="L30" s="4" t="n"/>
    </row>
    <row r="31" ht="31.5" customHeight="1">
      <c r="A31" s="4" t="n"/>
      <c r="B31" s="60" t="inlineStr">
        <is>
          <t>운행자성</t>
        </is>
      </c>
      <c r="C31" s="82" t="n"/>
      <c r="D31" s="61" t="inlineStr">
        <is>
          <t>회사는 본 차량의 소유자이나 자동차손해배상보장법상 "운행자"가 아니며, 운행자성(운행지배·운행이익)은 전적으로 계약자에게 있습니다. 따라서 운행 중 발생하는 모든 인적·물적 손해의 운행자 책임은 계약자가 부담합니다.</t>
        </is>
      </c>
      <c r="E31" s="83" t="n"/>
      <c r="F31" s="83" t="n"/>
      <c r="G31" s="83" t="n"/>
      <c r="H31" s="83" t="n"/>
      <c r="I31" s="83" t="n"/>
      <c r="J31" s="82" t="n"/>
      <c r="K31" s="4" t="n"/>
      <c r="L31" s="4" t="n"/>
    </row>
    <row r="32" ht="31.5" customHeight="1">
      <c r="A32" s="4" t="n"/>
      <c r="B32" s="60" t="inlineStr">
        <is>
          <t>사고 즉시 고지 의무</t>
        </is>
      </c>
      <c r="C32" s="82" t="n"/>
      <c r="D32" s="61" t="inlineStr">
        <is>
          <t>회사는 운행자가 아니므로 사고 발생 사실을 직접 인지할 수 없습니다. 사고(인적·물적 손해, 단독사고, 차량 파손, 도난, 멸실 등 일체) 발생 시 계약자는 즉시 회사에 고지하여야 하며, 미고지·지연 고지로 발생하는 모든 손해(보험 미보장분, 회사 추가 부담 비용 등)는 계약자가 전적으로 책임지며 회사는 본 계약을 즉시 해지하고 차량을 회수할 수 있습니다.</t>
        </is>
      </c>
      <c r="E32" s="83" t="n"/>
      <c r="F32" s="83" t="n"/>
      <c r="G32" s="83" t="n"/>
      <c r="H32" s="83" t="n"/>
      <c r="I32" s="83" t="n"/>
      <c r="J32" s="82" t="n"/>
      <c r="K32" s="4" t="n"/>
      <c r="L32" s="4" t="n"/>
    </row>
    <row r="33" ht="31.5" customHeight="1">
      <c r="A33" s="4" t="n"/>
      <c r="B33" s="60" t="inlineStr">
        <is>
          <t>보험연령 미달자 운전</t>
        </is>
      </c>
      <c r="C33" s="82" t="n"/>
      <c r="D33" s="61" t="inlineStr">
        <is>
          <t>본 차량은 보험연령 이상의 운전자만이 운행해야 합니다. 보험연령 미달자가 운행하여 발생한 사고·손해·보험사 구상금은 회사의 라이더 신원·연령 확인 여부와 관계없이 계약자가 전적으로 책임집니다.</t>
        </is>
      </c>
      <c r="E33" s="83" t="n"/>
      <c r="F33" s="83" t="n"/>
      <c r="G33" s="83" t="n"/>
      <c r="H33" s="83" t="n"/>
      <c r="I33" s="83" t="n"/>
      <c r="J33" s="82" t="n"/>
      <c r="K33" s="4" t="n"/>
      <c r="L33" s="4" t="n"/>
    </row>
    <row r="34" ht="31.5" customHeight="1">
      <c r="A34" s="4" t="n"/>
      <c r="B34" s="62" t="inlineStr">
        <is>
          <t>12대 중과실·면책사고</t>
        </is>
      </c>
      <c r="C34" s="82" t="n"/>
      <c r="D34" s="61" t="inlineStr">
        <is>
          <t>신호위반·중앙선침범·무면허·음주운전 등 12대 중과실 또는 보험약관상 면책사항(고의·약물·범죄·운행자 범위 외 운전·도난중 운행 등)에 해당하는 사고로 회사에 보험사 구상금이 청구되는 경우, 계약자는 통보 후 7일 이내에 전액 변제하여야 합니다.</t>
        </is>
      </c>
      <c r="E34" s="83" t="n"/>
      <c r="F34" s="83" t="n"/>
      <c r="G34" s="83" t="n"/>
      <c r="H34" s="83" t="n"/>
      <c r="I34" s="83" t="n"/>
      <c r="J34" s="82" t="n"/>
      <c r="K34" s="4" t="n"/>
      <c r="L34" s="4" t="n"/>
    </row>
    <row r="35" ht="31.5" customHeight="1">
      <c r="A35" s="4" t="n"/>
      <c r="B35" s="60" t="inlineStr">
        <is>
          <t>미변제 시 즉시 처리</t>
        </is>
      </c>
      <c r="C35" s="82" t="n"/>
      <c r="D35" s="61" t="inlineStr">
        <is>
          <t>위 구상금을 7일 이내 변제하지 아니하는 경우 본 계약은 자동 해지되고, 회사는 차량을 즉시 회수하며, 보증금은 반환하지 아니합니다(위약금·손해배상금은 별도 청구).</t>
        </is>
      </c>
      <c r="E35" s="83" t="n"/>
      <c r="F35" s="83" t="n"/>
      <c r="G35" s="83" t="n"/>
      <c r="H35" s="83" t="n"/>
      <c r="I35" s="83" t="n"/>
      <c r="J35" s="82" t="n"/>
      <c r="K35" s="4" t="n"/>
      <c r="L35" s="4" t="n"/>
    </row>
    <row r="36" ht="31.5" customHeight="1">
      <c r="A36" s="4" t="n"/>
      <c r="B36" s="54" t="inlineStr">
        <is>
          <t>계열사 미납 교차 적용</t>
        </is>
      </c>
      <c r="C36" s="82" t="n"/>
      <c r="D36" s="55" t="inlineStr">
        <is>
          <t>계약자가 한국모터사이클리스 유한회사 또는 회사의 계열사와 체결한 다른 이륜차 계약에서 미수금이 7일 이상 지속되는 경우, 회사는 본 계약을 해지하고 본 차량을 회수할 수 있습니다.</t>
        </is>
      </c>
      <c r="E36" s="83" t="n"/>
      <c r="F36" s="83" t="n"/>
      <c r="G36" s="83" t="n"/>
      <c r="H36" s="83" t="n"/>
      <c r="I36" s="83" t="n"/>
      <c r="J36" s="82" t="n"/>
      <c r="K36" s="4" t="n"/>
      <c r="L36" s="4" t="n"/>
    </row>
    <row r="37" ht="31.5" customHeight="1">
      <c r="A37" s="4" t="n"/>
      <c r="B37" s="54" t="inlineStr">
        <is>
          <t>보증금 처리</t>
        </is>
      </c>
      <c r="C37" s="82" t="n"/>
      <c r="D37" s="55" t="inlineStr">
        <is>
          <t>계약 취소·중도 해지 시 보증금은 반환되지 않으며, 위약금 및 손해배상금은 별도로 청구됩니다.</t>
        </is>
      </c>
      <c r="E37" s="83" t="n"/>
      <c r="F37" s="83" t="n"/>
      <c r="G37" s="83" t="n"/>
      <c r="H37" s="83" t="n"/>
      <c r="I37" s="83" t="n"/>
      <c r="J37" s="82" t="n"/>
      <c r="K37" s="4" t="n"/>
      <c r="L37" s="4" t="n"/>
    </row>
    <row r="38" ht="31.5" customHeight="1">
      <c r="A38" s="4" t="n"/>
      <c r="B38" s="54" t="inlineStr">
        <is>
          <t>수납 방식</t>
        </is>
      </c>
      <c r="C38" s="82" t="n"/>
      <c r="D38" s="55" t="inlineStr">
        <is>
          <t>본 계약 모든 대금은 포어스바이크(유) 명의 계좌로 직접 입금되며, 타 계좌 입금 시 수납이 확인되지 않을 수 있습니다.</t>
        </is>
      </c>
      <c r="E38" s="83" t="n"/>
      <c r="F38" s="83" t="n"/>
      <c r="G38" s="83" t="n"/>
      <c r="H38" s="83" t="n"/>
      <c r="I38" s="83" t="n"/>
      <c r="J38" s="82" t="n"/>
      <c r="K38" s="4" t="n"/>
      <c r="L38" s="4" t="n"/>
    </row>
    <row r="39" ht="7.5" customHeight="1">
      <c r="A39" s="4" t="n"/>
      <c r="B39" s="4" t="n"/>
      <c r="C39" s="4" t="n"/>
      <c r="D39" s="4" t="n"/>
      <c r="E39" s="28" t="n"/>
      <c r="F39" s="4" t="n"/>
      <c r="G39" s="4" t="n"/>
      <c r="H39" s="4" t="n"/>
      <c r="I39" s="4" t="n"/>
      <c r="J39" s="4" t="n"/>
      <c r="K39" s="4" t="n"/>
      <c r="L39" s="4" t="n"/>
    </row>
    <row r="40" ht="25.5" customHeight="1">
      <c r="A40" s="4" t="n"/>
      <c r="B40" s="85" t="inlineStr">
        <is>
          <t>■ 개인(신용)정보 수집·이용, 금융거래정보 제공, 업무위탁 동의</t>
        </is>
      </c>
      <c r="C40" s="86" t="n"/>
      <c r="D40" s="86" t="n"/>
      <c r="E40" s="86" t="n"/>
      <c r="F40" s="86" t="n"/>
      <c r="G40" s="86" t="n"/>
      <c r="H40" s="86" t="n"/>
      <c r="I40" s="86" t="n"/>
      <c r="J40" s="87" t="n"/>
      <c r="K40" s="4" t="n"/>
      <c r="L40" s="4" t="n"/>
    </row>
    <row r="41" ht="25.5" customHeight="1">
      <c r="A41" s="4" t="n"/>
      <c r="B41" s="47" t="inlineStr">
        <is>
          <t>수집·이용 목적</t>
        </is>
      </c>
      <c r="C41" s="82" t="n"/>
      <c r="D41" s="49" t="inlineStr">
        <is>
          <t>거래관계 설정·유지, 상품 제공, 법령상 의무이행, 분쟁처리, 차량 분실 방지, 사고 대응, 보험사고 처리, 채권 관리 등 계약 이행 전반</t>
        </is>
      </c>
      <c r="E41" s="83" t="n"/>
      <c r="F41" s="83" t="n"/>
      <c r="G41" s="83" t="n"/>
      <c r="H41" s="83" t="n"/>
      <c r="I41" s="83" t="n"/>
      <c r="J41" s="82" t="n"/>
      <c r="K41" s="4" t="n"/>
      <c r="L41" s="4" t="n"/>
    </row>
    <row r="42" ht="25.5" customHeight="1">
      <c r="A42" s="4" t="n"/>
      <c r="B42" s="47" t="inlineStr">
        <is>
          <t>수집 항목</t>
        </is>
      </c>
      <c r="C42" s="82" t="n"/>
      <c r="D42" s="49" t="inlineStr">
        <is>
          <t>사업장 상호·사업자번호·주소·연락처·이메일, 대표자 성명·주민등록번호·휴대전화번호·주소, 거래계좌 정보, 차량 위치정보(FMS 수집 포함)</t>
        </is>
      </c>
      <c r="E42" s="83" t="n"/>
      <c r="F42" s="83" t="n"/>
      <c r="G42" s="83" t="n"/>
      <c r="H42" s="83" t="n"/>
      <c r="I42" s="83" t="n"/>
      <c r="J42" s="82" t="n"/>
      <c r="K42" s="4" t="n"/>
      <c r="L42" s="4" t="n"/>
    </row>
    <row r="43" ht="25.5" customHeight="1">
      <c r="A43" s="4" t="n"/>
      <c r="B43" s="47" t="inlineStr">
        <is>
          <t>보유·이용 기간</t>
        </is>
      </c>
      <c r="C43" s="82" t="n"/>
      <c r="D43" s="49" t="inlineStr">
        <is>
          <t>수집 목적 달성 후 파기. 단, 전자상거래법 등 관련 법령에 따라 계약·결제 기록 5년, 불량이용자 재가입 방지 기록 해지 후 1년 보존</t>
        </is>
      </c>
      <c r="E43" s="83" t="n"/>
      <c r="F43" s="83" t="n"/>
      <c r="G43" s="83" t="n"/>
      <c r="H43" s="83" t="n"/>
      <c r="I43" s="83" t="n"/>
      <c r="J43" s="82" t="n"/>
      <c r="K43" s="4" t="n"/>
      <c r="L43" s="4" t="n"/>
    </row>
    <row r="44" ht="25.5" customHeight="1">
      <c r="A44" s="4" t="n"/>
      <c r="B44" s="47" t="inlineStr">
        <is>
          <t>금융거래정보 제공</t>
        </is>
      </c>
      <c r="C44" s="82" t="n"/>
      <c r="D44" s="49" t="inlineStr">
        <is>
          <t>신용카드·자동이체 등록·해지 시까지 회사 및 결제대행사에 거래정보 제공 (금융실명법에 따라 동의)</t>
        </is>
      </c>
      <c r="E44" s="83" t="n"/>
      <c r="F44" s="83" t="n"/>
      <c r="G44" s="83" t="n"/>
      <c r="H44" s="83" t="n"/>
      <c r="I44" s="83" t="n"/>
      <c r="J44" s="82" t="n"/>
      <c r="K44" s="4" t="n"/>
      <c r="L44" s="4" t="n"/>
    </row>
    <row r="45" ht="25.5" customHeight="1">
      <c r="A45" s="4" t="n"/>
      <c r="B45" s="47" t="inlineStr">
        <is>
          <t>자동이체 동의</t>
        </is>
      </c>
      <c r="C45" s="82" t="n"/>
      <c r="D45" s="49" t="inlineStr">
        <is>
          <t>매월 발생하는 렌트료, 보증금, 위약금, 과태료, 범칙금, 보험사 구상금 등을 신용카드 자동승인 또는 계좌 자동이체로 출금 거래 신청</t>
        </is>
      </c>
      <c r="E45" s="83" t="n"/>
      <c r="F45" s="83" t="n"/>
      <c r="G45" s="83" t="n"/>
      <c r="H45" s="83" t="n"/>
      <c r="I45" s="83" t="n"/>
      <c r="J45" s="82" t="n"/>
      <c r="K45" s="4" t="n"/>
      <c r="L45" s="4" t="n"/>
    </row>
    <row r="46" ht="25.5" customHeight="1">
      <c r="A46" s="4" t="n"/>
      <c r="B46" s="47" t="inlineStr">
        <is>
          <t>업무위탁 내역</t>
        </is>
      </c>
      <c r="C46" s="82" t="n"/>
      <c r="D46" s="49" t="inlineStr">
        <is>
          <t>협력사(공급·운송·출고 정보), 배달대행사(고객정보), 차량등록소(등록 사무), 효성에프엠에스(자동이체)</t>
        </is>
      </c>
      <c r="E46" s="83" t="n"/>
      <c r="F46" s="83" t="n"/>
      <c r="G46" s="83" t="n"/>
      <c r="H46" s="83" t="n"/>
      <c r="I46" s="83" t="n"/>
      <c r="J46" s="82" t="n"/>
      <c r="K46" s="4" t="n"/>
      <c r="L46" s="4" t="n"/>
    </row>
    <row r="47" ht="25.5" customHeight="1">
      <c r="A47" s="4" t="n"/>
      <c r="B47" s="52" t="inlineStr">
        <is>
          <t xml:space="preserve">상기 "개인(신용)정보 수집·이용·제공 동의", "금융거래정보 제공 동의", "업무위탁 동의"에 대하여       □ 동의안함       □ 전부 동의함 </t>
        </is>
      </c>
      <c r="C47" s="88" t="n"/>
      <c r="D47" s="88" t="n"/>
      <c r="E47" s="88" t="n"/>
      <c r="F47" s="88" t="n"/>
      <c r="G47" s="88" t="n"/>
      <c r="H47" s="88" t="n"/>
      <c r="I47" s="88" t="n"/>
      <c r="J47" s="89" t="n"/>
      <c r="K47" s="4" t="n"/>
      <c r="L47" s="4" t="n"/>
    </row>
    <row r="48" ht="12" customHeight="1">
      <c r="A48" s="4" t="n"/>
      <c r="B48" s="4" t="n"/>
      <c r="C48" s="4" t="n"/>
      <c r="D48" s="4" t="n"/>
      <c r="E48" s="28" t="n"/>
      <c r="F48" s="4" t="n"/>
      <c r="G48" s="4" t="n"/>
      <c r="H48" s="4" t="n"/>
      <c r="I48" s="4" t="n"/>
      <c r="J48" s="4" t="n"/>
      <c r="K48" s="4" t="n"/>
      <c r="L48" s="4" t="n"/>
    </row>
    <row r="49" ht="25.5" customHeight="1">
      <c r="A49" s="4" t="n"/>
      <c r="B49" s="38" t="inlineStr">
        <is>
          <t>■ 계약 체결</t>
        </is>
      </c>
      <c r="K49" s="4" t="n"/>
      <c r="L49" s="4" t="n"/>
    </row>
    <row r="50" ht="36" customHeight="1">
      <c r="A50" s="4" t="n"/>
      <c r="B50" s="39" t="inlineStr">
        <is>
          <t>본인은 본 이륜차 종합렌트 계약서와 이용약관의 내용을 전부 설명 듣고 확인하였으며, 본 계약에 따른 권리·의무와 운행자성·보험연령·사고 고지·면책사고 책임 등 제반 사항에 이의 없이 동의합니다.</t>
        </is>
      </c>
      <c r="C50" s="83" t="n"/>
      <c r="D50" s="83" t="n"/>
      <c r="E50" s="83" t="n"/>
      <c r="F50" s="83" t="n"/>
      <c r="G50" s="83" t="n"/>
      <c r="H50" s="83" t="n"/>
      <c r="I50" s="83" t="n"/>
      <c r="J50" s="82" t="n"/>
      <c r="K50" s="4" t="n"/>
      <c r="L50" s="4" t="n"/>
    </row>
    <row r="51" ht="48" customHeight="1">
      <c r="A51" s="4" t="n"/>
      <c r="B51" s="36" t="inlineStr">
        <is>
          <t>계약자</t>
        </is>
      </c>
      <c r="C51" s="90">
        <f>IFERROR(IF(VLOOKUP($L$2,[3]계약리스트!$A$2:$AD$10000,14,0)="","",VLOOKUP($L$2,[3]계약리스트!$A$2:$AD$10000,14,0)),"")</f>
        <v/>
      </c>
      <c r="D51" s="83" t="n"/>
      <c r="E51" s="82" t="n"/>
      <c r="F51" s="9" t="inlineStr">
        <is>
          <t>(인)</t>
        </is>
      </c>
      <c r="G51" s="36" t="inlineStr">
        <is>
          <t>연대보증인</t>
        </is>
      </c>
      <c r="H51" s="40">
        <f>IFERROR(IF(VLOOKUP($L$2,[3]계약리스트!$A$2:$AD$10000,12,0)="","",VLOOKUP($L$2,[3]계약리스트!$A$2:$AD$10000,12,0)),"")</f>
        <v/>
      </c>
      <c r="I51" s="82" t="n"/>
      <c r="J51" s="9" t="inlineStr">
        <is>
          <t>(인)</t>
        </is>
      </c>
      <c r="K51" s="4" t="n"/>
      <c r="L51" s="4" t="n"/>
    </row>
    <row r="52" ht="24" customHeight="1">
      <c r="A52" s="4" t="n"/>
      <c r="B52" s="34" t="inlineStr">
        <is>
          <t>공급자</t>
        </is>
      </c>
      <c r="C52" s="46" t="inlineStr">
        <is>
          <t>포어스바이크 (유)</t>
        </is>
      </c>
      <c r="D52" s="83" t="n"/>
      <c r="E52" s="83" t="n"/>
      <c r="F52" s="83" t="n"/>
      <c r="G52" s="83" t="n"/>
      <c r="H52" s="83" t="n"/>
      <c r="I52" s="82" t="n"/>
      <c r="J52" s="9" t="inlineStr">
        <is>
          <t>(인)</t>
        </is>
      </c>
      <c r="K52" s="4" t="n"/>
      <c r="L52" s="4" t="n"/>
    </row>
    <row r="53" ht="15.6" customHeight="1">
      <c r="A53" s="4" t="n"/>
      <c r="B53" s="4" t="n"/>
      <c r="C53" s="4" t="n"/>
      <c r="D53" s="4" t="n"/>
      <c r="E53" s="28" t="n"/>
      <c r="F53" s="4" t="n"/>
      <c r="G53" s="4" t="n"/>
      <c r="H53" s="4" t="n"/>
      <c r="I53" s="4" t="n"/>
      <c r="J53" s="4" t="n"/>
      <c r="K53" s="4" t="n"/>
      <c r="L53" s="4" t="n"/>
    </row>
    <row r="54" ht="15.6" customHeight="1">
      <c r="A54" s="4" t="n"/>
      <c r="B54" s="4" t="n"/>
      <c r="C54" s="4" t="n"/>
      <c r="D54" s="4" t="n"/>
      <c r="E54" s="28" t="n"/>
      <c r="F54" s="4" t="n"/>
      <c r="G54" s="4" t="n"/>
      <c r="H54" s="4" t="n"/>
      <c r="I54" s="4" t="n"/>
      <c r="J54" s="4" t="n"/>
      <c r="K54" s="4" t="n"/>
      <c r="L54" s="4" t="n"/>
    </row>
    <row r="55" ht="15.6" customHeight="1">
      <c r="A55" s="4" t="n"/>
      <c r="B55" s="4" t="n"/>
      <c r="C55" s="4" t="n"/>
      <c r="D55" s="4" t="n"/>
      <c r="E55" s="28" t="n"/>
      <c r="F55" s="4" t="n"/>
      <c r="G55" s="4" t="n"/>
      <c r="H55" s="4" t="n"/>
      <c r="I55" s="4" t="n"/>
      <c r="J55" s="4" t="n"/>
      <c r="K55" s="4" t="n"/>
      <c r="L55" s="4" t="n"/>
    </row>
    <row r="56" ht="15.6" customHeight="1">
      <c r="A56" s="4" t="n"/>
      <c r="B56" s="4" t="n"/>
      <c r="C56" s="4" t="n"/>
      <c r="D56" s="4" t="n"/>
      <c r="E56" s="28" t="n"/>
      <c r="F56" s="4" t="n"/>
      <c r="G56" s="4" t="n"/>
      <c r="H56" s="4" t="n"/>
      <c r="I56" s="4" t="n"/>
      <c r="J56" s="4" t="n"/>
      <c r="K56" s="4" t="n"/>
      <c r="L56" s="4" t="n"/>
    </row>
    <row r="57" ht="15.6" customHeight="1">
      <c r="A57" s="4" t="n"/>
      <c r="B57" s="4" t="n"/>
      <c r="C57" s="4" t="n"/>
      <c r="D57" s="4" t="n"/>
      <c r="E57" s="28" t="n"/>
      <c r="F57" s="4" t="n"/>
      <c r="G57" s="4" t="n"/>
      <c r="H57" s="4" t="n"/>
      <c r="I57" s="4" t="n"/>
      <c r="J57" s="4" t="n"/>
      <c r="K57" s="4" t="n"/>
      <c r="L57" s="4" t="n"/>
    </row>
    <row r="58" ht="15.6" customHeight="1">
      <c r="A58" s="4" t="n"/>
      <c r="B58" s="4" t="n"/>
      <c r="C58" s="4" t="n"/>
      <c r="D58" s="4" t="n"/>
      <c r="E58" s="28" t="n"/>
      <c r="F58" s="4" t="n"/>
      <c r="G58" s="4" t="n"/>
      <c r="H58" s="4" t="n"/>
      <c r="I58" s="4" t="n"/>
      <c r="J58" s="4" t="n"/>
      <c r="K58" s="4" t="n"/>
      <c r="L58" s="4" t="n"/>
    </row>
    <row r="59" ht="15.6" customHeight="1">
      <c r="A59" s="4" t="n"/>
      <c r="B59" s="4" t="n"/>
      <c r="C59" s="4" t="n"/>
      <c r="D59" s="4" t="n"/>
      <c r="E59" s="28" t="n"/>
      <c r="F59" s="4" t="n"/>
      <c r="G59" s="4" t="n"/>
      <c r="H59" s="4" t="n"/>
      <c r="I59" s="4" t="n"/>
      <c r="J59" s="4" t="n"/>
      <c r="K59" s="4" t="n"/>
      <c r="L59" s="4" t="n"/>
    </row>
    <row r="60" ht="15.6" customHeight="1">
      <c r="A60" s="4" t="n"/>
      <c r="B60" s="4" t="n"/>
      <c r="C60" s="4" t="n"/>
      <c r="D60" s="4" t="n"/>
      <c r="E60" s="28" t="n"/>
      <c r="F60" s="4" t="n"/>
      <c r="G60" s="4" t="n"/>
      <c r="H60" s="4" t="n"/>
      <c r="I60" s="4" t="n"/>
      <c r="J60" s="4" t="n"/>
      <c r="K60" s="4" t="n"/>
      <c r="L60" s="4" t="n"/>
    </row>
    <row r="61" ht="15.6" customHeight="1">
      <c r="A61" s="4" t="n"/>
      <c r="B61" s="4" t="n"/>
      <c r="C61" s="4" t="n"/>
      <c r="D61" s="4" t="n"/>
      <c r="E61" s="28" t="n"/>
      <c r="F61" s="4" t="n"/>
      <c r="G61" s="4" t="n"/>
      <c r="H61" s="4" t="n"/>
      <c r="I61" s="4" t="n"/>
      <c r="J61" s="4" t="n"/>
      <c r="K61" s="4" t="n"/>
      <c r="L61" s="4" t="n"/>
    </row>
    <row r="62" ht="15.6" customHeight="1">
      <c r="A62" s="4" t="n"/>
      <c r="B62" s="4" t="n"/>
      <c r="C62" s="4" t="n"/>
      <c r="D62" s="4" t="n"/>
      <c r="E62" s="28" t="n"/>
      <c r="F62" s="4" t="n"/>
      <c r="G62" s="4" t="n"/>
      <c r="H62" s="4" t="n"/>
      <c r="I62" s="4" t="n"/>
      <c r="J62" s="4" t="n"/>
      <c r="K62" s="4" t="n"/>
      <c r="L62" s="4" t="n"/>
    </row>
    <row r="63" ht="15.6" customHeight="1">
      <c r="A63" s="4" t="n"/>
      <c r="B63" s="4" t="n"/>
      <c r="C63" s="4" t="n"/>
      <c r="D63" s="4" t="n"/>
      <c r="E63" s="28" t="n"/>
      <c r="F63" s="4" t="n"/>
      <c r="G63" s="4" t="n"/>
      <c r="H63" s="4" t="n"/>
      <c r="I63" s="4" t="n"/>
      <c r="J63" s="4" t="n"/>
      <c r="K63" s="4" t="n"/>
      <c r="L63" s="4" t="n"/>
    </row>
    <row r="64" ht="15.6" customHeight="1">
      <c r="A64" s="4" t="n"/>
      <c r="B64" s="4" t="n"/>
      <c r="C64" s="4" t="n"/>
      <c r="D64" s="4" t="n"/>
      <c r="E64" s="28" t="n"/>
      <c r="F64" s="4" t="n"/>
      <c r="G64" s="4" t="n"/>
      <c r="H64" s="4" t="n"/>
      <c r="I64" s="4" t="n"/>
      <c r="J64" s="4" t="n"/>
      <c r="K64" s="4" t="n"/>
      <c r="L64" s="4" t="n"/>
    </row>
    <row r="65" ht="15.6" customHeight="1">
      <c r="A65" s="4" t="n"/>
      <c r="B65" s="4" t="n"/>
      <c r="C65" s="4" t="n"/>
      <c r="D65" s="4" t="n"/>
      <c r="E65" s="28" t="n"/>
      <c r="F65" s="4" t="n"/>
      <c r="G65" s="4" t="n"/>
      <c r="H65" s="4" t="n"/>
      <c r="I65" s="4" t="n"/>
      <c r="J65" s="4" t="n"/>
      <c r="K65" s="4" t="n"/>
      <c r="L65" s="4" t="n"/>
    </row>
    <row r="66" ht="15.6" customHeight="1">
      <c r="A66" s="4" t="n"/>
      <c r="B66" s="4" t="n"/>
      <c r="C66" s="4" t="n"/>
      <c r="D66" s="4" t="n"/>
      <c r="E66" s="28" t="n"/>
      <c r="F66" s="4" t="n"/>
      <c r="G66" s="4" t="n"/>
      <c r="H66" s="4" t="n"/>
      <c r="I66" s="4" t="n"/>
      <c r="J66" s="4" t="n"/>
      <c r="K66" s="4" t="n"/>
      <c r="L66" s="4" t="n"/>
    </row>
    <row r="67" ht="15.6" customHeight="1">
      <c r="A67" s="4" t="n"/>
      <c r="B67" s="4" t="n"/>
      <c r="C67" s="4" t="n"/>
      <c r="D67" s="4" t="n"/>
      <c r="E67" s="28" t="n"/>
      <c r="F67" s="4" t="n"/>
      <c r="G67" s="4" t="n"/>
      <c r="H67" s="4" t="n"/>
      <c r="I67" s="4" t="n"/>
      <c r="J67" s="4" t="n"/>
      <c r="K67" s="4" t="n"/>
      <c r="L67" s="4" t="n"/>
    </row>
    <row r="68" ht="15.6" customHeight="1">
      <c r="A68" s="4" t="n"/>
      <c r="B68" s="4" t="n"/>
      <c r="C68" s="4" t="n"/>
      <c r="D68" s="4" t="n"/>
      <c r="E68" s="28" t="n"/>
      <c r="F68" s="4" t="n"/>
      <c r="G68" s="4" t="n"/>
      <c r="H68" s="4" t="n"/>
      <c r="I68" s="4" t="n"/>
      <c r="J68" s="4" t="n"/>
      <c r="K68" s="4" t="n"/>
      <c r="L68" s="4" t="n"/>
    </row>
    <row r="69" ht="15.6" customHeight="1">
      <c r="A69" s="4" t="n"/>
      <c r="B69" s="4" t="n"/>
      <c r="C69" s="4" t="n"/>
      <c r="D69" s="4" t="n"/>
      <c r="E69" s="28" t="n"/>
      <c r="F69" s="4" t="n"/>
      <c r="G69" s="4" t="n"/>
      <c r="H69" s="4" t="n"/>
      <c r="I69" s="4" t="n"/>
      <c r="J69" s="4" t="n"/>
      <c r="K69" s="4" t="n"/>
      <c r="L69" s="4" t="n"/>
    </row>
    <row r="70" ht="15.6" customHeight="1">
      <c r="A70" s="4" t="n"/>
      <c r="B70" s="4" t="n"/>
      <c r="C70" s="4" t="n"/>
      <c r="D70" s="4" t="n"/>
      <c r="E70" s="28" t="n"/>
      <c r="F70" s="4" t="n"/>
      <c r="G70" s="4" t="n"/>
      <c r="H70" s="4" t="n"/>
      <c r="I70" s="4" t="n"/>
      <c r="J70" s="4" t="n"/>
      <c r="K70" s="4" t="n"/>
      <c r="L70" s="4" t="n"/>
    </row>
    <row r="71" ht="15.6" customHeight="1">
      <c r="A71" s="4" t="n"/>
      <c r="B71" s="4" t="n"/>
      <c r="C71" s="4" t="n"/>
      <c r="D71" s="4" t="n"/>
      <c r="E71" s="28" t="n"/>
      <c r="F71" s="4" t="n"/>
      <c r="G71" s="4" t="n"/>
      <c r="H71" s="4" t="n"/>
      <c r="I71" s="4" t="n"/>
      <c r="J71" s="4" t="n"/>
      <c r="K71" s="4" t="n"/>
      <c r="L71" s="4" t="n"/>
    </row>
    <row r="72" ht="15.6" customHeight="1">
      <c r="A72" s="4" t="n"/>
      <c r="B72" s="4" t="n"/>
      <c r="C72" s="4" t="n"/>
      <c r="D72" s="4" t="n"/>
      <c r="E72" s="28" t="n"/>
      <c r="F72" s="4" t="n"/>
      <c r="G72" s="4" t="n"/>
      <c r="H72" s="4" t="n"/>
      <c r="I72" s="4" t="n"/>
      <c r="J72" s="4" t="n"/>
      <c r="K72" s="4" t="n"/>
      <c r="L72" s="4" t="n"/>
    </row>
    <row r="73" ht="15.6" customHeight="1">
      <c r="A73" s="4" t="n"/>
      <c r="B73" s="4" t="n"/>
      <c r="C73" s="4" t="n"/>
      <c r="D73" s="4" t="n"/>
      <c r="E73" s="28" t="n"/>
      <c r="F73" s="4" t="n"/>
      <c r="G73" s="4" t="n"/>
      <c r="H73" s="4" t="n"/>
      <c r="I73" s="4" t="n"/>
      <c r="J73" s="4" t="n"/>
      <c r="K73" s="4" t="n"/>
      <c r="L73" s="4" t="n"/>
    </row>
    <row r="74" ht="15.6" customHeight="1">
      <c r="A74" s="4" t="n"/>
      <c r="B74" s="4" t="n"/>
      <c r="C74" s="4" t="n"/>
      <c r="D74" s="4" t="n"/>
      <c r="E74" s="28" t="n"/>
      <c r="F74" s="4" t="n"/>
      <c r="G74" s="4" t="n"/>
      <c r="H74" s="4" t="n"/>
      <c r="I74" s="4" t="n"/>
      <c r="J74" s="4" t="n"/>
      <c r="K74" s="4" t="n"/>
      <c r="L74" s="4" t="n"/>
    </row>
    <row r="75" ht="15.6" customHeight="1">
      <c r="A75" s="4" t="n"/>
      <c r="B75" s="4" t="n"/>
      <c r="C75" s="4" t="n"/>
      <c r="D75" s="4" t="n"/>
      <c r="E75" s="28" t="n"/>
      <c r="F75" s="4" t="n"/>
      <c r="G75" s="4" t="n"/>
      <c r="H75" s="4" t="n"/>
      <c r="I75" s="4" t="n"/>
      <c r="J75" s="4" t="n"/>
      <c r="K75" s="4" t="n"/>
      <c r="L75" s="4" t="n"/>
    </row>
    <row r="76" ht="15.6" customHeight="1">
      <c r="A76" s="4" t="n"/>
      <c r="B76" s="4" t="n"/>
      <c r="C76" s="4" t="n"/>
      <c r="D76" s="4" t="n"/>
      <c r="E76" s="28" t="n"/>
      <c r="F76" s="4" t="n"/>
      <c r="G76" s="4" t="n"/>
      <c r="H76" s="4" t="n"/>
      <c r="I76" s="4" t="n"/>
      <c r="J76" s="4" t="n"/>
      <c r="K76" s="4" t="n"/>
      <c r="L76" s="4" t="n"/>
    </row>
    <row r="77" ht="15.6" customHeight="1">
      <c r="A77" s="4" t="n"/>
      <c r="B77" s="4" t="n"/>
      <c r="C77" s="4" t="n"/>
      <c r="D77" s="4" t="n"/>
      <c r="E77" s="28" t="n"/>
      <c r="F77" s="4" t="n"/>
      <c r="G77" s="4" t="n"/>
      <c r="H77" s="4" t="n"/>
      <c r="I77" s="4" t="n"/>
      <c r="J77" s="4" t="n"/>
      <c r="K77" s="4" t="n"/>
      <c r="L77" s="4" t="n"/>
    </row>
    <row r="78" ht="15.6" customHeight="1">
      <c r="A78" s="4" t="n"/>
      <c r="B78" s="4" t="n"/>
      <c r="C78" s="4" t="n"/>
      <c r="D78" s="4" t="n"/>
      <c r="E78" s="28" t="n"/>
      <c r="F78" s="4" t="n"/>
      <c r="G78" s="4" t="n"/>
      <c r="H78" s="4" t="n"/>
      <c r="I78" s="4" t="n"/>
      <c r="J78" s="4" t="n"/>
      <c r="K78" s="4" t="n"/>
      <c r="L78" s="4" t="n"/>
    </row>
    <row r="79" ht="15.6" customHeight="1">
      <c r="A79" s="4" t="n"/>
      <c r="B79" s="4" t="n"/>
      <c r="C79" s="4" t="n"/>
      <c r="D79" s="4" t="n"/>
      <c r="E79" s="28" t="n"/>
      <c r="F79" s="4" t="n"/>
      <c r="G79" s="4" t="n"/>
      <c r="H79" s="4" t="n"/>
      <c r="I79" s="4" t="n"/>
      <c r="J79" s="4" t="n"/>
      <c r="K79" s="4" t="n"/>
      <c r="L79" s="4" t="n"/>
    </row>
    <row r="80" ht="15.6" customHeight="1">
      <c r="A80" s="4" t="n"/>
      <c r="B80" s="4" t="n"/>
      <c r="C80" s="4" t="n"/>
      <c r="D80" s="4" t="n"/>
      <c r="E80" s="28" t="n"/>
      <c r="F80" s="4" t="n"/>
      <c r="G80" s="4" t="n"/>
      <c r="H80" s="4" t="n"/>
      <c r="I80" s="4" t="n"/>
      <c r="J80" s="4" t="n"/>
      <c r="K80" s="4" t="n"/>
      <c r="L80" s="4" t="n"/>
    </row>
    <row r="81" ht="15.6" customHeight="1">
      <c r="A81" s="4" t="n"/>
      <c r="B81" s="4" t="n"/>
      <c r="C81" s="4" t="n"/>
      <c r="D81" s="4" t="n"/>
      <c r="E81" s="28" t="n"/>
      <c r="F81" s="4" t="n"/>
      <c r="G81" s="4" t="n"/>
      <c r="H81" s="4" t="n"/>
      <c r="I81" s="4" t="n"/>
      <c r="J81" s="4" t="n"/>
      <c r="K81" s="4" t="n"/>
      <c r="L81" s="4" t="n"/>
    </row>
    <row r="82" ht="15.6" customHeight="1">
      <c r="A82" s="4" t="n"/>
      <c r="B82" s="4" t="n"/>
      <c r="C82" s="4" t="n"/>
      <c r="D82" s="4" t="n"/>
      <c r="E82" s="28" t="n"/>
      <c r="F82" s="4" t="n"/>
      <c r="G82" s="4" t="n"/>
      <c r="H82" s="4" t="n"/>
      <c r="I82" s="4" t="n"/>
      <c r="J82" s="4" t="n"/>
      <c r="K82" s="4" t="n"/>
      <c r="L82" s="4" t="n"/>
    </row>
    <row r="83" ht="15.6" customHeight="1">
      <c r="A83" s="4" t="n"/>
      <c r="B83" s="4" t="n"/>
      <c r="C83" s="4" t="n"/>
      <c r="D83" s="4" t="n"/>
      <c r="E83" s="28" t="n"/>
      <c r="F83" s="4" t="n"/>
      <c r="G83" s="4" t="n"/>
      <c r="H83" s="4" t="n"/>
      <c r="I83" s="4" t="n"/>
      <c r="J83" s="4" t="n"/>
      <c r="K83" s="4" t="n"/>
      <c r="L83" s="4" t="n"/>
    </row>
    <row r="84" ht="15.6" customHeight="1">
      <c r="A84" s="4" t="n"/>
      <c r="B84" s="4" t="n"/>
      <c r="C84" s="4" t="n"/>
      <c r="D84" s="4" t="n"/>
      <c r="E84" s="28" t="n"/>
      <c r="F84" s="4" t="n"/>
      <c r="G84" s="4" t="n"/>
      <c r="H84" s="4" t="n"/>
      <c r="I84" s="4" t="n"/>
      <c r="J84" s="4" t="n"/>
      <c r="K84" s="4" t="n"/>
      <c r="L84" s="4" t="n"/>
    </row>
    <row r="85" ht="15.6" customHeight="1">
      <c r="A85" s="4" t="n"/>
      <c r="B85" s="4" t="n"/>
      <c r="C85" s="4" t="n"/>
      <c r="D85" s="4" t="n"/>
      <c r="E85" s="28" t="n"/>
      <c r="F85" s="4" t="n"/>
      <c r="G85" s="4" t="n"/>
      <c r="H85" s="4" t="n"/>
      <c r="I85" s="4" t="n"/>
      <c r="J85" s="4" t="n"/>
      <c r="K85" s="4" t="n"/>
      <c r="L85" s="4" t="n"/>
    </row>
    <row r="86" ht="15.6" customHeight="1">
      <c r="A86" s="4" t="n"/>
      <c r="B86" s="4" t="n"/>
      <c r="C86" s="4" t="n"/>
      <c r="D86" s="4" t="n"/>
      <c r="E86" s="28" t="n"/>
      <c r="F86" s="4" t="n"/>
      <c r="G86" s="4" t="n"/>
      <c r="H86" s="4" t="n"/>
      <c r="I86" s="4" t="n"/>
      <c r="J86" s="4" t="n"/>
      <c r="K86" s="4" t="n"/>
      <c r="L86" s="4" t="n"/>
    </row>
    <row r="87" ht="15.6" customHeight="1">
      <c r="A87" s="4" t="n"/>
      <c r="B87" s="4" t="n"/>
      <c r="C87" s="4" t="n"/>
      <c r="D87" s="4" t="n"/>
      <c r="E87" s="28" t="n"/>
      <c r="F87" s="4" t="n"/>
      <c r="G87" s="4" t="n"/>
      <c r="H87" s="4" t="n"/>
      <c r="I87" s="4" t="n"/>
      <c r="J87" s="4" t="n"/>
      <c r="K87" s="4" t="n"/>
      <c r="L87" s="4" t="n"/>
    </row>
    <row r="88" ht="15.6" customHeight="1">
      <c r="A88" s="4" t="n"/>
      <c r="B88" s="4" t="n"/>
      <c r="C88" s="4" t="n"/>
      <c r="D88" s="4" t="n"/>
      <c r="E88" s="28" t="n"/>
      <c r="F88" s="4" t="n"/>
      <c r="G88" s="4" t="n"/>
      <c r="H88" s="4" t="n"/>
      <c r="I88" s="4" t="n"/>
      <c r="J88" s="4" t="n"/>
      <c r="K88" s="4" t="n"/>
      <c r="L88" s="4" t="n"/>
    </row>
    <row r="89" ht="15.6" customHeight="1">
      <c r="A89" s="4" t="n"/>
      <c r="B89" s="4" t="n"/>
      <c r="C89" s="4" t="n"/>
      <c r="D89" s="4" t="n"/>
      <c r="E89" s="28" t="n"/>
      <c r="F89" s="4" t="n"/>
      <c r="G89" s="4" t="n"/>
      <c r="H89" s="4" t="n"/>
      <c r="I89" s="4" t="n"/>
      <c r="J89" s="4" t="n"/>
      <c r="K89" s="4" t="n"/>
      <c r="L89" s="4" t="n"/>
    </row>
    <row r="90" ht="15.6" customHeight="1">
      <c r="A90" s="4" t="n"/>
      <c r="B90" s="4" t="n"/>
      <c r="C90" s="4" t="n"/>
      <c r="D90" s="4" t="n"/>
      <c r="E90" s="28" t="n"/>
      <c r="F90" s="4" t="n"/>
      <c r="G90" s="4" t="n"/>
      <c r="H90" s="4" t="n"/>
      <c r="I90" s="4" t="n"/>
      <c r="J90" s="4" t="n"/>
      <c r="K90" s="4" t="n"/>
      <c r="L90" s="4" t="n"/>
    </row>
    <row r="91" ht="15.6" customHeight="1">
      <c r="A91" s="4" t="n"/>
      <c r="B91" s="4" t="n"/>
      <c r="C91" s="4" t="n"/>
      <c r="D91" s="4" t="n"/>
      <c r="E91" s="28" t="n"/>
      <c r="F91" s="4" t="n"/>
      <c r="G91" s="4" t="n"/>
      <c r="H91" s="4" t="n"/>
      <c r="I91" s="4" t="n"/>
      <c r="J91" s="4" t="n"/>
      <c r="K91" s="4" t="n"/>
      <c r="L91" s="4" t="n"/>
    </row>
    <row r="92" ht="15.6" customHeight="1">
      <c r="A92" s="4" t="n"/>
      <c r="B92" s="4" t="n"/>
      <c r="C92" s="4" t="n"/>
      <c r="D92" s="4" t="n"/>
      <c r="E92" s="28" t="n"/>
      <c r="F92" s="4" t="n"/>
      <c r="G92" s="4" t="n"/>
      <c r="H92" s="4" t="n"/>
      <c r="I92" s="4" t="n"/>
      <c r="J92" s="4" t="n"/>
      <c r="K92" s="4" t="n"/>
      <c r="L92" s="4" t="n"/>
    </row>
    <row r="93" ht="15.6" customHeight="1">
      <c r="A93" s="4" t="n"/>
      <c r="B93" s="4" t="n"/>
      <c r="C93" s="4" t="n"/>
      <c r="D93" s="4" t="n"/>
      <c r="E93" s="28" t="n"/>
      <c r="F93" s="4" t="n"/>
      <c r="G93" s="4" t="n"/>
      <c r="H93" s="4" t="n"/>
      <c r="I93" s="4" t="n"/>
      <c r="J93" s="4" t="n"/>
      <c r="K93" s="4" t="n"/>
      <c r="L93" s="4" t="n"/>
    </row>
    <row r="94" ht="15.6" customHeight="1">
      <c r="A94" s="4" t="n"/>
      <c r="B94" s="4" t="n"/>
      <c r="C94" s="4" t="n"/>
      <c r="D94" s="4" t="n"/>
      <c r="E94" s="28" t="n"/>
      <c r="F94" s="4" t="n"/>
      <c r="G94" s="4" t="n"/>
      <c r="H94" s="4" t="n"/>
      <c r="I94" s="4" t="n"/>
      <c r="J94" s="4" t="n"/>
      <c r="K94" s="4" t="n"/>
      <c r="L94" s="4" t="n"/>
    </row>
    <row r="95" ht="15.6" customHeight="1">
      <c r="A95" s="4" t="n"/>
      <c r="B95" s="4" t="n"/>
      <c r="C95" s="4" t="n"/>
      <c r="D95" s="4" t="n"/>
      <c r="E95" s="28" t="n"/>
      <c r="F95" s="4" t="n"/>
      <c r="G95" s="4" t="n"/>
      <c r="H95" s="4" t="n"/>
      <c r="I95" s="4" t="n"/>
      <c r="J95" s="4" t="n"/>
      <c r="K95" s="4" t="n"/>
      <c r="L95" s="4" t="n"/>
    </row>
    <row r="96" ht="15.6" customHeight="1">
      <c r="A96" s="4" t="n"/>
      <c r="B96" s="4" t="n"/>
      <c r="C96" s="4" t="n"/>
      <c r="D96" s="4" t="n"/>
      <c r="E96" s="28" t="n"/>
      <c r="F96" s="4" t="n"/>
      <c r="G96" s="4" t="n"/>
      <c r="H96" s="4" t="n"/>
      <c r="I96" s="4" t="n"/>
      <c r="J96" s="4" t="n"/>
      <c r="K96" s="4" t="n"/>
      <c r="L96" s="4" t="n"/>
    </row>
    <row r="97" ht="15.6" customHeight="1">
      <c r="A97" s="4" t="n"/>
      <c r="B97" s="4" t="n"/>
      <c r="C97" s="4" t="n"/>
      <c r="D97" s="4" t="n"/>
      <c r="E97" s="28" t="n"/>
      <c r="F97" s="4" t="n"/>
      <c r="G97" s="4" t="n"/>
      <c r="H97" s="4" t="n"/>
      <c r="I97" s="4" t="n"/>
      <c r="J97" s="4" t="n"/>
      <c r="K97" s="4" t="n"/>
      <c r="L97" s="4" t="n"/>
    </row>
    <row r="98" ht="15.6" customHeight="1">
      <c r="A98" s="4" t="n"/>
      <c r="B98" s="4" t="n"/>
      <c r="C98" s="4" t="n"/>
      <c r="D98" s="4" t="n"/>
      <c r="E98" s="28" t="n"/>
      <c r="F98" s="4" t="n"/>
      <c r="G98" s="4" t="n"/>
      <c r="H98" s="4" t="n"/>
      <c r="I98" s="4" t="n"/>
      <c r="J98" s="4" t="n"/>
      <c r="K98" s="4" t="n"/>
      <c r="L98" s="4" t="n"/>
    </row>
    <row r="99" ht="15.6" customHeight="1">
      <c r="A99" s="4" t="n"/>
      <c r="B99" s="4" t="n"/>
      <c r="C99" s="4" t="n"/>
      <c r="D99" s="4" t="n"/>
      <c r="E99" s="28" t="n"/>
      <c r="F99" s="4" t="n"/>
      <c r="G99" s="4" t="n"/>
      <c r="H99" s="4" t="n"/>
      <c r="I99" s="4" t="n"/>
      <c r="J99" s="4" t="n"/>
      <c r="K99" s="4" t="n"/>
      <c r="L99" s="4" t="n"/>
    </row>
    <row r="100" ht="15.6" customHeight="1">
      <c r="A100" s="4" t="n"/>
      <c r="B100" s="4" t="n"/>
      <c r="C100" s="4" t="n"/>
      <c r="D100" s="4" t="n"/>
      <c r="E100" s="28" t="n"/>
      <c r="F100" s="4" t="n"/>
      <c r="G100" s="4" t="n"/>
      <c r="H100" s="4" t="n"/>
      <c r="I100" s="4" t="n"/>
      <c r="J100" s="4" t="n"/>
      <c r="K100" s="4" t="n"/>
      <c r="L100" s="4" t="n"/>
    </row>
    <row r="101" ht="15.6" customHeight="1">
      <c r="A101" s="4" t="n"/>
      <c r="B101" s="4" t="n"/>
      <c r="C101" s="4" t="n"/>
      <c r="D101" s="4" t="n"/>
      <c r="E101" s="28" t="n"/>
      <c r="F101" s="4" t="n"/>
      <c r="G101" s="4" t="n"/>
      <c r="H101" s="4" t="n"/>
      <c r="I101" s="4" t="n"/>
      <c r="J101" s="4" t="n"/>
      <c r="K101" s="4" t="n"/>
      <c r="L101" s="4" t="n"/>
    </row>
    <row r="102" ht="15.6" customHeight="1">
      <c r="A102" s="4" t="n"/>
      <c r="B102" s="4" t="n"/>
      <c r="C102" s="4" t="n"/>
      <c r="D102" s="4" t="n"/>
      <c r="E102" s="28" t="n"/>
      <c r="F102" s="4" t="n"/>
      <c r="G102" s="4" t="n"/>
      <c r="H102" s="4" t="n"/>
      <c r="I102" s="4" t="n"/>
      <c r="J102" s="4" t="n"/>
      <c r="K102" s="4" t="n"/>
      <c r="L102" s="4" t="n"/>
    </row>
    <row r="103" ht="15.6" customHeight="1">
      <c r="A103" s="4" t="n"/>
      <c r="B103" s="4" t="n"/>
      <c r="C103" s="4" t="n"/>
      <c r="D103" s="4" t="n"/>
      <c r="E103" s="28" t="n"/>
      <c r="F103" s="4" t="n"/>
      <c r="G103" s="4" t="n"/>
      <c r="H103" s="4" t="n"/>
      <c r="I103" s="4" t="n"/>
      <c r="J103" s="4" t="n"/>
      <c r="K103" s="4" t="n"/>
      <c r="L103" s="4" t="n"/>
    </row>
    <row r="104" ht="15.6" customHeight="1">
      <c r="A104" s="4" t="n"/>
      <c r="B104" s="4" t="n"/>
      <c r="C104" s="4" t="n"/>
      <c r="D104" s="4" t="n"/>
      <c r="E104" s="28" t="n"/>
      <c r="F104" s="4" t="n"/>
      <c r="G104" s="4" t="n"/>
      <c r="H104" s="4" t="n"/>
      <c r="I104" s="4" t="n"/>
      <c r="J104" s="4" t="n"/>
      <c r="K104" s="4" t="n"/>
      <c r="L104" s="4" t="n"/>
    </row>
    <row r="105" ht="15.6" customHeight="1">
      <c r="A105" s="4" t="n"/>
      <c r="B105" s="4" t="n"/>
      <c r="C105" s="4" t="n"/>
      <c r="D105" s="4" t="n"/>
      <c r="E105" s="28" t="n"/>
      <c r="F105" s="4" t="n"/>
      <c r="G105" s="4" t="n"/>
      <c r="H105" s="4" t="n"/>
      <c r="I105" s="4" t="n"/>
      <c r="J105" s="4" t="n"/>
      <c r="K105" s="4" t="n"/>
      <c r="L105" s="4" t="n"/>
    </row>
    <row r="106" ht="15.6" customHeight="1">
      <c r="A106" s="4" t="n"/>
      <c r="B106" s="4" t="n"/>
      <c r="C106" s="4" t="n"/>
      <c r="D106" s="4" t="n"/>
      <c r="E106" s="28" t="n"/>
      <c r="F106" s="4" t="n"/>
      <c r="G106" s="4" t="n"/>
      <c r="H106" s="4" t="n"/>
      <c r="I106" s="4" t="n"/>
      <c r="J106" s="4" t="n"/>
      <c r="K106" s="4" t="n"/>
      <c r="L106" s="4" t="n"/>
    </row>
    <row r="107" ht="15.6" customHeight="1">
      <c r="A107" s="4" t="n"/>
      <c r="B107" s="4" t="n"/>
      <c r="C107" s="4" t="n"/>
      <c r="D107" s="4" t="n"/>
      <c r="E107" s="28" t="n"/>
      <c r="F107" s="4" t="n"/>
      <c r="G107" s="4" t="n"/>
      <c r="H107" s="4" t="n"/>
      <c r="I107" s="4" t="n"/>
      <c r="J107" s="4" t="n"/>
      <c r="K107" s="4" t="n"/>
      <c r="L107" s="4" t="n"/>
    </row>
    <row r="108" ht="15.6" customHeight="1">
      <c r="A108" s="4" t="n"/>
      <c r="B108" s="4" t="n"/>
      <c r="C108" s="4" t="n"/>
      <c r="D108" s="4" t="n"/>
      <c r="E108" s="28" t="n"/>
      <c r="F108" s="4" t="n"/>
      <c r="G108" s="4" t="n"/>
      <c r="H108" s="4" t="n"/>
      <c r="I108" s="4" t="n"/>
      <c r="J108" s="4" t="n"/>
      <c r="K108" s="4" t="n"/>
      <c r="L108" s="4" t="n"/>
    </row>
    <row r="109" ht="15.6" customHeight="1">
      <c r="A109" s="4" t="n"/>
      <c r="B109" s="4" t="n"/>
      <c r="C109" s="4" t="n"/>
      <c r="D109" s="4" t="n"/>
      <c r="E109" s="28" t="n"/>
      <c r="F109" s="4" t="n"/>
      <c r="G109" s="4" t="n"/>
      <c r="H109" s="4" t="n"/>
      <c r="I109" s="4" t="n"/>
      <c r="J109" s="4" t="n"/>
      <c r="K109" s="4" t="n"/>
      <c r="L109" s="4" t="n"/>
    </row>
  </sheetData>
  <mergeCells count="78">
    <mergeCell ref="C6:D6"/>
    <mergeCell ref="F16:G16"/>
    <mergeCell ref="B31:C31"/>
    <mergeCell ref="D33:J33"/>
    <mergeCell ref="B13:J13"/>
    <mergeCell ref="C51:E51"/>
    <mergeCell ref="I16:J16"/>
    <mergeCell ref="D35:J35"/>
    <mergeCell ref="B40:J40"/>
    <mergeCell ref="B49:J49"/>
    <mergeCell ref="B38:C38"/>
    <mergeCell ref="C27:D27"/>
    <mergeCell ref="B26:J26"/>
    <mergeCell ref="B33:C33"/>
    <mergeCell ref="E8:J8"/>
    <mergeCell ref="B18:J18"/>
    <mergeCell ref="B32:C32"/>
    <mergeCell ref="B41:C41"/>
    <mergeCell ref="B35:C35"/>
    <mergeCell ref="B2:J2"/>
    <mergeCell ref="D37:J37"/>
    <mergeCell ref="I6:J6"/>
    <mergeCell ref="C24:J24"/>
    <mergeCell ref="F6:G6"/>
    <mergeCell ref="C28:F28"/>
    <mergeCell ref="D38:J38"/>
    <mergeCell ref="I7:J7"/>
    <mergeCell ref="B3:E3"/>
    <mergeCell ref="B15:J15"/>
    <mergeCell ref="B37:C37"/>
    <mergeCell ref="C8:D8"/>
    <mergeCell ref="F3:H3"/>
    <mergeCell ref="I11:J11"/>
    <mergeCell ref="F7:G7"/>
    <mergeCell ref="B43:C43"/>
    <mergeCell ref="F21:G21"/>
    <mergeCell ref="F12:J12"/>
    <mergeCell ref="B42:C42"/>
    <mergeCell ref="C22:D22"/>
    <mergeCell ref="B30:J30"/>
    <mergeCell ref="I21:J21"/>
    <mergeCell ref="D31:J31"/>
    <mergeCell ref="C12:D12"/>
    <mergeCell ref="B44:C44"/>
    <mergeCell ref="D46:J46"/>
    <mergeCell ref="B5:J5"/>
    <mergeCell ref="B20:J20"/>
    <mergeCell ref="C21:D21"/>
    <mergeCell ref="F23:J23"/>
    <mergeCell ref="B34:C34"/>
    <mergeCell ref="F22:G22"/>
    <mergeCell ref="C23:D23"/>
    <mergeCell ref="B47:J47"/>
    <mergeCell ref="C17:J17"/>
    <mergeCell ref="D32:J32"/>
    <mergeCell ref="C7:D7"/>
    <mergeCell ref="D41:J41"/>
    <mergeCell ref="B45:C45"/>
    <mergeCell ref="D43:J43"/>
    <mergeCell ref="F11:G11"/>
    <mergeCell ref="C52:I52"/>
    <mergeCell ref="B46:C46"/>
    <mergeCell ref="I27:J27"/>
    <mergeCell ref="D42:J42"/>
    <mergeCell ref="C16:D16"/>
    <mergeCell ref="B10:J10"/>
    <mergeCell ref="H28:J28"/>
    <mergeCell ref="D44:J44"/>
    <mergeCell ref="H51:I51"/>
    <mergeCell ref="D34:J34"/>
    <mergeCell ref="I22:J22"/>
    <mergeCell ref="I3:J3"/>
    <mergeCell ref="D36:J36"/>
    <mergeCell ref="C11:D11"/>
    <mergeCell ref="D45:J45"/>
    <mergeCell ref="B50:J50"/>
    <mergeCell ref="F27:G27"/>
    <mergeCell ref="B36:C36"/>
  </mergeCells>
  <printOptions horizontalCentered="1"/>
  <pageMargins left="0.3" right="0.3" top="0.4" bottom="0.4" header="0.511811023622047" footer="0.511811023622047"/>
  <pageSetup orientation="portrait" paperSize="9" scale="67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D215"/>
  <sheetViews>
    <sheetView showGridLines="0" tabSelected="1" view="pageBreakPreview" topLeftCell="A42" zoomScale="115" zoomScaleNormal="115" zoomScaleSheetLayoutView="115" zoomScalePageLayoutView="145" workbookViewId="0">
      <selection activeCell="D51" sqref="D51"/>
    </sheetView>
  </sheetViews>
  <sheetFormatPr baseColWidth="8" defaultColWidth="8.6640625" defaultRowHeight="14.4"/>
  <cols>
    <col width="2" customWidth="1" min="1" max="1"/>
    <col width="66.44140625" customWidth="1" min="2" max="2"/>
    <col width="1.5546875" customWidth="1" min="3" max="3"/>
    <col width="65.6640625" customWidth="1" min="4" max="4"/>
    <col width="2" customWidth="1" min="5" max="5"/>
  </cols>
  <sheetData>
    <row r="1" ht="31.5" customHeight="1">
      <c r="B1" s="37" t="inlineStr">
        <is>
          <t>이륜차 종합렌트 계약 이용약관</t>
        </is>
      </c>
    </row>
    <row r="3" ht="14.25" customHeight="1">
      <c r="B3" s="13" t="inlineStr">
        <is>
          <t>제1조 (목적)</t>
        </is>
      </c>
      <c r="D3" s="10" t="inlineStr">
        <is>
          <t>제8조 (연대보증인의 책임)</t>
        </is>
      </c>
    </row>
    <row r="4" ht="14.25" customHeight="1">
      <c r="B4" s="12" t="inlineStr">
        <is>
          <t>이 약관은 포어스바이크 유한회사(이하 "회사")와 본 계약을 체결한 계약자간의 이륜차 렌트에 관</t>
        </is>
      </c>
      <c r="D4" s="14" t="inlineStr">
        <is>
          <t>①  본 계약에 연대보증인이 지정된 경우, 연대보증인은 렌트료 지급채무를 포함하여 계약자가 회사</t>
        </is>
      </c>
    </row>
    <row r="5" ht="14.25" customHeight="1">
      <c r="B5" s="15" t="inlineStr">
        <is>
          <t>한 권리·의무를 규정함을 목적으로 한다.</t>
        </is>
      </c>
      <c r="D5" s="15" t="inlineStr">
        <is>
          <t>에 부담하는 일체의 채무를 보증하며, 계약자와 연대하여 그 채무를 이행한다.</t>
        </is>
      </c>
    </row>
    <row r="6" ht="14.25" customHeight="1">
      <c r="B6" s="11" t="n"/>
      <c r="D6" s="14" t="inlineStr">
        <is>
          <t>② 계약자가 회사 동의 없이 본 계약상 채무를 제3자에게 인수·승계시킨 경우에도 연대보증인은 채무</t>
        </is>
      </c>
    </row>
    <row r="7" ht="14.25" customHeight="1">
      <c r="B7" s="13" t="inlineStr">
        <is>
          <t>제2조 (용어의 정의)</t>
        </is>
      </c>
      <c r="D7" s="15" t="inlineStr">
        <is>
          <t>가 전액 변제될 때까지 보증채무를 부담한다.</t>
        </is>
      </c>
    </row>
    <row r="8" ht="14.25" customHeight="1">
      <c r="B8" s="12" t="inlineStr">
        <is>
          <t>① "이륜차 렌트 계약"이란, 회사가 계약자의 요청에 따라 이륜차를 취득하여 일정 기간 사용하게</t>
        </is>
      </c>
      <c r="D8" s="14" t="inlineStr">
        <is>
          <t>③ 연대보증인은 계약자의 미변제 채무가 남아있는 경우 계약자의 채무를 회사보다 먼저 변제받을</t>
        </is>
      </c>
    </row>
    <row r="9" ht="14.25" customHeight="1">
      <c r="B9" s="12" t="inlineStr">
        <is>
          <t>하고 그 대가를 정기적으로 지급받는 계약을 말한다.</t>
        </is>
      </c>
      <c r="D9" s="15" t="inlineStr">
        <is>
          <t>권리를 행사할 수 없다.</t>
        </is>
      </c>
    </row>
    <row r="10" ht="14.25" customHeight="1">
      <c r="B10" s="12" t="inlineStr">
        <is>
          <t>② "이륜차"란, 회사가 본 계약서에 특정한 이륜차로서 인도 시 부착된 부속품·장착물을 포함한다.</t>
        </is>
      </c>
      <c r="D10" s="14" t="inlineStr">
        <is>
          <t>④ 보험연령 변경 등 일부 계약 내용 변경 시 연대보증인이 별도 서명·날인하지 않더라도 동의한 것</t>
        </is>
      </c>
    </row>
    <row r="11" ht="14.25" customHeight="1">
      <c r="B11" s="12" t="inlineStr">
        <is>
          <t>③ "계약기간"이란, 계약자가 본 계약에 따라 이륜차를 인도받아 사용하는 기간을 말한다.</t>
        </is>
      </c>
      <c r="D11" s="15" t="inlineStr">
        <is>
          <t>으로 본다. 변경 내용이 연대보증인에게 불리한 경우 계약자는 즉시 통지하여야 하며, 14일 이내 이</t>
        </is>
      </c>
    </row>
    <row r="12" ht="14.25" customHeight="1">
      <c r="B12" s="12" t="inlineStr">
        <is>
          <t>④ "보증금"이란, 렌트료 등 본 계약상 채무이행을 담보하기 위해 계약자가 회사에 납부하는 금원</t>
        </is>
      </c>
      <c r="D12" s="15" t="inlineStr">
        <is>
          <t>의 제기 시 회사는 새 보증인의 추가·교체를 요구할 수 있다.</t>
        </is>
      </c>
    </row>
    <row r="13" ht="14.25" customHeight="1">
      <c r="B13" s="12" t="inlineStr">
        <is>
          <t>을 말하며, 계약기간 만료 및 모든 채무 이행 완료 시 반환한다.</t>
        </is>
      </c>
    </row>
    <row r="14" ht="14.25" customHeight="1">
      <c r="B14" s="30" t="inlineStr">
        <is>
          <t>⑤ "계약자"는 본 계약 1면에 "계약자"로 기재된 라이더 본인을 말하며, 본 계약상 주채무자이자 본 계약 차량을 실제 운행하는 자이다.</t>
        </is>
      </c>
      <c r="D14" s="10" t="inlineStr">
        <is>
          <t>제9조 (보험계약의 체결 및 관리)</t>
        </is>
      </c>
    </row>
    <row r="15" ht="14.25" customHeight="1">
      <c r="B15" s="12" t="inlineStr">
        <is>
          <t xml:space="preserve">⑥ "연대보증인"은 본 계약 1면에 기재된 사업장 및 그 대표자를 말하며, 계약자와 연대하여 본 </t>
        </is>
      </c>
      <c r="D15" s="12" t="inlineStr">
        <is>
          <t>① 회사는 이륜차 출고 시 계약자가 요청하는 보험연령에 따라 종합보험(대인배상Ⅰ·대인배상Ⅱ·대</t>
        </is>
      </c>
    </row>
    <row r="16" ht="14.25" customHeight="1">
      <c r="B16" s="12" t="inlineStr">
        <is>
          <t>계약상 채무를 부담함과 동시에 세금계산서 수취 대상을 겸한다. 연대보증인은 별도로 지정될 수</t>
        </is>
      </c>
      <c r="D16" s="12" t="inlineStr">
        <is>
          <t>물배상)에 가입한다. 다만, 자기신체사고·자기차량손해는 가입하지 아니한다. 회사는 계약자를 대</t>
        </is>
      </c>
    </row>
    <row r="17" ht="14.25" customHeight="1">
      <c r="B17" s="12" t="inlineStr">
        <is>
          <t>있으며, 지정되지 않은 경우 본 약관의 연대보증인 관련 조항은 적용되지 아니한다.</t>
        </is>
      </c>
      <c r="D17" s="12" t="inlineStr">
        <is>
          <t>신하여 보험료를 납부하며, 보험의 내용은 보험증권 약관에 따른다.</t>
        </is>
      </c>
    </row>
    <row r="18" ht="14.25" customHeight="1">
      <c r="B18" s="15" t="inlineStr">
        <is>
          <t>⑦ "계약이관"이란, 계약자가 본 계약상의 권리와 의무를 제3자에게 승계하는 것을 말한다.</t>
        </is>
      </c>
      <c r="D18" s="12" t="inlineStr">
        <is>
          <t>② 렌트료·과태료 등 미수금이 있을 경우 보험연령 변경이 불가하다. 보험사 정책상 보험 연령 변</t>
        </is>
      </c>
    </row>
    <row r="19" ht="14.25" customHeight="1">
      <c r="B19" s="12" t="n"/>
      <c r="D19" s="12" t="inlineStr">
        <is>
          <t>경이 불가능한 경우 회사는 계약자에게 즉시 통지한다.</t>
        </is>
      </c>
    </row>
    <row r="20" ht="14.25" customHeight="1">
      <c r="B20" s="15" t="n"/>
      <c r="D20" s="12" t="inlineStr">
        <is>
          <t>③ 보험연령 변경에 따라 렌트료가 변경될 경우 해당 차량 최초 계약 당시 단가표 기준으로 적용</t>
        </is>
      </c>
    </row>
    <row r="21" ht="14.25" customHeight="1">
      <c r="B21" s="12" t="inlineStr">
        <is>
          <t>⑧ "보험연령"이란, 본 계약 차량에 가입된 보험에서 운전자로서 보장 가능한 최저연령을 말하며,</t>
        </is>
      </c>
      <c r="D21" s="12" t="inlineStr">
        <is>
          <t>된다. 보험사 정책상 고가의 보험료를 수취하는 경우 보험사 보험료 정책에 따라 고가의 렌트료가</t>
        </is>
      </c>
    </row>
    <row r="22" ht="14.25" customHeight="1">
      <c r="B22" s="15" t="inlineStr">
        <is>
          <t>본 계약 1면에 기재된 만 나이를 의미한다.</t>
        </is>
      </c>
      <c r="D22" s="12" t="inlineStr">
        <is>
          <t>적용될 수 있다.</t>
        </is>
      </c>
    </row>
    <row r="23" ht="14.25" customHeight="1">
      <c r="B23" s="12" t="inlineStr">
        <is>
          <t>⑨ "위약금"이란, 계약자의 귀책사유로 주문 취소 또는 중도 해지 시 회사에 지급하여야 하는 금액</t>
        </is>
      </c>
      <c r="D23" s="12" t="inlineStr">
        <is>
          <t>④ 계약 해지 사유 발생 시 회사는 보험을 해지할 수 있으며, 이로 인해 발생하는 보험환급금은</t>
        </is>
      </c>
    </row>
    <row r="24" ht="14.25" customHeight="1">
      <c r="B24" s="12" t="inlineStr">
        <is>
          <t>을 말한다.</t>
        </is>
      </c>
      <c r="D24" s="12" t="inlineStr">
        <is>
          <t>회사에 귀속되고 계약자는 이에 대한 추가 환급을 청구할 수 없다.</t>
        </is>
      </c>
    </row>
    <row r="25" ht="14.25" customHeight="1">
      <c r="B25" s="12" t="inlineStr">
        <is>
          <t>⑩ "지연손해금"이란, 계약자가 렌트료·위약금·과태료 등의 납부를 지체한 경우 발생하는 추가 비</t>
        </is>
      </c>
      <c r="D25" s="15" t="inlineStr">
        <is>
          <t>⑤ 회사는 계약기간과 일치하게 보험계약을 체결한다. 계약 종료일 이후 무보험 상태에서 운행하여</t>
        </is>
      </c>
    </row>
    <row r="26" ht="14.25" customHeight="1">
      <c r="B26" s="12" t="inlineStr">
        <is>
          <t>용을 말한다.</t>
        </is>
      </c>
      <c r="D26" s="15" t="inlineStr">
        <is>
          <t>손해가 발생하면 계약자가 배상책임 및 민·형사상 책임을 진다.</t>
        </is>
      </c>
    </row>
    <row r="27" ht="14.25" customHeight="1">
      <c r="B27" s="22" t="inlineStr">
        <is>
          <t>⑪ "구상금"이란, 본 계약 차량 운행 중 발생한 사고로 보험사가 회사에게 청구한 금액 일체를 말한다.</t>
        </is>
      </c>
    </row>
    <row r="28" ht="14.25" customHeight="1">
      <c r="B28" s="12" t="inlineStr">
        <is>
          <t>⑫ "책임보험"이란, 자동차손해배상보장법에 따른 의무보험으로서 대인배상Ⅰ과 대물배상을 보장</t>
        </is>
      </c>
      <c r="D28" s="31" t="inlineStr">
        <is>
          <t>제10조 (운행자성 및 운행지배)</t>
        </is>
      </c>
    </row>
    <row r="29" ht="14.25" customHeight="1">
      <c r="B29" s="12" t="inlineStr">
        <is>
          <t>하는 보험을 말한다.</t>
        </is>
      </c>
      <c r="D29" s="32" t="inlineStr">
        <is>
          <t>① 본 계약 차량의 소유권은 회사에 있으나, 회사는 자동차손해배상보장법 제3조에서 정한 "자기를</t>
        </is>
      </c>
    </row>
    <row r="30" ht="14.25" customHeight="1">
      <c r="B30" s="12" t="inlineStr">
        <is>
          <t>⑬ "종합보험"이란, 책임보험에 대인배상Ⅱ를 추가로 담보하는 보험을 말한다.</t>
        </is>
      </c>
      <c r="D30" s="33" t="inlineStr">
        <is>
          <t>위하여 자동차를 운행하는 자"(이하 "운행자")에 해당하지 아니한다. 회사는 본 계약 차량에 대한 운</t>
        </is>
      </c>
    </row>
    <row r="31" ht="14.25" customHeight="1">
      <c r="D31" s="33" t="inlineStr">
        <is>
          <t>행지배 및 운행이익을 갖지 아니한다.</t>
        </is>
      </c>
    </row>
    <row r="32" ht="14.25" customHeight="1">
      <c r="B32" s="10" t="inlineStr">
        <is>
          <t>제3조 (서류 제출 및 이륜차 인도)</t>
        </is>
      </c>
      <c r="D32" s="32" t="inlineStr">
        <is>
          <t>② 본 계약 차량의 운행자는 계약자이며, 운행 중 발생하는 모든 인적·물적 손해에 대한 운행자 책</t>
        </is>
      </c>
    </row>
    <row r="33" ht="14.25" customHeight="1">
      <c r="B33" s="14" t="inlineStr">
        <is>
          <t>① 계약자는 본 계약 체결에 필요한 서류를 회사에 제출하여야 하며, 보완 요구에도 성실히 응한다.</t>
        </is>
      </c>
      <c r="D33" s="33" t="inlineStr">
        <is>
          <t>임은 전적으로 계약자가 부담한다. 계약자가 제3자에게 차량을 운행하게 한 경우에도 운행자성은</t>
        </is>
      </c>
    </row>
    <row r="34" ht="14.25" customHeight="1">
      <c r="B34" s="12" t="inlineStr">
        <is>
          <t>제출된 서류는 어떠한 경우에도 반환하지 아니한다.</t>
        </is>
      </c>
      <c r="D34" s="33" t="inlineStr">
        <is>
          <t>여전히 계약자에게 있다.</t>
        </is>
      </c>
    </row>
    <row r="35" ht="14.25" customHeight="1">
      <c r="B35" s="14" t="inlineStr">
        <is>
          <t>② 회사는 청구시작일부터 지정 장소에 이륜차를 인도하며, 해당 날짜부터 계약이 개시된다. 인도</t>
        </is>
      </c>
      <c r="D35" s="32" t="inlineStr">
        <is>
          <t>③ 제3자가 회사를 상대로 운행자 책임을 청구하는 경우 계약자는 자신의 비용·책임으로 회사를 면</t>
        </is>
      </c>
    </row>
    <row r="36" ht="14.25" customHeight="1">
      <c r="B36" s="15" t="inlineStr">
        <is>
          <t>이후에는 계약자는 이륜차의 하자·결함을 이유로 렌트료 지급의무를 거부할 수 없다.</t>
        </is>
      </c>
      <c r="D36" s="33" t="inlineStr">
        <is>
          <t>책시켜야 하며, 회사가 부득이 배상한 경우 그 금액·관련 비용 일체를 즉시 회사에 상환하여야 한다.</t>
        </is>
      </c>
    </row>
    <row r="37" ht="14.25" customHeight="1">
      <c r="D37" s="33" t="n"/>
    </row>
    <row r="38" ht="14.25" customHeight="1">
      <c r="B38" s="10" t="inlineStr">
        <is>
          <t>제4조 (소유권 유보 및 이전)</t>
        </is>
      </c>
      <c r="D38" s="31" t="inlineStr">
        <is>
          <t>제11조 (사고 발생 시 고지 의무)</t>
        </is>
      </c>
    </row>
    <row r="39" ht="14.25" customHeight="1">
      <c r="B39" s="26" t="inlineStr">
        <is>
          <t>① 본 계약에 따른 이륜차의 소유권은 계약자가 모든 채무를 전액 이행할 때까지 회사에 유보된다.</t>
        </is>
      </c>
      <c r="D39" s="30" t="inlineStr">
        <is>
          <t>① 회사는 본 계약 차량의 운행자가 아니므로 사고 발생 사실을 직접 인지할 수 없다. 따라서 본 조</t>
        </is>
      </c>
    </row>
    <row r="40" ht="14.25" customHeight="1">
      <c r="B40" s="26" t="inlineStr">
        <is>
          <t>② 인수형 계약의 경우, 계약자가 모든 채무를 완전히 이행한 때 회사는 회사의 내부 행정 절차에</t>
        </is>
      </c>
      <c r="D40" s="30" t="inlineStr">
        <is>
          <t>의 고지 의무는 본 계약상 계약자의 핵심 의무에 해당한다.</t>
        </is>
      </c>
    </row>
    <row r="41" ht="14.25" customHeight="1">
      <c r="B41" s="26" t="inlineStr">
        <is>
          <t>따라 이륜차의 소유권을 계약자에게 이전한다.</t>
        </is>
      </c>
      <c r="D41" s="30" t="inlineStr">
        <is>
          <t>② 다음 사유 발생 시 계약자는 즉시 회사에 고지하여야 한다: 인적·물적</t>
        </is>
      </c>
    </row>
    <row r="42" ht="14.25" customHeight="1">
      <c r="B42" s="26" t="inlineStr">
        <is>
          <t>③ 반납형 계약의 경우 이륜차의 소유권은 계약 종료 후에도 회사에 귀속된다.</t>
        </is>
      </c>
      <c r="D42" s="30" t="inlineStr">
        <is>
          <t>손해 사고, 단독사고·차량 파손, 도난·멸실·분실, 보험사 접수 필요 사건, 무면허·음주·약물·범죄 목</t>
        </is>
      </c>
    </row>
    <row r="43" ht="14.25" customHeight="1">
      <c r="B43" s="14" t="inlineStr">
        <is>
          <t>④ 인수형 계약이라 하더라도 계약기간 만료 및 약정 금액의 완납 전에는 계약자는 이륜차의 소유권</t>
        </is>
      </c>
      <c r="D43" s="30" t="inlineStr">
        <is>
          <t>적 운전 등 면책사유 해당 운행 사실 인지.</t>
        </is>
      </c>
    </row>
    <row r="44" ht="14.25" customHeight="1">
      <c r="B44" s="22" t="inlineStr">
        <is>
          <t>을 주장할 수 없다.</t>
        </is>
      </c>
      <c r="D44" s="30" t="inlineStr">
        <is>
          <t>③ 고지에는 사고 일시·장소·경위, 운전자 신원·면허·음주 여부, 상대방·피해자 정보, 보험사 접수</t>
        </is>
      </c>
    </row>
    <row r="45" ht="14.25" customHeight="1">
      <c r="D45" s="30" t="inlineStr">
        <is>
          <t>번호, 경찰 신고 여부, 차량 위치 및 상태가 포함되어야 한다.</t>
        </is>
      </c>
    </row>
    <row r="46" ht="14.25" customHeight="1">
      <c r="B46" s="10" t="inlineStr">
        <is>
          <t>제5조 (보증금 및 계약금)</t>
        </is>
      </c>
      <c r="D46" s="30" t="inlineStr">
        <is>
          <t>④ 계약자가 고지 의무를 위반하는 경우(미고지·지연 고지·허위 고지 포함) 다음 책임을 부담한다:</t>
        </is>
      </c>
    </row>
    <row r="47" ht="14.25" customHeight="1">
      <c r="B47" s="26" t="inlineStr">
        <is>
          <t>① 계약자는 계약 체결 시 회사가 지정하는 계좌(포어스바이크 유한회사)로 보증금을 지급한다. 사</t>
        </is>
      </c>
      <c r="D47" s="30" t="inlineStr">
        <is>
          <t>(1) 보험사 면책으로 인한 미보장 손해 일체, (2) 회사에 추가 발생한 구상금·과태료·소송비용·변호</t>
        </is>
      </c>
    </row>
    <row r="48" ht="14.25" customHeight="1">
      <c r="B48" s="26" t="inlineStr">
        <is>
          <t>전 동의를 받아 보증금 지급이 지연된 경우 회사는 최대 7일의 유예기간을 둘 수 있다.</t>
        </is>
      </c>
      <c r="D48" s="30" t="inlineStr">
        <is>
          <t>사비, (3) 회사가 사고를 알지 못한 상태에서 차량 처분·계약 갱신·보험 정산을 진행함으로써 발생</t>
        </is>
      </c>
    </row>
    <row r="49" ht="14.25" customHeight="1">
      <c r="B49" s="26" t="inlineStr">
        <is>
          <t>② 전항의 유예기간 내 미지급 시 본 계약은 자동 해지되며, 계약자는 즉시 이륜차를 반환함과 동</t>
        </is>
      </c>
      <c r="D49" s="30" t="inlineStr">
        <is>
          <t>한 손해 일체.</t>
        </is>
      </c>
    </row>
    <row r="50" ht="14.25" customHeight="1">
      <c r="B50" s="26" t="inlineStr">
        <is>
          <t>시에 (1) 인도일부터 반환일까지 일할 사용료, (2) 감가손실액, (3) 차량 등록비·번호판·보험료 등 회</t>
        </is>
      </c>
      <c r="D50" s="30" t="inlineStr">
        <is>
          <t>⑤ 위 책임 부담과 별도로 회사는 본 계약을 즉시 해지하고 차량을 회수할 수 있다. 보증금은 반환</t>
        </is>
      </c>
    </row>
    <row r="51" ht="14.25" customHeight="1">
      <c r="B51" s="26" t="inlineStr">
        <is>
          <t>사가 이미 지출한 부대비용 일체를 배상한다.</t>
        </is>
      </c>
      <c r="D51" s="30" t="inlineStr">
        <is>
          <t>하지 아니하며, 위약금 및 손해배상금은 별도로 청구한다.</t>
        </is>
      </c>
    </row>
    <row r="52" ht="14.25" customHeight="1">
      <c r="B52" s="12" t="inlineStr">
        <is>
          <t>③ 보증금은 계약기간 만료 및 모든 채무 이행 완료 시 반환한다. 다만, 미납 과태료·수리비·구상금</t>
        </is>
      </c>
    </row>
    <row r="53" ht="14.25" customHeight="1">
      <c r="B53" s="12" t="inlineStr">
        <is>
          <t>등이 확인될 수 있어 만료일로부터 1개월 경과 후 반환한다.</t>
        </is>
      </c>
      <c r="D53" s="31" t="inlineStr">
        <is>
          <t>제12조 (운전자 범위 및 책임)</t>
        </is>
      </c>
    </row>
    <row r="54" ht="14.25" customHeight="1">
      <c r="B54" s="12" t="inlineStr">
        <is>
          <t>④ 미납 과태료·범칙금은 보증금에서 공제하고 잔액을 반환하며, 초과분은 계약자가 추가 납부한다.</t>
        </is>
      </c>
      <c r="D54" s="30" t="inlineStr">
        <is>
          <t>① 본 계약 차량은 계약자가 직접 운행함을 원칙으로 하며, 이륜차를 제3자에게 전대·담보 제공하는</t>
        </is>
      </c>
    </row>
    <row r="55" ht="14.25" customHeight="1">
      <c r="B55" s="12" t="inlineStr">
        <is>
          <t>⑤ 계약이 중도 해지된 경우 보증금 및 계약금은 반환하지 아니하며, 위약금 및 손해배상금은 별도</t>
        </is>
      </c>
      <c r="D55" s="30" t="inlineStr">
        <is>
          <t>행위는 금지된다.</t>
        </is>
      </c>
    </row>
    <row r="56" ht="14.25" customHeight="1">
      <c r="B56" s="12" t="inlineStr">
        <is>
          <t>로 청구한다.</t>
        </is>
      </c>
      <c r="D56" s="30" t="inlineStr">
        <is>
          <t>② 계약자 외의 자가 운행하는 경우, 해당 운전자의 면허 보유, 보험연령 충족, 음주·약물 미복용 등 운</t>
        </is>
      </c>
    </row>
    <row r="57" ht="14.25" customHeight="1">
      <c r="D57" s="30" t="inlineStr">
        <is>
          <t>전 자격 일체를 확인할 책임은 계약자에게 있다.</t>
        </is>
      </c>
    </row>
    <row r="58" ht="14.25" customHeight="1">
      <c r="B58" s="10" t="inlineStr">
        <is>
          <t>제6조 (렌트료 및 결제)</t>
        </is>
      </c>
      <c r="D58" s="30" t="inlineStr">
        <is>
          <t>③ 계약자 외의 자가 운행하여 발생한 사고는 보험사 약관에 따라 보험 보장이 거절될 수 있으며, 이로</t>
        </is>
      </c>
    </row>
    <row r="59" ht="14.25" customHeight="1">
      <c r="B59" s="12" t="inlineStr">
        <is>
          <t>① 계약자는 공휴일과 무관하게 정해진 결제일에 회사 명의 계좌로 렌트료 등 모든 비용을 직접 납</t>
        </is>
      </c>
      <c r="D59" t="inlineStr">
        <is>
          <t>인한 모든 손해·구상금·차량 수리비·과태료 등 일체는 계약자가 전적으로 부담한다.</t>
        </is>
      </c>
    </row>
    <row r="60" ht="14.25" customHeight="1">
      <c r="B60" s="12" t="inlineStr">
        <is>
          <t>부한다. 회사가 지정한 은행계좌로 입금하며, 타 계좌 입금분은 수납이 확인되지 아니할 수 있다.</t>
        </is>
      </c>
      <c r="D60" s="31" t="inlineStr">
        <is>
          <t>④ 회사는 운전자의 신원·자격·연령·면허를 사전에 확인할 의무를 부담하지 아니한다.</t>
        </is>
      </c>
    </row>
    <row r="61" ht="14.25" customHeight="1">
      <c r="B61" s="12" t="inlineStr">
        <is>
          <t>② 매도인 가격 인상, 정부 정책, 보험사 단가 변경 등 불가피한 사정으로 렌트료가 변동될 경우 회</t>
        </is>
      </c>
      <c r="D61" s="30" t="n"/>
    </row>
    <row r="62" ht="14.25" customHeight="1">
      <c r="B62" s="12" t="inlineStr">
        <is>
          <t>사는 계약자에게 개별 통지하며, 계약자는 출고 이전까지 계약을 취소할 수 있다.</t>
        </is>
      </c>
      <c r="D62" s="31" t="inlineStr">
        <is>
          <t>제13조 (보험 면책사고 및 구상금)</t>
        </is>
      </c>
    </row>
    <row r="63" ht="14.25" customHeight="1">
      <c r="B63" s="12" t="inlineStr">
        <is>
          <t>③ 이륜차 도난·멸실·훼손 등으로 운행이 불가능한 사유가 발생하더라도 계약자는 렌트료 지급의</t>
        </is>
      </c>
      <c r="D63" s="30" t="inlineStr">
        <is>
          <t>① 보험사가 면책하거나 회사에 구상금을 청구하는 사고로서 다음 각 호에 해당하는 경우, 그 손해</t>
        </is>
      </c>
    </row>
    <row r="64" ht="14.25" customHeight="1">
      <c r="B64" s="12" t="inlineStr">
        <is>
          <t>무를 거부할 수 없다.</t>
        </is>
      </c>
      <c r="D64" s="30" t="inlineStr">
        <is>
          <t>일체는 계약자가 부담한다: (1) 고의·범죄 목적 운행 또는 도난·무단이용 중 사고, (2) 무면허·음주·약</t>
        </is>
      </c>
    </row>
    <row r="65" ht="14.25" customHeight="1">
      <c r="B65" s="14" t="inlineStr">
        <is>
          <t>④ 보험연령 변경 등으로 렌트료가 변동될 경우 해당 차량 최초 계약 당시 단가표 기준으로 산정한다.</t>
        </is>
      </c>
      <c r="D65" s="30" t="inlineStr">
        <is>
          <t>물·보험연령 미달자·운전자 자격 미충족자의 운전, (3) 12대 중과실(교통사고처리 특례법상)에 해당</t>
        </is>
      </c>
    </row>
    <row r="66" ht="14.25" customHeight="1">
      <c r="B66" s="12" t="n"/>
      <c r="D66" s="30" t="inlineStr">
        <is>
          <t xml:space="preserve">하는 사고, (4) 운전자 범위 위반 또는 요금·대가를 받고 이용, (5) 경기·시범·연습용 등 비일상적 </t>
        </is>
      </c>
    </row>
    <row r="67" ht="14.25" customHeight="1">
      <c r="B67" s="10" t="inlineStr">
        <is>
          <t>제7조 (지연손해금 및 손해배상금)</t>
        </is>
      </c>
      <c r="D67" s="30" t="inlineStr">
        <is>
          <t>사용, (6) 그 밖에 보험약관상 면책사항에 해당하는 일체의 사고, (7) 본 계약 종합보험으로 보장되</t>
        </is>
      </c>
    </row>
    <row r="68" ht="14.25" customHeight="1">
      <c r="B68" s="12" t="inlineStr">
        <is>
          <t>① 계약자가 약정 금액을 기한 내 이행하지 않는 경우 위약금이 발생하며, 회사 청구일로부터 5일</t>
        </is>
      </c>
      <c r="D68" s="30" t="inlineStr">
        <is>
          <t>지 않는 일체의 손해 또는 보험사 보장 한도를 초과하는 손해.</t>
        </is>
      </c>
    </row>
    <row r="69" ht="14.25" customHeight="1">
      <c r="B69" s="12" t="inlineStr">
        <is>
          <t>이내에 지급한다.</t>
        </is>
      </c>
      <c r="D69" s="30" t="inlineStr">
        <is>
          <t>② 위 사유로 보험사가 회사에 구상금을 청구한 경우, 회사는 그 사실을 계약자에게 통보하며, 계</t>
        </is>
      </c>
    </row>
    <row r="70" ht="14.25" customHeight="1">
      <c r="B70" s="12" t="inlineStr">
        <is>
          <t>② 지연손해금: [지연손해금 = 연체금액 × 경과일수 × 연 15%].</t>
        </is>
      </c>
      <c r="D70" s="30" t="inlineStr">
        <is>
          <t>약자는 통보 후 7일 이내에 구상금 전액 및 회사가 그와 관련하여 지출한 변호사비·소송비 일체를</t>
        </is>
      </c>
    </row>
    <row r="71" ht="14.25" customHeight="1">
      <c r="B71" s="12" t="inlineStr">
        <is>
          <t>계약 만료 후 처리절차 지체 손해배상금: [손해배상금 = 1만원 × 지체일수].</t>
        </is>
      </c>
      <c r="D71" s="30" t="inlineStr">
        <is>
          <t>회사에 변제한다.</t>
        </is>
      </c>
    </row>
    <row r="72" ht="14.25" customHeight="1">
      <c r="B72" s="12" t="inlineStr">
        <is>
          <t>③ 지연손해금·손해배상금은 회사의 손해배상청구와 별도로 부과될 수 있으며, 연체·미납 발생 시</t>
        </is>
      </c>
      <c r="D72" s="30" t="inlineStr">
        <is>
          <t>③ 7일 이내 미변제 시 본 계약은 자동 해지되며 회사는 계약된 모든 차량을 즉시 회수한다. 보증</t>
        </is>
      </c>
    </row>
    <row r="73" ht="14.25" customHeight="1">
      <c r="B73" s="12" t="inlineStr">
        <is>
          <t>회사는 별도 동의 없이 신용정보집중기관 등록 또는 채권추심을 의뢰할 수 있다.</t>
        </is>
      </c>
      <c r="D73" s="30" t="inlineStr">
        <is>
          <t>금은 반환하지 아니하며, 위약금 및 손해배상금은 별도로 청구한다.</t>
        </is>
      </c>
    </row>
    <row r="74" ht="14.25" customHeight="1">
      <c r="B74" s="10" t="inlineStr">
        <is>
          <t>제14조 (사고 처리 및 미수선처리 금지)</t>
        </is>
      </c>
      <c r="D74" s="30" t="inlineStr">
        <is>
          <t>④ 계약자가 회사를 면책시키지 못하여 회사가 직접 손해배상을 한 경우, 회사가 제3자에게 지급</t>
        </is>
      </c>
    </row>
    <row r="75" ht="14.25" customHeight="1">
      <c r="B75" s="12" t="inlineStr">
        <is>
          <t>① 사고 발생 시 계약자는 지정 수리센터로 입고하여 수리를 진행하며, 관계 법령 및</t>
        </is>
      </c>
      <c r="D75" s="30" t="inlineStr">
        <is>
          <t>한 금액과 관련 비용 일체를 즉시 회사에 상환한다.</t>
        </is>
      </c>
    </row>
    <row r="76" ht="14.25" customHeight="1">
      <c r="B76" s="12" t="inlineStr">
        <is>
          <t>보험계약상의 절차에 따라 사고를 처리한다.</t>
        </is>
      </c>
      <c r="D76" s="31" t="inlineStr">
        <is>
          <t>제22조 (해지위약금 등의 부과방법)</t>
        </is>
      </c>
    </row>
    <row r="77" ht="14.25" customHeight="1">
      <c r="B77" s="12" t="inlineStr">
        <is>
          <t>② 렌트 기간 중 미수선처리는 불가하다.</t>
        </is>
      </c>
      <c r="D77" s="30" t="inlineStr">
        <is>
          <t>① 위약금 산식: 위약금 = 보증금 + (잔여기간에 대한 총 렌트료 × 20%).</t>
        </is>
      </c>
    </row>
    <row r="78" ht="14.25" customHeight="1">
      <c r="B78" s="12" t="inlineStr">
        <is>
          <t>③ 회사는 차량 가치 감가하락의 대가로 지급되는 격락손해금을 계약 만기 시 지급한다. 단, 렌트료</t>
        </is>
      </c>
      <c r="D78" s="30" t="inlineStr">
        <is>
          <t>계약자는 위약금을 계약 해지일까지 회사에 지급한다.</t>
        </is>
      </c>
    </row>
    <row r="79" ht="14.25" customHeight="1">
      <c r="B79" s="12" t="inlineStr">
        <is>
          <t>의 미납이 없는 경우에 한한다.</t>
        </is>
      </c>
      <c r="D79" s="30" t="inlineStr">
        <is>
          <t>② 보증금은 어떠한 경우에도 반환하지 아니하며, 위약금·손해배상금은 별도로 청구한다.</t>
        </is>
      </c>
    </row>
    <row r="80" ht="14.25" customHeight="1">
      <c r="B80" s="23" t="n"/>
      <c r="D80" s="30" t="inlineStr">
        <is>
          <t>③ 반환된 이륜차·부착물·키 부속품 일체에 파손이 있는 경우 계약자는 원상복구 수리비를</t>
        </is>
      </c>
    </row>
    <row r="81" ht="14.25" customHeight="1">
      <c r="B81" s="10" t="inlineStr">
        <is>
          <t>제15조 (계약자의 책임)</t>
        </is>
      </c>
      <c r="D81" s="30" t="inlineStr">
        <is>
          <t>회사 청구일로부터 5일 이내에 지급한다.</t>
        </is>
      </c>
    </row>
    <row r="82" ht="14.25" customHeight="1">
      <c r="B82" s="26" t="inlineStr">
        <is>
          <t>① 계약자는 선량한 관리자의 주의로 이륜차를 유지·관리하여야 하며, 계약자가 운행 중 발생하는</t>
        </is>
      </c>
      <c r="D82" s="26" t="n"/>
    </row>
    <row r="83" ht="14.25" customHeight="1">
      <c r="B83" s="26" t="inlineStr">
        <is>
          <t>모든 사고에 대한 책임을 부담한다.</t>
        </is>
      </c>
      <c r="D83" s="27" t="inlineStr">
        <is>
          <t>제23조 (이륜차 반환 및 회수)</t>
        </is>
      </c>
    </row>
    <row r="84" ht="14.25" customHeight="1">
      <c r="B84" s="26" t="inlineStr">
        <is>
          <t>② 계약자는 계약기간 중 임의로 부착물을 추가하거나 이륜차 구조를 변경할 수 없다.</t>
        </is>
      </c>
      <c r="D84" s="26" t="inlineStr">
        <is>
          <t>① 본 계약이 해지되는 경우 계약자는 즉시 회사가 지정하는 장소로 이륜차를 반환한다.</t>
        </is>
      </c>
    </row>
    <row r="85" ht="14.25" customHeight="1">
      <c r="B85" s="26" t="inlineStr">
        <is>
          <t>③ 본 계약 차량의 소유권은 회사에 있으며, 계약자는 본인이 차량을 직접 사용·운행하는 한도에서 사</t>
        </is>
      </c>
      <c r="D85" s="26" t="inlineStr">
        <is>
          <t>② 계약자가 반환을 지연·거부하는 경우 회사는 이륜차를 임의로 회수할 수 있으며, 계약자</t>
        </is>
      </c>
    </row>
    <row r="86" ht="14.25" customHeight="1">
      <c r="B86" s="26" t="inlineStr">
        <is>
          <t>용수익권 및 운행이익권을 가진다. 계약자는 이륜차를 제3자에게 양도·전대·담보 제공할 수 없다. 본</t>
        </is>
      </c>
      <c r="D86" s="26" t="inlineStr">
        <is>
          <t>는 민·형사상 어떠한 이의도 제기할 수 없다. 회수 비용 일체는 계약자가 부담한다.</t>
        </is>
      </c>
    </row>
    <row r="87" ht="14.25" customHeight="1">
      <c r="B87" s="26" t="inlineStr">
        <is>
          <t>계약이 해지된 경우 즉시 운행을 중단하고 이륜차를 반환한다.</t>
        </is>
      </c>
      <c r="D87" s="26" t="inlineStr">
        <is>
          <t>③ 계약자는 계약 해지일부터 이륜차 최종 반환일까지의 손해배상금을 회사에 지급한다.</t>
        </is>
      </c>
    </row>
    <row r="88" ht="14.25" customHeight="1">
      <c r="B88" s="26" t="inlineStr">
        <is>
          <t>④ 계약자는 본 계약 차량 운행에 필요한 자격(보험연령 충족, 면허 보유, 음주·약물 미복용 등)을 갖추</t>
        </is>
      </c>
      <c r="D88" s="26" t="n"/>
    </row>
    <row r="89" ht="14.25" customHeight="1">
      <c r="B89" s="26" t="inlineStr">
        <is>
          <t>어야 하며, 위반으로 발생한 사고 손해 일체를 부담한다.</t>
        </is>
      </c>
      <c r="D89" s="27" t="inlineStr">
        <is>
          <t>제24조 (계약만료 후 처리)</t>
        </is>
      </c>
    </row>
    <row r="90" ht="14.25" customHeight="1">
      <c r="B90" s="26" t="inlineStr">
        <is>
          <t>⑤ 제3자가 이륜차에 대해 권리를 주장하거나 강제집행 등으로 회사 소유권을 침해할 위험이 있는</t>
        </is>
      </c>
      <c r="D90" s="26" t="inlineStr">
        <is>
          <t>① 계약자는 계약만료일 이후 이륜차를 운행하여서는 아니되며, 만료 후 임의 운행으로 발생</t>
        </is>
      </c>
    </row>
    <row r="91" ht="14.25" customHeight="1">
      <c r="B91" s="26" t="inlineStr">
        <is>
          <t>경우 계약자는 회사의 소유임을 주장·입증하고 즉시 회사에 통지한다.</t>
        </is>
      </c>
      <c r="D91" s="26" t="inlineStr">
        <is>
          <t>하는 사고에 회사는 민·형사상 책임을 지지 않는다.</t>
        </is>
      </c>
    </row>
    <row r="92" ht="14.25" customHeight="1">
      <c r="B92" s="12" t="inlineStr">
        <is>
          <t>⑥ 계약자는 인도일부터 반환일까지 이륜차의 도난·멸실·훼손에 대한 책임을 부담하며, 자비로 원상</t>
        </is>
      </c>
      <c r="D92" s="26" t="inlineStr">
        <is>
          <t>② 인수형 계약: (1) 명의 이전 시 보험가입증명서·신분증 제출, (2) 사용폐지 시 만료일 익일</t>
        </is>
      </c>
    </row>
    <row r="93" ht="14.25" customHeight="1">
      <c r="B93" s="12" t="inlineStr">
        <is>
          <t>복구하거나 동일 모델·사양으로 교체한다.</t>
        </is>
      </c>
      <c r="D93" s="26" t="inlineStr">
        <is>
          <t>에 번호판 등기 발송 중 하나를 선택한다.</t>
        </is>
      </c>
    </row>
    <row r="94" ht="14.25" customHeight="1">
      <c r="B94" s="12" t="inlineStr">
        <is>
          <t>⑦ 이륜차의 등록·유지·사용·등록말소·폐차 등과 관련하여 렌트료에 포함되지 않은 비용 및 제세공</t>
        </is>
      </c>
      <c r="D94" s="26" t="inlineStr">
        <is>
          <t>③ 인수형 계약에서 명의이전 시 취·등록세는 계약자가 부담하며 신고는 회사가 대행한다.</t>
        </is>
      </c>
    </row>
    <row r="95" ht="14.25" customHeight="1">
      <c r="B95" s="12" t="inlineStr">
        <is>
          <t>과금(과태료·범칙금·벌과금 등)은 전적으로 계약자가 부담한다.</t>
        </is>
      </c>
      <c r="D95" s="26" t="inlineStr">
        <is>
          <t>④ 인수형 계약에 미납금이 있는 경우 만료일까지 전액 완납되어야 인수가 가능하다. 만료일</t>
        </is>
      </c>
    </row>
    <row r="96" ht="14.25" customHeight="1">
      <c r="B96" s="10" t="n"/>
      <c r="D96" s="26" t="inlineStr">
        <is>
          <t>이후 D+3일까지 미납 시 차량 회수가 진행되고, D+15일까지 미완납 시 계약자는 기한이익</t>
        </is>
      </c>
    </row>
    <row r="97" ht="14.25" customHeight="1">
      <c r="B97" s="10" t="inlineStr">
        <is>
          <t>제16조 (계약의 이관 및 승계)</t>
        </is>
      </c>
      <c r="D97" s="26" t="inlineStr">
        <is>
          <t>을 상실하며 회사는 차량을 자체 처분할 수 있다. 처분대금은 미납금 상환에 우선 충당된다.</t>
        </is>
      </c>
    </row>
    <row r="98" ht="14.25" customHeight="1">
      <c r="B98" s="12" t="inlineStr">
        <is>
          <t>① 계약자는 회사의 사전 승인 없이 본 계약상 권리·의무를 제3자에게 승계할 수 없다.</t>
        </is>
      </c>
      <c r="D98" s="26" t="inlineStr">
        <is>
          <t>⑤ 반납형 계약은 만료일 익일에 이륜차를 반환한다. 회사는 수리견적을 작성하여 수리비를</t>
        </is>
      </c>
    </row>
    <row r="99" ht="14.25" customHeight="1">
      <c r="B99" s="12" t="inlineStr">
        <is>
          <t>② 계약자가 제3자에게 승계하고자 하는 경우 인적사항·신용상태·영업상황 등 필요 정보를 제공하</t>
        </is>
      </c>
      <c r="D99" s="26" t="inlineStr">
        <is>
          <t>보증금에서 차감 후 잔액을 계약자에게 지급하며, 수리비가 보증금을 초과하는 경우 차액을</t>
        </is>
      </c>
    </row>
    <row r="100" ht="14.25" customHeight="1">
      <c r="B100" s="12" t="inlineStr">
        <is>
          <t>며, 회사는 심사기준에 부합하지 않으면 거절할 수 있다.</t>
        </is>
      </c>
      <c r="D100" s="26" t="inlineStr">
        <is>
          <t>계약자가 납부한다.</t>
        </is>
      </c>
    </row>
    <row r="101" ht="14.25" customHeight="1">
      <c r="B101" s="12" t="inlineStr">
        <is>
          <t>③ 회사의 승인 없이 계약자가 제3자에게 넘긴 경우, 계약자는 렌트료 지급의무 및 기타 채무를 계</t>
        </is>
      </c>
      <c r="D101" s="26" t="inlineStr">
        <is>
          <t>⑥ 명의이전·폐지·반납에 필요한 서류 전달은 만료일 익일까지 완료되어야 하며, 지체 시 계</t>
        </is>
      </c>
    </row>
    <row r="102" ht="14.25" customHeight="1">
      <c r="B102" s="12" t="inlineStr">
        <is>
          <t>속 이행한다.</t>
        </is>
      </c>
      <c r="D102" s="26" t="inlineStr">
        <is>
          <t>약자는 제7조에 따른 손해배상금 및 부당사용이익을 회사에 납부한다.</t>
        </is>
      </c>
    </row>
    <row r="103" ht="14.25" customHeight="1">
      <c r="B103" s="12" t="inlineStr">
        <is>
          <t>④ 계약이관을 위해서는 렌트료·수리비·위약금·과태료 등 일체의 미납금이 없어야 한다. 승계받을</t>
        </is>
      </c>
      <c r="D103" s="26" t="n"/>
    </row>
    <row r="104" ht="14.25" customHeight="1">
      <c r="B104" s="12" t="inlineStr">
        <is>
          <t>제3자가 계약이관서에 서명함으로써 절차는 완료된 것으로 본다.</t>
        </is>
      </c>
      <c r="D104" s="27" t="inlineStr">
        <is>
          <t>제25조 (변제충당 순서)</t>
        </is>
      </c>
    </row>
    <row r="105" ht="14.25" customHeight="1">
      <c r="B105" s="10" t="n"/>
      <c r="D105" s="26" t="inlineStr">
        <is>
          <t>① 계약자가 납입한 금액이 채무 전액을 충당하기에 부족한 경우, 회사는 납기일 기준으로</t>
        </is>
      </c>
    </row>
    <row r="106" ht="13.95" customHeight="1">
      <c r="B106" s="10" t="inlineStr">
        <is>
          <t>제17조 (차량 위치정보 등 제공 동의)</t>
        </is>
      </c>
      <c r="D106" s="26" t="inlineStr">
        <is>
          <t>먼저 도래한 채무액부터 우선 충당한다.</t>
        </is>
      </c>
    </row>
    <row r="107" ht="13.95" customHeight="1">
      <c r="B107" s="12" t="inlineStr">
        <is>
          <t>① 본 차량에는 도난·멸실·분실 위험 방지를 위해 위치정보 수집 장치가 부착되어 있으며, 계약자는</t>
        </is>
      </c>
      <c r="D107" s="12" t="inlineStr">
        <is>
          <t>② 연체이자가 있는 경우 연체이자, 지연손해금, 위약금, 원금의 순으로 충당한다.</t>
        </is>
      </c>
    </row>
    <row r="108" ht="13.95" customHeight="1">
      <c r="B108" s="12" t="inlineStr">
        <is>
          <t>이를 인지하고 동의한다.</t>
        </is>
      </c>
      <c r="D108" s="12" t="n"/>
    </row>
    <row r="109" ht="14.25" customHeight="1">
      <c r="B109" s="12" t="inlineStr">
        <is>
          <t>② 계약자는 본 계약 차량 운행 전 기간에 대하여 위치정보 수집·이용·제공의 적법성을 확보할 책임</t>
        </is>
      </c>
      <c r="D109" s="27" t="inlineStr">
        <is>
          <t>제26조 (세금계산서 발급)</t>
        </is>
      </c>
    </row>
    <row r="110" ht="14.25" customHeight="1">
      <c r="B110" s="12" t="inlineStr">
        <is>
          <t>을 부담하며, 이와 관련하여 제3자로부터 회사에 제기되는 일체의 청구·손해·과태료에 대해 계약자</t>
        </is>
      </c>
      <c r="D110" s="12" t="inlineStr">
        <is>
          <t>① 세금계산서 또는 현금영수증은 회사 명의로 발행한다. 연대보증인이 있는 경우 연대보증인의 사</t>
        </is>
      </c>
    </row>
    <row r="111" ht="14.25" customHeight="1">
      <c r="B111" s="12" t="inlineStr">
        <is>
          <t>가 전적으로 책임진다.</t>
        </is>
      </c>
      <c r="D111" s="12" t="inlineStr">
        <is>
          <t>업자등록번호를 기준으로 세금계산서를, 없는 경우 계약자의 주민등록번호를 기준으로 현금영수증</t>
        </is>
      </c>
    </row>
    <row r="112" ht="14.25" customHeight="1">
      <c r="B112" s="21" t="inlineStr">
        <is>
          <t>③ 계약자는 위치정보 장치를 임의로 변경·제거·훼손할 수 없으며, 회사는 채무불이행, 계약해지, 회</t>
        </is>
      </c>
      <c r="D112" s="14" t="inlineStr">
        <is>
          <t>을 발행한다.</t>
        </is>
      </c>
    </row>
    <row r="113" ht="14.25" customHeight="1">
      <c r="B113" s="15" t="inlineStr">
        <is>
          <t>수 절차, 보험 처리 등 본 계약 이행·관리에 필요한 범위 내에서만 위치정보를 활용한다.</t>
        </is>
      </c>
      <c r="D113" s="22" t="inlineStr">
        <is>
          <t>② 발행 대상이 변경되는 경우 계약자는 익월 5일까지 회사에 통지한다.</t>
        </is>
      </c>
    </row>
    <row r="114" ht="14.25" customHeight="1">
      <c r="B114" s="27" t="n"/>
      <c r="D114" s="15" t="inlineStr">
        <is>
          <t>③ 세금계산서 또는 현금영수증 발행에 영향을 미치는 사항에 변경이 발생한 경우 즉시 회사에 통지</t>
        </is>
      </c>
    </row>
    <row r="115" ht="14.25" customHeight="1">
      <c r="B115" s="27" t="inlineStr">
        <is>
          <t>제18조 (금지행위)</t>
        </is>
      </c>
      <c r="D115" s="15" t="inlineStr">
        <is>
          <t>하며, 통지의무 해태로 발생하는 불이익은 계약자가 부담한다.</t>
        </is>
      </c>
    </row>
    <row r="116" ht="14.25" customHeight="1">
      <c r="B116" s="12" t="inlineStr">
        <is>
          <t>계약자는 다음 행위를 하여서는 아니된다: (1) 이륜차의 무단 양도·전대 또는 본 계약상 권리를 제3</t>
        </is>
      </c>
      <c r="D116" s="26" t="n"/>
    </row>
    <row r="117" ht="14.25" customHeight="1">
      <c r="B117" s="12" t="inlineStr">
        <is>
          <t>자에게 양도, (2) 보험 인정 사용자 이외의 자 또는 보험연령 미달자에게 운행하게 하는 행위, (3) 이</t>
        </is>
      </c>
      <c r="D117" s="31" t="inlineStr">
        <is>
          <t>제27조 (계열사 미납 교차 적용)</t>
        </is>
      </c>
    </row>
    <row r="118" ht="14.25" customHeight="1">
      <c r="B118" s="12" t="inlineStr">
        <is>
          <t>륜차 규격·성능·기능의 임의 변경 또는 번호판 훼손, (4) 이륜차를 제3자에게 담보 제공 등 회사 소유</t>
        </is>
      </c>
      <c r="D118" s="26" t="inlineStr">
        <is>
          <t>계약자가 회사 또는 회사의 계열사(한국모터사이클리스 유한회사 포함)와 체결한 이륜차 계약은</t>
        </is>
      </c>
    </row>
    <row r="119" ht="14.25" customHeight="1">
      <c r="B119" s="12" t="inlineStr">
        <is>
          <t>권 침해 행위, (5) 이륜차 부착 표지 또는 위치정보 수집 장치의 훼손·은닉·위치 변경 등 본래의 효용</t>
        </is>
      </c>
      <c r="D119" s="26" t="inlineStr">
        <is>
          <t>미수금 발생 시 상호 처분에 영향을 미치며, 미수금이 14일 이상 지속되는 경우 차량별 입금 처리</t>
        </is>
      </c>
    </row>
    <row r="120" ht="14.25" customHeight="1">
      <c r="B120" s="12" t="inlineStr">
        <is>
          <t>을 해하는 행위.</t>
        </is>
      </c>
      <c r="D120" s="26" t="inlineStr">
        <is>
          <t>여부와 관계없이 회사는 본 계약을 해지하고 계약된 모든 차량을 즉시 회수할 수 있다.</t>
        </is>
      </c>
    </row>
    <row r="121" ht="14.25" customHeight="1">
      <c r="B121" s="27" t="n"/>
      <c r="D121" s="26" t="n"/>
    </row>
    <row r="122" ht="14.25" customHeight="1">
      <c r="B122" s="27" t="inlineStr">
        <is>
          <t>제19조 (제3자에 대한 면책)</t>
        </is>
      </c>
      <c r="D122" s="27" t="inlineStr">
        <is>
          <t>제28조 (준거법 및 관할)</t>
        </is>
      </c>
    </row>
    <row r="123" ht="14.25" customHeight="1">
      <c r="B123" s="14" t="inlineStr">
        <is>
          <t>① 계약 기간 종료·해지 여부와 무관하게, 이륜차 인수일부터 반환일까지 제3자가 회사를 상대로 인</t>
        </is>
      </c>
      <c r="D123" s="26" t="inlineStr">
        <is>
          <t>본 계약은 대한민국 법률에 따라 해석·적용하며, 본 계약과 관련하여 분쟁이 발생하는 경우 수원지</t>
        </is>
      </c>
    </row>
    <row r="124" ht="14.25" customHeight="1">
      <c r="B124" s="15" t="inlineStr">
        <is>
          <t>적·물적 손해배상을 청구하는 경우 계약자는 자신의 비용·책임으로 회사를 면책시킨다.</t>
        </is>
      </c>
      <c r="D124" s="26" t="inlineStr">
        <is>
          <t>방법원을 전속 관할 법원으로 한다.</t>
        </is>
      </c>
    </row>
    <row r="125" ht="14.25" customHeight="1">
      <c r="B125" s="14" t="inlineStr">
        <is>
          <t>② 회사가 소유자라는 이유로 직접 손해배상한 경우 계약자는 회사가 지급한 금액과 관련 제비용을</t>
        </is>
      </c>
      <c r="D125" s="26" t="n"/>
    </row>
    <row r="126" ht="14.25" customHeight="1">
      <c r="B126" s="15" t="inlineStr">
        <is>
          <t>즉시 상환한다.</t>
        </is>
      </c>
      <c r="D126" s="27" t="inlineStr">
        <is>
          <t>제29조 (차량 평가 및 감가 기준)</t>
        </is>
      </c>
    </row>
    <row r="127" ht="14.25" customHeight="1">
      <c r="B127" s="26" t="inlineStr">
        <is>
          <t>③ 회사가 제3자 청구에 방어를 한 경우 계약자는 방어 관련 지출된 소송비용 등 일체를 부담한다.</t>
        </is>
      </c>
      <c r="D127" s="26" t="inlineStr">
        <is>
          <t>계약 만료·해지로 이륜차가 회사에 반환된 경우, 회사는 다음 기준에 따라 감가액을 산정한</t>
        </is>
      </c>
    </row>
    <row r="128" ht="14.25" customHeight="1">
      <c r="B128" s="27" t="n"/>
      <c r="D128" s="26" t="inlineStr">
        <is>
          <t>다: (1) 커버류 교체·수리 필요 시 부위당 4%, (2) 차대 교체·수리 필요 시 부위당 6%, (3) 도장·</t>
        </is>
      </c>
    </row>
    <row r="129" ht="14.25" customHeight="1">
      <c r="B129" s="27" t="inlineStr">
        <is>
          <t>제20조 (계약자에 의한 중도 해지)</t>
        </is>
      </c>
      <c r="D129" s="26" t="inlineStr">
        <is>
          <t>판금 작업 필요 시 30~50만원 범위. 실제 수리비가 본 기준을 초과하는 경우 실비를 기준으</t>
        </is>
      </c>
    </row>
    <row r="130" ht="14.25" customHeight="1">
      <c r="B130" s="12" t="inlineStr">
        <is>
          <t>① 계약자는 해지 예정일 최소 10일 전에 회사에 사전 통보한다.</t>
        </is>
      </c>
      <c r="D130" s="26" t="inlineStr">
        <is>
          <t>로 청구할 수 있다.</t>
        </is>
      </c>
    </row>
    <row r="131" ht="14.25" customHeight="1">
      <c r="B131" s="26" t="inlineStr">
        <is>
          <t>② 회사의 중대한 귀책사유가 아닌 경우 계약자는 위약금을 회사에 지급한다.</t>
        </is>
      </c>
    </row>
    <row r="132" ht="14.25" customHeight="1">
      <c r="B132" s="26" t="inlineStr">
        <is>
          <t>③ 계약자는 해지 예정일까지 회사가 지정하는 장소에 이륜차를 반환하며, 관련 비용은 계약</t>
        </is>
      </c>
    </row>
    <row r="133" ht="14.25" customHeight="1">
      <c r="B133" s="26" t="inlineStr">
        <is>
          <t>자가 부담한다.</t>
        </is>
      </c>
    </row>
    <row r="134" ht="14.25" customHeight="1">
      <c r="B134" s="31" t="n"/>
    </row>
    <row r="135" ht="14.25" customHeight="1">
      <c r="B135" s="31" t="inlineStr">
        <is>
          <t>제21조 (계약의 해지 사유)</t>
        </is>
      </c>
    </row>
    <row r="136" ht="14.25" customHeight="1">
      <c r="B136" s="30" t="inlineStr">
        <is>
          <t xml:space="preserve">다음 각 호에 해당하는 경우 계약자는 사전 통지·최고 없이 기한이익을 상실하며, 회사는 본 </t>
        </is>
      </c>
    </row>
    <row r="137" ht="14.25" customHeight="1">
      <c r="B137" s="30" t="inlineStr">
        <is>
          <t>계약을 해지하고 차량 인도를 청구할 수 있다: (1) 이륜차 무단 양도·전대 또는 보험 인정 사</t>
        </is>
      </c>
    </row>
    <row r="138" ht="14.25" customHeight="1">
      <c r="B138" s="30" t="inlineStr">
        <is>
          <t xml:space="preserve">용자 이외의 자에게 사용, (2) 보험연령 미달자 운전 사실 발견, (3) 정해진 입금일에 렌트료 </t>
        </is>
      </c>
    </row>
    <row r="139" ht="14.25" customHeight="1">
      <c r="B139" s="30" t="inlineStr">
        <is>
          <t xml:space="preserve">미납 및 14일 이상 지체, (4) 통지받은 수리비·과태료·구상금 등을 정당한 사유 없이 5일 이내 </t>
        </is>
      </c>
    </row>
    <row r="140" ht="14.25" customHeight="1">
      <c r="B140" s="30" t="inlineStr">
        <is>
          <t>미납, (5) 무면허·음주운전 등 운전자 귀책 배상금 청구 후 3일 이내 미납, (6) 제3자 담보 제</t>
        </is>
      </c>
    </row>
    <row r="141" ht="14.25" customHeight="1">
      <c r="B141" s="30" t="inlineStr">
        <is>
          <t>공 등 회사 소유권 침해 또는 차량 규격·성능·표지의 무단 변경·훼손, (7) 위치정보 장치 훼손·</t>
        </is>
      </c>
      <c r="C141" s="16" t="n"/>
    </row>
    <row r="142" ht="14.25" customHeight="1">
      <c r="B142" s="30" t="inlineStr">
        <is>
          <t>은닉, (8) 보험사 구상금 통보 후 7일 이내 미변제, (9) 사고 발생 시 고지 의무 위반.</t>
        </is>
      </c>
      <c r="C142" s="17" t="n"/>
      <c r="D142" s="26" t="n"/>
    </row>
    <row r="143" ht="14.25" customHeight="1">
      <c r="B143" s="24" t="n"/>
      <c r="C143" s="25" t="n"/>
      <c r="D143" s="25" t="n"/>
    </row>
    <row r="144" ht="14.25" customHeight="1">
      <c r="B144" s="24" t="inlineStr">
        <is>
          <t>이용약관의 내용에 대해서 설명을 듣고 확인하였습니다.</t>
        </is>
      </c>
      <c r="C144" s="11" t="n"/>
      <c r="D144" s="19" t="n"/>
    </row>
    <row r="145" ht="14.25" customHeight="1">
      <c r="B145" s="19">
        <f>"계약자             "&amp;계약서!C11&amp;"                       서명 또는 인"</f>
        <v/>
      </c>
      <c r="D145" s="18" t="n"/>
    </row>
    <row r="146" ht="13.95" customHeight="1">
      <c r="B146" s="11" t="n"/>
      <c r="C146" s="11" t="n"/>
      <c r="D146" s="19">
        <f>"연대보증인                 "&amp;계약서!C16&amp;"                 서명 또는 인"</f>
        <v/>
      </c>
    </row>
    <row r="147" ht="13.95" customHeight="1">
      <c r="B147" s="11" t="n"/>
      <c r="C147" s="11" t="n"/>
      <c r="D147" s="11" t="n"/>
    </row>
    <row r="148" ht="13.95" customHeight="1">
      <c r="B148" s="11" t="n"/>
      <c r="C148" s="11" t="n"/>
      <c r="D148" s="11" t="n"/>
    </row>
    <row r="149" ht="13.95" customHeight="1">
      <c r="B149" s="11" t="n"/>
      <c r="C149" s="11" t="n"/>
      <c r="D149" s="11" t="n"/>
    </row>
    <row r="150" ht="13.95" customHeight="1">
      <c r="B150" s="11" t="n"/>
      <c r="C150" s="11" t="n"/>
      <c r="D150" s="11" t="n"/>
    </row>
    <row r="151" ht="13.95" customHeight="1">
      <c r="B151" s="11" t="n"/>
      <c r="C151" s="11" t="n"/>
      <c r="D151" s="11" t="n"/>
    </row>
    <row r="152" ht="13.95" customHeight="1">
      <c r="B152" s="11" t="n"/>
      <c r="C152" s="11" t="n"/>
      <c r="D152" s="11" t="n"/>
    </row>
    <row r="153" ht="13.95" customHeight="1">
      <c r="B153" s="11" t="n"/>
      <c r="C153" s="11" t="n"/>
      <c r="D153" s="11" t="n"/>
    </row>
    <row r="154" ht="13.95" customHeight="1">
      <c r="B154" s="11" t="n"/>
      <c r="C154" s="11" t="n"/>
      <c r="D154" s="11" t="n"/>
    </row>
    <row r="155" ht="13.95" customHeight="1">
      <c r="B155" s="11" t="n"/>
      <c r="C155" s="11" t="n"/>
      <c r="D155" s="11" t="n"/>
    </row>
    <row r="156" ht="13.95" customHeight="1">
      <c r="B156" s="11" t="n"/>
      <c r="C156" s="11" t="n"/>
      <c r="D156" s="11" t="n"/>
    </row>
    <row r="157" ht="13.95" customFormat="1" customHeight="1" s="20">
      <c r="B157" s="11" t="n"/>
      <c r="C157" s="11" t="n"/>
      <c r="D157" s="11" t="n"/>
    </row>
    <row r="158" ht="13.95" customHeight="1">
      <c r="B158" s="11" t="n"/>
      <c r="C158" s="11" t="n"/>
      <c r="D158" s="11" t="n"/>
    </row>
    <row r="159" ht="13.95" customHeight="1">
      <c r="B159" s="11" t="n"/>
      <c r="C159" s="11" t="n"/>
      <c r="D159" s="11" t="n"/>
    </row>
    <row r="160" ht="13.95" customHeight="1">
      <c r="B160" s="11" t="n"/>
      <c r="C160" s="11" t="n"/>
      <c r="D160" s="11" t="n"/>
    </row>
    <row r="161" ht="13.95" customHeight="1">
      <c r="B161" s="11" t="n"/>
      <c r="C161" s="11" t="n"/>
      <c r="D161" s="11" t="n"/>
    </row>
    <row r="162" ht="13.95" customHeight="1">
      <c r="B162" s="11" t="n"/>
      <c r="C162" s="11" t="n"/>
      <c r="D162" s="11" t="n"/>
    </row>
    <row r="163" ht="13.95" customHeight="1">
      <c r="B163" s="11" t="n"/>
      <c r="C163" s="11" t="n"/>
      <c r="D163" s="11" t="n"/>
    </row>
    <row r="164" ht="13.95" customHeight="1">
      <c r="B164" s="11" t="n"/>
      <c r="C164" s="11" t="n"/>
      <c r="D164" s="11" t="n"/>
    </row>
    <row r="165" ht="13.95" customHeight="1">
      <c r="B165" s="11" t="n"/>
      <c r="C165" s="11" t="n"/>
      <c r="D165" s="11" t="n"/>
    </row>
    <row r="166" ht="13.95" customHeight="1">
      <c r="B166" s="11" t="n"/>
      <c r="C166" s="11" t="n"/>
      <c r="D166" s="11" t="n"/>
    </row>
    <row r="167" ht="13.95" customHeight="1">
      <c r="B167" s="11" t="n"/>
      <c r="C167" s="11" t="n"/>
      <c r="D167" s="11" t="n"/>
    </row>
    <row r="168" ht="13.95" customHeight="1">
      <c r="B168" s="11" t="n"/>
      <c r="C168" s="11" t="n"/>
      <c r="D168" s="11" t="n"/>
    </row>
    <row r="169" ht="13.95" customHeight="1">
      <c r="B169" s="11" t="n"/>
      <c r="C169" s="11" t="n"/>
      <c r="D169" s="11" t="n"/>
    </row>
    <row r="170" ht="13.95" customHeight="1">
      <c r="B170" s="11" t="n"/>
      <c r="C170" s="11" t="n"/>
      <c r="D170" s="11" t="n"/>
    </row>
    <row r="171" ht="13.95" customHeight="1">
      <c r="B171" s="11" t="n"/>
      <c r="C171" s="11" t="n"/>
      <c r="D171" s="11" t="n"/>
    </row>
    <row r="172" ht="13.95" customHeight="1">
      <c r="B172" s="11" t="n"/>
      <c r="C172" s="11" t="n"/>
      <c r="D172" s="11" t="n"/>
    </row>
    <row r="173" ht="13.95" customHeight="1">
      <c r="B173" s="11" t="n"/>
      <c r="C173" s="11" t="n"/>
      <c r="D173" s="11" t="n"/>
    </row>
    <row r="174" ht="13.95" customHeight="1">
      <c r="B174" s="11" t="n"/>
      <c r="C174" s="11" t="n"/>
      <c r="D174" s="11" t="n"/>
    </row>
    <row r="175" ht="13.95" customHeight="1">
      <c r="B175" s="11" t="n"/>
      <c r="C175" s="11" t="n"/>
      <c r="D175" s="11" t="n"/>
    </row>
    <row r="176" ht="13.95" customHeight="1">
      <c r="B176" s="11" t="n"/>
      <c r="C176" s="11" t="n"/>
      <c r="D176" s="11" t="n"/>
    </row>
    <row r="177" ht="13.95" customHeight="1">
      <c r="B177" s="11" t="n"/>
      <c r="C177" s="11" t="n"/>
      <c r="D177" s="11" t="n"/>
    </row>
    <row r="178" ht="13.95" customHeight="1">
      <c r="B178" s="11" t="n"/>
      <c r="C178" s="11" t="n"/>
      <c r="D178" s="11" t="n"/>
    </row>
    <row r="179" ht="13.95" customHeight="1">
      <c r="B179" s="11" t="n"/>
      <c r="C179" s="11" t="n"/>
      <c r="D179" s="11" t="n"/>
    </row>
    <row r="180" ht="13.95" customHeight="1">
      <c r="B180" s="11" t="n"/>
      <c r="C180" s="11" t="n"/>
      <c r="D180" s="11" t="n"/>
    </row>
    <row r="181" ht="13.95" customHeight="1">
      <c r="B181" s="11" t="n"/>
      <c r="C181" s="11" t="n"/>
      <c r="D181" s="11" t="n"/>
    </row>
    <row r="182" ht="13.95" customHeight="1">
      <c r="B182" s="11" t="n"/>
      <c r="C182" s="11" t="n"/>
      <c r="D182" s="11" t="n"/>
    </row>
    <row r="183" ht="13.95" customHeight="1">
      <c r="B183" s="11" t="n"/>
      <c r="C183" s="11" t="n"/>
      <c r="D183" s="11" t="n"/>
    </row>
    <row r="184" ht="13.95" customHeight="1">
      <c r="B184" s="11" t="n"/>
      <c r="C184" s="11" t="n"/>
      <c r="D184" s="11" t="n"/>
    </row>
    <row r="185" ht="13.95" customHeight="1">
      <c r="B185" s="11" t="n"/>
      <c r="C185" s="11" t="n"/>
      <c r="D185" s="11" t="n"/>
    </row>
    <row r="186" ht="13.95" customHeight="1">
      <c r="B186" s="11" t="n"/>
      <c r="C186" s="11" t="n"/>
      <c r="D186" s="11" t="n"/>
    </row>
    <row r="187" ht="13.95" customHeight="1">
      <c r="B187" s="11" t="n"/>
      <c r="C187" s="11" t="n"/>
      <c r="D187" s="11" t="n"/>
    </row>
    <row r="188" ht="13.95" customHeight="1">
      <c r="B188" s="11" t="n"/>
      <c r="C188" s="11" t="n"/>
      <c r="D188" s="11" t="n"/>
    </row>
    <row r="189" ht="13.95" customHeight="1"/>
    <row r="190" ht="13.95" customHeight="1"/>
    <row r="191" ht="13.95" customHeight="1"/>
    <row r="192" ht="13.95" customHeight="1"/>
    <row r="193" ht="13.95" customHeight="1">
      <c r="B193" s="11" t="n"/>
      <c r="C193" s="11" t="n"/>
      <c r="D193" s="11" t="n"/>
    </row>
    <row r="194" ht="13.95" customHeight="1">
      <c r="B194" s="11" t="n"/>
      <c r="C194" s="11" t="n"/>
      <c r="D194" s="11" t="n"/>
    </row>
    <row r="195" ht="13.95" customHeight="1">
      <c r="B195" s="11" t="n"/>
      <c r="D195" s="14" t="n"/>
    </row>
    <row r="196">
      <c r="B196" s="21" t="n"/>
      <c r="D196" s="12" t="n"/>
    </row>
    <row r="197">
      <c r="B197" s="14" t="n"/>
      <c r="D197" s="12" t="n"/>
    </row>
    <row r="198" ht="21.75" customHeight="1">
      <c r="B198" s="15" t="n"/>
      <c r="D198" s="22" t="n"/>
    </row>
    <row r="199" ht="15.75" customHeight="1">
      <c r="B199" s="14" t="n"/>
      <c r="D199" s="14" t="n"/>
    </row>
    <row r="200" ht="15.75" customHeight="1">
      <c r="B200" s="12" t="n"/>
      <c r="D200" s="12" t="n"/>
    </row>
    <row r="201" ht="15.75" customHeight="1">
      <c r="B201" s="14" t="n"/>
      <c r="D201" s="14" t="n"/>
    </row>
    <row r="202" ht="15.75" customHeight="1">
      <c r="B202" s="22" t="n"/>
      <c r="D202" s="14" t="n"/>
    </row>
    <row r="203">
      <c r="B203" s="14" t="n"/>
      <c r="D203" s="15" t="n"/>
    </row>
    <row r="204" ht="21.75" customHeight="1">
      <c r="B204" s="12" t="n"/>
      <c r="D204" s="15" t="n"/>
    </row>
    <row r="205" ht="48" customHeight="1">
      <c r="B205" s="12" t="n"/>
      <c r="D205" s="15" t="n"/>
    </row>
    <row r="206" ht="48" customHeight="1">
      <c r="B206" s="15" t="n"/>
      <c r="D206" s="15" t="n"/>
    </row>
    <row r="207" ht="48" customHeight="1">
      <c r="B207" s="15" t="n"/>
      <c r="D207" s="12" t="n"/>
    </row>
    <row r="208" ht="31.5" customHeight="1">
      <c r="B208" s="15" t="n"/>
      <c r="D208" s="12" t="n"/>
    </row>
    <row r="209" ht="31.5" customHeight="1">
      <c r="B209" s="15" t="n"/>
      <c r="D209" s="12" t="n"/>
    </row>
    <row r="210" ht="31.5" customHeight="1">
      <c r="B210" s="12" t="n"/>
      <c r="D210" s="15" t="n"/>
    </row>
    <row r="211" ht="31.5" customHeight="1">
      <c r="B211" s="14" t="n"/>
      <c r="C211" s="16" t="n"/>
    </row>
    <row r="212" ht="15.75" customHeight="1">
      <c r="B212" s="14" t="n"/>
      <c r="C212" s="17" t="n"/>
    </row>
    <row r="213">
      <c r="B213" s="15" t="n"/>
      <c r="D213" s="15" t="n"/>
    </row>
    <row r="214">
      <c r="B214" s="17" t="n"/>
      <c r="D214" s="15" t="n"/>
    </row>
    <row r="215" ht="21.75" customHeight="1">
      <c r="B215" s="17" t="n"/>
      <c r="D215" s="18" t="n"/>
    </row>
    <row r="216" ht="31.5" customHeight="1"/>
  </sheetData>
  <mergeCells count="1">
    <mergeCell ref="B1:D1"/>
  </mergeCells>
  <pageMargins left="0.3" right="0.3" top="0.4" bottom="0.4" header="0.511811023622047" footer="0.511811023622047"/>
  <pageSetup orientation="portrait" paperSize="9" scale="71" fitToHeight="0"/>
  <rowBreaks count="1" manualBreakCount="1">
    <brk id="73" min="0" max="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2026-04-27T06:03:32Z</dcterms:created>
  <dcterms:modified xmlns:dcterms="http://purl.org/dc/terms/" xmlns:xsi="http://www.w3.org/2001/XMLSchema-instance" xsi:type="dcterms:W3CDTF">2026-05-06T03:41:47Z</dcterms:modified>
  <cp:lastModifiedBy>유주 박</cp:lastModifiedBy>
  <cp:revision>0</cp:revision>
  <cp:lastPrinted>2026-04-30T07:13:36Z</cp:lastPrinted>
</cp:coreProperties>
</file>