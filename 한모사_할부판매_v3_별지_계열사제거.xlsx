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1" name="_xlnm.Print_Area" vbProcedure="false">계약서!$A$1:$K$52</definedName>
    <definedName function="false" hidden="false" localSheetId="2" name="_xlnm.Print_Area" vbProcedure="false">이용약관!$A$1:$D$141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<sst xmlns="http://schemas.openxmlformats.org/spreadsheetml/2006/main" count="455" uniqueCount="412">
  <si>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</si>
  <si>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</si>
  <si>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</si>
  <si>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</si>
  <si>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</si>
  <si>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</si>
  <si>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</si>
  <si>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</si>
  <si>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</si>
  <si>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</si>
  <si>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</si>
  <si>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</si>
  <si>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</si>
  <si>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</si>
  <si>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</si>
  <si>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</si>
  <si>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</si>
  <si>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</si>
  <si>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</si>
  <si>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</si>
  <si>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</si>
  <si>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</si>
  <si>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</si>
  <si>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</si>
  <si>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</si>
  <si>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</si>
  <si>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</si>
  <si>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</si>
  <si>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</si>
  <si>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</si>
  <si>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</si>
  <si>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</si>
  <si>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</si>
  <si>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</si>
  <si>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</si>
  <si>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</si>
  <si>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</si>
  <si>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</si>
  <si>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</si>
  <si>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</si>
  <si>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할부판매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</si>
  <si>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</si>
  <si>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</si>
  <si>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</si>
  <si>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</si>
  <si>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할부 판매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</si>
  <si>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</si>
  <si>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</si>
  <si>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</si>
  <si>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</si>
  <si>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</si>
  <si>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</si>
  <si>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r>
      <rPr>
        <sz val="10"/>
        <rFont val="DejaVu Sans"/>
        <family val="2"/>
      </rPr>
      <t xml:space="preserve">※ 본 차량은 위 보험연령 이상의 운전자만 운행 가능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본 계약은 계약자가 본인 명의로 직접 보험에 가입하는 상품이며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회사는 출고 당시 외에는 보험 가입 여부를 확인할 수 없으므로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운전 사고 시 발생하는 모든 손해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구상금은 계약자가 전적으로 책임집니다</t>
    </r>
    <r>
      <rPr>
        <sz val="10"/>
        <rFont val="DejaVu Sans"/>
        <family val="2"/>
        <charset val="1"/>
      </rPr>
      <t xml:space="preserve">.</t>
    </r>
  </si>
  <si>
    <t xml:space="preserve">■ 계약자</t>
  </si>
  <si>
    <t xml:space="preserve">성명</t>
  </si>
  <si>
    <t xml:space="preserve">주민등록번호</t>
  </si>
  <si>
    <t xml:space="preserve">연락처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</si>
  <si>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</si>
  <si>
    <t xml:space="preserve">■ 연대보증인</t>
  </si>
  <si>
    <t xml:space="preserve">업체명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</si>
  <si>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</si>
  <si>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대표자 신분증 사본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DejaVu Sans"/>
        <family val="2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DejaVu Sans"/>
        <family val="2"/>
        <charset val="1"/>
      </rPr>
      <t xml:space="preserve">130%</t>
    </r>
  </si>
  <si>
    <t xml:space="preserve">■ 계약 조건</t>
  </si>
  <si>
    <t xml:space="preserve">할부판매기간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</si>
  <si>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</si>
  <si>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</si>
  <si>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</si>
  <si>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</si>
  <si>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</si>
  <si>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</si>
  <si>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</si>
  <si>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</si>
  <si>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</si>
  <si>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</si>
  <si>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</si>
  <si>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</si>
  <si>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</si>
  <si>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</si>
  <si>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</si>
  <si>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</si>
  <si>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운전자 범위 </t>
    </r>
    <r>
      <rPr>
        <b val="true"/>
        <sz val="9"/>
        <color rgb="FFC00000"/>
        <rFont val="DejaVu Sans"/>
        <family val="2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기명 </t>
    </r>
    <r>
      <rPr>
        <b val="true"/>
        <sz val="9"/>
        <color rgb="FFC00000"/>
        <rFont val="DejaVu Sans"/>
        <family val="2"/>
        <charset val="1"/>
      </rPr>
      <t xml:space="preserve">1</t>
    </r>
    <r>
      <rPr>
        <b val="true"/>
        <sz val="9"/>
        <color rgb="FFC00000"/>
        <rFont val="DejaVu Sans"/>
        <family val="2"/>
      </rPr>
      <t xml:space="preserve">인 한정</t>
    </r>
    <r>
      <rPr>
        <b val="true"/>
        <sz val="9"/>
        <color rgb="FFC00000"/>
        <rFont val="DejaVu Sans"/>
        <family val="2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</si>
  <si>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본 차량의 보험은 계약자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기명 </t>
    </r>
    <r>
      <rPr>
        <b val="true"/>
        <sz val="8"/>
        <color rgb="FFC00000"/>
        <rFont val="DejaVu Sans"/>
        <family val="2"/>
        <charset val="1"/>
      </rPr>
      <t xml:space="preserve">1</t>
    </r>
    <r>
      <rPr>
        <b val="true"/>
        <sz val="8"/>
        <color rgb="FFC00000"/>
        <rFont val="DejaVu Sans"/>
        <family val="2"/>
      </rPr>
      <t xml:space="preserve">인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를 운전자로 지정하여 가입되며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계약자만 운행할 수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계약자 외의 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보험사 면책 가능성과 무관하게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</si>
  <si>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</si>
  <si>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</si>
  <si>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</si>
  <si>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변제하지 아니하는 경우 본 계약은 자동 해지되고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차량을 즉시 회수하며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보증금은 반환하지 아니합니다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 청구</t>
    </r>
    <r>
      <rPr>
        <b val="true"/>
        <sz val="8"/>
        <color rgb="FFC00000"/>
        <rFont val="DejaVu Sans"/>
        <family val="2"/>
        <charset val="1"/>
      </rPr>
      <t xml:space="preserve">).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</si>
  <si>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세금계산서는 한국모터사이클리스 유한회사 명의로 발행됩니다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</si>
  <si>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계약자는 이륜차 및 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비품을 회사가 지정하는 장소로 반납하여야 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보증금은 반환되지 아니하고 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</si>
  <si>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</si>
  <si>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세금계산서 또는 현금영수증은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연대보증인이 있는 경우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세금계산서를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없는 경우 계약자의 주민등록번호를 기준으로 현금영수증을 발급합니다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</si>
  <si>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</si>
  <si>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</si>
  <si>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</si>
  <si>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</si>
  <si>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계약자 — 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
</t>
    </r>
    <r>
      <rPr>
        <sz val="8"/>
        <color rgb="FF404040"/>
        <rFont val="DejaVu Sans"/>
        <family val="2"/>
      </rPr>
      <t xml:space="preserve">연대보증인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지정 시</t>
    </r>
    <r>
      <rPr>
        <sz val="8"/>
        <color rgb="FF404040"/>
        <rFont val="DejaVu Sans"/>
        <family val="2"/>
        <charset val="1"/>
      </rPr>
      <t xml:space="preserve">) — </t>
    </r>
    <r>
      <rPr>
        <sz val="8"/>
        <color rgb="FF404040"/>
        <rFont val="DejaVu Sans"/>
        <family val="2"/>
      </rPr>
      <t xml:space="preserve">사업장 상호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사업자번호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연락처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대표자 성명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</si>
  <si>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</si>
  <si>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</si>
  <si>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</si>
  <si>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</si>
  <si>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</si>
  <si>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할부금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</si>
  <si>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</si>
  <si>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</si>
  <si>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본인은 본 이륜차 할부판매 계약서와 이용약관의 내용을 전부 설명 듣고 확인하였으며</t>
    </r>
    <r>
      <rPr>
        <b val="true"/>
        <sz val="9"/>
        <color rgb="FF1F3864"/>
        <rFont val="DejaVu Sans"/>
        <family val="2"/>
        <charset val="1"/>
      </rPr>
      <t xml:space="preserve">, </t>
    </r>
    <r>
      <rPr>
        <b val="true"/>
        <sz val="9"/>
        <color rgb="FF1F3864"/>
        <rFont val="DejaVu Sans"/>
        <family val="2"/>
      </rPr>
      <t xml:space="preserve">본 계약에 따른 권리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의무와 운행자성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보험가입 의무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보험연령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사고 고지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면책사고 책임 등 제반 사항에 이의 없이 동의합니다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</si>
  <si>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</si>
  <si>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</si>
  <si>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</si>
  <si>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</si>
  <si>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</si>
  <si>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공급자</t>
  </si>
  <si>
    <t xml:space="preserve">이륜차 할부판매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</si>
  <si>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</si>
  <si>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 결제 수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</si>
  <si>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간</t>
    </r>
  </si>
  <si>
    <r>
      <rPr>
        <sz val="8"/>
        <color rgb="FF2B2B2B"/>
        <rFont val="DejaVu Sans"/>
        <family val="2"/>
      </rPr>
      <t xml:space="preserve">단을 통해 납부하는 것을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</si>
  <si>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의 이륜차 할부판매에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</si>
  <si>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계약자에게 개</t>
    </r>
  </si>
  <si>
    <r>
      <rPr>
        <sz val="8"/>
        <color rgb="FF2B2B2B"/>
        <rFont val="DejaVu Sans"/>
        <family val="2"/>
      </rPr>
      <t xml:space="preserve">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</si>
  <si>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</si>
  <si>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 지급 의무를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</si>
  <si>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 대금을 일</t>
    </r>
  </si>
  <si>
    <r>
      <rPr>
        <sz val="8"/>
        <color rgb="FF2B2B2B"/>
        <rFont val="DejaVu Sans"/>
        <family val="2"/>
      </rPr>
      <t xml:space="preserve">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</si>
  <si>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정 기간에 걸쳐 분할 지급하는 매매계약을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</si>
  <si>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납부주기 변경으로 할부금이 조정되는 경우 최초 계약 당시의 단가표 기준에 따라 산정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</si>
  <si>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인도 시 부착된</t>
    </r>
  </si>
  <si>
    <r>
      <rPr>
        <sz val="8"/>
        <color rgb="FF2B2B2B"/>
        <rFont val="DejaVu Sans"/>
        <family val="2"/>
      </rPr>
      <t xml:space="preserve">⑥ 본 계약상 모든 미납금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대하여</t>
    </r>
  </si>
  <si>
    <r>
      <rPr>
        <sz val="8"/>
        <color rgb="FF2B2B2B"/>
        <rFont val="DejaVu Sans"/>
        <family val="2"/>
      </rPr>
      <t xml:space="preserve">부속품 및 장착물을 포함한다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</si>
  <si>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계약자의 별도 동의 없이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신용정보집중기관에 채무불이행 사실을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</si>
  <si>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</si>
  <si>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등록하거나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신용정보업체 등 채권추심 전문기관에 채권추심을 위임할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수납대행사인 포어스</t>
    </r>
  </si>
  <si>
    <r>
      <rPr>
        <sz val="8"/>
        <color rgb="FF2B2B2B"/>
        <rFont val="DejaVu Sans"/>
        <family val="2"/>
      </rPr>
      <t xml:space="preserve">바이크 유한회사는 회사를 대리하여 계약자에게 미납금 납부 독촉을 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</si>
  <si>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플랫폼사의</t>
    </r>
  </si>
  <si>
    <r>
      <rPr>
        <sz val="8"/>
        <color rgb="FF2B2B2B"/>
        <rFont val="DejaVu Sans"/>
        <family val="2"/>
      </rPr>
      <t xml:space="preserve">페이를 통하여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(1) </t>
    </r>
    <r>
      <rPr>
        <sz val="8"/>
        <color rgb="FF2B2B2B"/>
        <rFont val="DejaVu Sans"/>
        <family val="2"/>
      </rPr>
      <t xml:space="preserve">계약자와 플랫폼사 간 가맹계약 종료</t>
    </r>
    <r>
      <rPr>
        <sz val="8"/>
        <color rgb="FF2B2B2B"/>
        <rFont val="DejaVu Sans"/>
        <family val="2"/>
        <charset val="1"/>
      </rPr>
      <t xml:space="preserve">, (2)</t>
    </r>
  </si>
  <si>
    <r>
      <rPr>
        <sz val="8"/>
        <color rgb="FF2B2B2B"/>
        <rFont val="DejaVu Sans"/>
        <family val="2"/>
      </rPr>
      <t xml:space="preserve">회사와 플랫폼 간 제휴계약 종료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플랫폼사의 페이가 </t>
    </r>
    <r>
      <rPr>
        <sz val="8"/>
        <color rgb="FF2B2B2B"/>
        <rFont val="DejaVu Sans"/>
        <family val="2"/>
        <charset val="1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</t>
    </r>
  </si>
  <si>
    <r>
      <rPr>
        <sz val="8"/>
        <color rgb="FF2B2B2B"/>
        <rFont val="DejaVu Sans"/>
        <family val="2"/>
      </rPr>
      <t xml:space="preserve">회사 계좌로 출금되지 아니한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일차감 프로그램은 즉시 중단되고 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항에 따라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</si>
  <si>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 납부하는 금</t>
    </r>
  </si>
  <si>
    <r>
      <rPr>
        <sz val="8"/>
        <color rgb="FF2B2B2B"/>
        <rFont val="DejaVu Sans"/>
        <family val="2"/>
      </rPr>
      <t xml:space="preserve">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</si>
  <si>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원을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</si>
  <si>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</si>
  <si>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</si>
  <si>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청구일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</si>
  <si>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</si>
  <si>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</si>
  <si>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</si>
  <si>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사용을 계속</t>
    </r>
  </si>
  <si>
    <r>
      <rPr>
        <sz val="8"/>
        <color rgb="FF2B2B2B"/>
        <rFont val="DejaVu Sans"/>
        <family val="2"/>
      </rPr>
      <t xml:space="preserve">하는 경우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</si>
  <si>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</si>
  <si>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</si>
  <si>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</si>
  <si>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신용정보집중기관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</si>
  <si>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</si>
  <si>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에 등록하거나 신용정보업체에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</si>
  <si>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</si>
  <si>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</si>
  <si>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 또는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자가 회사에 청구하는 금액 일</t>
    </r>
  </si>
  <si>
    <r>
      <rPr>
        <sz val="8"/>
        <color rgb="FF2B2B2B"/>
        <rFont val="DejaVu Sans"/>
        <family val="2"/>
      </rPr>
      <t xml:space="preserve">체를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</si>
  <si>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미수선처리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사고 발생 시 계약자가 차량을 수리하지 아니하고 임의로 수리비 전부 또는 일부 금액을 현금으로 지급받는 행위를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</si>
  <si>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⑪ "</t>
    </r>
    <r>
      <rPr>
        <sz val="8"/>
        <color rgb="FF2B2B2B"/>
        <rFont val="DejaVu Sans"/>
        <family val="2"/>
      </rPr>
      <t xml:space="preserve">플랫폼 일차감 프로그램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가맹중인 배달플랫폼 본사와 회사 간의 제휴계약이 체결되어 있는 경우 해당 플랫폼사의 페이를 통해 할부금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 납부가 가능한 전산 시스템을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</si>
  <si>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이륜차 인도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</si>
  <si>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</si>
  <si>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제출된 서류는 어떠한 경우에도 반환하지 아니한다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</si>
  <si>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인도 이</t>
    </r>
  </si>
  <si>
    <r>
      <rPr>
        <sz val="8"/>
        <color rgb="FF2B2B2B"/>
        <rFont val="DejaVu Sans"/>
        <family val="2"/>
      </rPr>
      <t xml:space="preserve">후에는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</si>
  <si>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 및 이전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</si>
  <si>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</si>
  <si>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</si>
  <si>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운행자성 및 운행지배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</si>
  <si>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이륜차의 소유권을 계약자에게 이전한다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</si>
  <si>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자동차손해배상보장법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자기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</si>
  <si>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</si>
  <si>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기를 위하여 자동차를 운행하는 자</t>
    </r>
    <r>
      <rPr>
        <sz val="8"/>
        <color rgb="FF2B2B2B"/>
        <rFont val="DejaVu Sans"/>
        <family val="2"/>
        <charset val="1"/>
      </rPr>
      <t xml:space="preserve">"(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운행자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에 해당하지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본 계약 차량에</t>
    </r>
  </si>
  <si>
    <t xml:space="preserve">④ 인수형 계약이라 하더라도 계약기간 만료 및 약정 금액의 완납 전에는 계약자는 이륜차의 소유권</t>
  </si>
  <si>
    <r>
      <rPr>
        <sz val="8"/>
        <color rgb="FF2B2B2B"/>
        <rFont val="DejaVu Sans"/>
        <family val="2"/>
      </rPr>
      <t xml:space="preserve">대한 운행지배 및 운행이익을 갖지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</si>
  <si>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</si>
  <si>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본 계약 차량의 보험은 계약자가 직접 가입하며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보험계약의 당사자가 아니다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</si>
  <si>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이륜차 보관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사용 등으로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손해가 발생한 경우 회사의 고의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과실이 없는 한 그 책임은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</si>
  <si>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</si>
  <si>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계약자가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본인 명의로 본 계약 차량의 자동차보험에 가입할 의무가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차량이 유상</t>
    </r>
  </si>
  <si>
    <r>
      <rPr>
        <sz val="8"/>
        <color theme="1"/>
        <rFont val="DejaVu Sans"/>
        <family val="2"/>
      </rPr>
      <t xml:space="preserve">① 계약자는 선량한 관리자의 주의로 이륜차를 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관리하여야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운행 중 발생하는 모든 사고에</t>
    </r>
  </si>
  <si>
    <r>
      <rPr>
        <sz val="8"/>
        <color rgb="FF2B2B2B"/>
        <rFont val="DejaVu Sans"/>
        <family val="2"/>
      </rPr>
      <t xml:space="preserve">운송 목적으로 사용되는 점을 고려하여 유상운송 용도에 적합한 보험에 가입하여야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부적합 보험</t>
    </r>
  </si>
  <si>
    <r>
      <rPr>
        <sz val="8"/>
        <color theme="1"/>
        <rFont val="DejaVu Sans"/>
        <family val="2"/>
      </rPr>
      <t xml:space="preserve">대해 책임을 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</si>
  <si>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보장 한도 부족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 본인 명의가 아닌 보험 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또는 계약자의 귀책사유로 보험처리가 불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</si>
  <si>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</si>
  <si>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가하거나 보험금으로 충당되지 않는 손해는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</si>
  <si>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 계약의 목적 범위 내에서 본인이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수익할 </t>
    </r>
  </si>
  <si>
    <r>
      <rPr>
        <sz val="8"/>
        <color theme="1"/>
        <rFont val="DejaVu Sans"/>
        <family val="2"/>
      </rPr>
      <t xml:space="preserve">④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책임으로 회사를 면책</t>
    </r>
  </si>
  <si>
    <r>
      <rPr>
        <sz val="8"/>
        <color theme="1"/>
        <rFont val="DejaVu Sans"/>
        <family val="2"/>
      </rPr>
      <t xml:space="preserve">권리와 운행이익권만을 가진다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계약자는 이륜차를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양도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전대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담보 제공하거나 사용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수익</t>
    </r>
  </si>
  <si>
    <r>
      <rPr>
        <sz val="8"/>
        <color theme="1"/>
        <rFont val="DejaVu Sans"/>
        <family val="2"/>
      </rPr>
      <t xml:space="preserve">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부득이 배상한 경우 그 금액 및 관련 비용 일체를 즉시 회사에 상환하여야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</si>
  <si>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하게 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또한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15</t>
    </r>
    <r>
      <rPr>
        <sz val="8"/>
        <color theme="1"/>
        <rFont val="DejaVu Sans"/>
        <family val="2"/>
      </rPr>
      <t xml:space="preserve">조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16</t>
    </r>
    <r>
      <rPr>
        <sz val="8"/>
        <color theme="1"/>
        <rFont val="DejaVu Sans"/>
        <family val="2"/>
      </rPr>
      <t xml:space="preserve">조에 따라 계약이 해지된 경우 계약자는 즉시 운행을 중단하고 이</t>
    </r>
  </si>
  <si>
    <r>
      <rPr>
        <sz val="8"/>
        <color theme="1"/>
        <rFont val="DejaVu Sans"/>
        <family val="2"/>
      </rPr>
      <t xml:space="preserve">륜차를 반환하여야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</si>
  <si>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</si>
  <si>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④ 계약자는 인수형 할부판매라 하더라도 계약기간 만료 및 약정 금액 완납 전에는 이륜차의 소유권</t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</si>
  <si>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</si>
  <si>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을 주장할 수 없다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</si>
  <si>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</si>
  <si>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소유권을 침해할</t>
    </r>
  </si>
  <si>
    <r>
      <rPr>
        <sz val="8"/>
        <color rgb="FF2B2B2B"/>
        <rFont val="DejaVu Sans"/>
        <family val="2"/>
      </rPr>
      <t xml:space="preserve">공하여야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</si>
  <si>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위험이 있는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계약자는 이륜차가 회사의 소유임을 주장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입증하여 침해를 방지하고 즉시 그 사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</si>
  <si>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채무를</t>
    </r>
  </si>
  <si>
    <r>
      <rPr>
        <sz val="8"/>
        <color theme="1"/>
        <rFont val="DejaVu Sans"/>
        <family val="2"/>
      </rPr>
      <t xml:space="preserve">실을 회사에 통지하여야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</si>
  <si>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계속 이행하여야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</si>
  <si>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 대한 책임을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</si>
  <si>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</si>
  <si>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</si>
  <si>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</si>
  <si>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</t>
    </r>
  </si>
  <si>
    <r>
      <rPr>
        <sz val="8"/>
        <color theme="1"/>
        <rFont val="DejaVu Sans"/>
        <family val="2"/>
      </rPr>
      <t xml:space="preserve">태로 완전복구 또는 </t>
    </r>
    <r>
      <rPr>
        <sz val="8"/>
        <color theme="1"/>
        <rFont val="DejaVu Sans"/>
        <family val="2"/>
        <charset val="1"/>
      </rPr>
      <t xml:space="preserve">(2) </t>
    </r>
    <r>
      <rPr>
        <sz val="8"/>
        <color theme="1"/>
        <rFont val="DejaVu Sans"/>
        <family val="2"/>
      </rPr>
      <t xml:space="preserve">동일모델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사양으로 교체 중 하나를 이행해야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</si>
  <si>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</si>
  <si>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 도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</si>
  <si>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</si>
  <si>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theme="1"/>
        <rFont val="DejaVu Sans"/>
        <family val="2"/>
      </rPr>
      <t xml:space="preserve">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멸실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훼손에 대한 모든 책임을 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</si>
  <si>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</si>
  <si>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</si>
  <si>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</si>
  <si>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대하여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</si>
  <si>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</t>
    </r>
  </si>
  <si>
    <r>
      <rPr>
        <sz val="8"/>
        <color rgb="FF2B2B2B"/>
        <rFont val="DejaVu Sans"/>
        <family val="2"/>
      </rPr>
      <t xml:space="preserve">계약자가 전적으로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</si>
  <si>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</si>
  <si>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</si>
  <si>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</si>
  <si>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범위내</t>
    </r>
  </si>
  <si>
    <r>
      <rPr>
        <sz val="8"/>
        <color theme="1"/>
        <rFont val="DejaVu Sans"/>
        <family val="2"/>
      </rPr>
      <t xml:space="preserve"> 이륜차를 반환함과 동시에 </t>
    </r>
    <r>
      <rPr>
        <sz val="8"/>
        <color theme="1"/>
        <rFont val="DejaVu Sans"/>
        <family val="2"/>
        <charset val="1"/>
      </rPr>
      <t xml:space="preserve">(1) </t>
    </r>
    <r>
      <rPr>
        <sz val="8"/>
        <color theme="1"/>
        <rFont val="DejaVu Sans"/>
        <family val="2"/>
      </rPr>
      <t xml:space="preserve">인도일부터 반환일까지의 일할 사용료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이륜차의 감가손실액</t>
    </r>
    <r>
      <rPr>
        <sz val="8"/>
        <color theme="1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</si>
  <si>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</si>
  <si>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맑은 고딕"/>
        <family val="3"/>
        <charset val="129"/>
      </rPr>
      <t xml:space="preserve">(3) </t>
    </r>
    <r>
      <rPr>
        <sz val="8"/>
        <color theme="1"/>
        <rFont val="DejaVu Sans"/>
        <family val="2"/>
      </rPr>
      <t xml:space="preserve">차량 등록비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번호판 비용 등 회사가 이미 지출한 부대비용 일체를 회사에 배상하여야 한다</t>
    </r>
    <r>
      <rPr>
        <sz val="8"/>
        <color theme="1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</si>
  <si>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계약자가 모든 채무를 이행한 뒤 수납대행사를 통해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</si>
  <si>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</si>
  <si>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수리비 등이 확인될 수 있으므로 계약기간 만료일로부터 </t>
    </r>
    <r>
      <rPr>
        <sz val="8"/>
        <color theme="1"/>
        <rFont val="DejaVu Sans"/>
        <family val="2"/>
        <charset val="1"/>
      </rPr>
      <t xml:space="preserve">1</t>
    </r>
    <r>
      <rPr>
        <sz val="8"/>
        <color theme="1"/>
        <rFont val="DejaVu Sans"/>
        <family val="2"/>
      </rPr>
      <t xml:space="preserve">개월이 경과한 이후에 반환한다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</si>
  <si>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</si>
  <si>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계약자는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</si>
  <si>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성실히 협조</t>
    </r>
  </si>
  <si>
    <r>
      <rPr>
        <sz val="8"/>
        <color theme="1"/>
        <rFont val="DejaVu Sans"/>
        <family val="2"/>
      </rPr>
      <t xml:space="preserve">차액을 추가 납부하여야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</si>
  <si>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</si>
  <si>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납부하여야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</si>
  <si>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 책임은 계</t>
    </r>
  </si>
  <si>
    <r>
      <rPr>
        <sz val="8"/>
        <color theme="1"/>
        <rFont val="DejaVu Sans"/>
        <family val="2"/>
      </rPr>
      <t xml:space="preserve">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</si>
  <si>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약자가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차량이 유상운송 목적으</t>
    </r>
  </si>
  <si>
    <r>
      <rPr>
        <sz val="8"/>
        <color rgb="FF2B2B2B"/>
        <rFont val="DejaVu Sans"/>
        <family val="2"/>
      </rPr>
      <t xml:space="preserve">⑥ 계약이 중도 해지된 경우 계약자는 어떠한 사유로도 납부한 보증금 및 계약금을 반환받을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</si>
  <si>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로 사용되는 점을 고려하여 계약자는 본인 명의로 유상운송 용도에 적합한 보험에 가입할 의무가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</si>
  <si>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부적합 보험 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보장 한도 부족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본인 명의가 아닌 보험 가입 또는 계약자의 귀책사유로 보험처리가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</si>
  <si>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</si>
  <si>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불가하거나 보험금으로 충당되지 않는 손해는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</si>
  <si>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① 계약자는 계약서에 기재된 할부금 및 운행 관련 제 비용을 공휴일과 무관하게 정해진 결제일에</t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</si>
  <si>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 제세공과</t>
    </r>
  </si>
  <si>
    <r>
      <rPr>
        <sz val="8"/>
        <color rgb="FF2B2B2B"/>
        <rFont val="DejaVu Sans"/>
        <family val="2"/>
      </rPr>
      <t xml:space="preserve">에 수납대행사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</si>
  <si>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</si>
  <si>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</si>
  <si>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</si>
  <si>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</si>
  <si>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</t>
    </r>
  </si>
  <si>
    <r>
      <rPr>
        <sz val="8"/>
        <color rgb="FF2B2B2B"/>
        <rFont val="DejaVu Sans"/>
        <family val="2"/>
      </rPr>
      <t xml:space="preserve">양도하는 행위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계약자 본인 명의가 아닌 보험 또는 보장 한도가 부족한 보험으로 운행하는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</si>
  <si>
    <r>
      <rPr>
        <sz val="8"/>
        <color rgb="FF2B2B2B"/>
        <rFont val="DejaVu Sans"/>
        <family val="2"/>
      </rPr>
      <t xml:space="preserve">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</si>
  <si>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담보 목적으로 제공하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</si>
  <si>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</t>
    </r>
  </si>
  <si>
    <r>
      <rPr>
        <sz val="8"/>
        <color rgb="FF2B2B2B"/>
        <rFont val="DejaVu Sans"/>
        <family val="2"/>
      </rPr>
      <t xml:space="preserve">는 등 회사의 소유권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표지를 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</si>
  <si>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익일에 번호판을 등기우편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</si>
  <si>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조의 행위가 있는 경우 회사는 사전 통지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최고 없이 본 계약을  즉시 해지하고 차량을 회수하며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제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</si>
  <si>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계약자</t>
    </r>
  </si>
  <si>
    <r>
      <rPr>
        <sz val="8"/>
        <color rgb="FF2B2B2B"/>
        <rFont val="맑은 고딕"/>
        <family val="3"/>
        <charset val="129"/>
      </rPr>
      <t xml:space="preserve">18</t>
    </r>
    <r>
      <rPr>
        <sz val="8"/>
        <color rgb="FF2B2B2B"/>
        <rFont val="DejaVu Sans"/>
        <family val="2"/>
      </rPr>
      <t xml:space="preserve">조에 따른 위약금 및 원상복구비 등 일체의 손해를 청구할 수 있다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</si>
  <si>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가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신고는 회사가 대행한다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영수증을 발</t>
    </r>
  </si>
  <si>
    <r>
      <rPr>
        <sz val="8"/>
        <color rgb="FF2B2B2B"/>
        <rFont val="DejaVu Sans"/>
        <family val="2"/>
      </rPr>
      <t xml:space="preserve">송하는 경우 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</si>
  <si>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</si>
  <si>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DejaVu Sans"/>
        <family val="2"/>
        <charset val="1"/>
      </rPr>
      <t xml:space="preserve">(D)</t>
    </r>
  </si>
  <si>
    <r>
      <rPr>
        <sz val="8"/>
        <color rgb="FF2B2B2B"/>
        <rFont val="DejaVu Sans"/>
        <family val="2"/>
      </rPr>
      <t xml:space="preserve">① 이륜차 인수일부터 반환일까지의 기간 동안 발생한 사유로 인하여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보험사 구상금 청구 포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</si>
  <si>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</t>
    </r>
  </si>
  <si>
    <r>
      <rPr>
        <sz val="8"/>
        <color rgb="FF2B2B2B"/>
        <rFont val="DejaVu Sans"/>
        <family val="2"/>
      </rPr>
      <t xml:space="preserve">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가 그 청구 시점이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이후라도 회사를 상대로 인적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 또는 구상금을</t>
    </r>
  </si>
  <si>
    <r>
      <rPr>
        <sz val="8"/>
        <color rgb="FF2B2B2B"/>
        <rFont val="DejaVu Sans"/>
        <family val="2"/>
      </rPr>
      <t xml:space="preserve">하며 회사는 차량을 자체 처분할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</si>
  <si>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</si>
  <si>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</si>
  <si>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 금액과 관</t>
    </r>
  </si>
  <si>
    <r>
      <rPr>
        <sz val="8"/>
        <color rgb="FF2B2B2B"/>
        <rFont val="DejaVu Sans"/>
        <family val="2"/>
      </rPr>
      <t xml:space="preserve">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</t>
    </r>
  </si>
  <si>
    <r>
      <rPr>
        <sz val="8"/>
        <color rgb="FF2B2B2B"/>
        <rFont val="DejaVu Sans"/>
        <family val="2"/>
      </rPr>
      <t xml:space="preserve">련 제비용을 즉시 상환하여야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</si>
  <si>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</si>
  <si>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부담하여야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</si>
  <si>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 등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</si>
  <si>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</si>
  <si>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포함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DejaVu Sans"/>
        <family val="2"/>
        <charset val="1"/>
      </rPr>
      <t xml:space="preserve">8</t>
    </r>
    <r>
      <rPr>
        <sz val="8"/>
        <color rgb="FF2B2B2B"/>
        <rFont val="DejaVu Sans"/>
        <family val="2"/>
      </rPr>
      <t xml:space="preserve">조에 따른 손해배상금</t>
    </r>
  </si>
  <si>
    <t xml:space="preserve">④ 본 계약은 계약자가 보험에 가입하는 할부판매 상품으로 회사는 보험계약의 당사자가 아니므로 보</t>
  </si>
  <si>
    <r>
      <rPr>
        <sz val="8"/>
        <color rgb="FF2B2B2B"/>
        <rFont val="DejaVu Sans"/>
        <family val="2"/>
      </rPr>
      <t xml:space="preserve">및 부당사용이익을 회사에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</si>
  <si>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험료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자기부담금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면책금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사고처리비용 등 보험과 관련된 일체의 비용은 계약자가 전적으로 </t>
    </r>
  </si>
  <si>
    <r>
      <rPr>
        <sz val="8"/>
        <color rgb="FF2B2B2B"/>
        <rFont val="DejaVu Sans"/>
        <family val="2"/>
      </rPr>
      <t xml:space="preserve"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이에 대해 일절 책임을 지지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</si>
  <si>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</si>
  <si>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⑤ 운행 중 사고로 보험사가 회사에 구상금을 청구하거나 보험 보장 범위를 초과하는 손해가 발생</t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</si>
  <si>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</si>
  <si>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인지한 즉시 회사에 고지하여야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보험사가 회사에 구상금을 청구한 경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</si>
  <si>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DejaVu Sans"/>
        <family val="2"/>
        <charset val="1"/>
      </rPr>
      <t xml:space="preserve">19</t>
    </r>
    <r>
      <rPr>
        <sz val="8"/>
        <color rgb="FF2B2B2B"/>
        <rFont val="DejaVu Sans"/>
        <family val="2"/>
      </rPr>
      <t xml:space="preserve">조에서 정한 절차를</t>
    </r>
  </si>
  <si>
    <r>
      <rPr>
        <sz val="8"/>
        <color rgb="FF2B2B2B"/>
        <rFont val="DejaVu Sans"/>
        <family val="2"/>
      </rPr>
      <t xml:space="preserve">우 계약자는 통보 후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 이내에 그 전액을 회사에 변제하여야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</si>
  <si>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진행한다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</si>
  <si>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계약자가 전항의 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변제 의무를 위반한 경우 회사는 본 계약을 즉시 해지하고 차량을 회수할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</si>
  <si>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 등 추가</t>
    </r>
  </si>
  <si>
    <r>
      <rPr>
        <sz val="8"/>
        <color rgb="FF2B2B2B"/>
        <rFont val="DejaVu Sans"/>
        <family val="2"/>
      </rPr>
      <t xml:space="preserve">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회사가 부득이 직접 배상한 경우 그 금액 및 관련 비용 일체를 즉시 회사에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</si>
  <si>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환급은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</si>
  <si>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</si>
  <si>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</si>
  <si>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</si>
  <si>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</t>
    </r>
  </si>
  <si>
    <r>
      <rPr>
        <sz val="8"/>
        <color rgb="FF2B2B2B"/>
        <rFont val="DejaVu Sans"/>
        <family val="2"/>
      </rPr>
      <t xml:space="preserve">통보하여야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</si>
  <si>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으로 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</si>
  <si>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DejaVu Sans"/>
        <family val="2"/>
        <charset val="1"/>
      </rPr>
      <t xml:space="preserve">8</t>
    </r>
    <r>
      <rPr>
        <sz val="8"/>
        <color rgb="FF2B2B2B"/>
        <rFont val="DejaVu Sans"/>
        <family val="2"/>
      </rPr>
      <t xml:space="preserve">조 및 계약에서 정한 위약금 및 관련 비용을 회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</si>
  <si>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</si>
  <si>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사에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</si>
  <si>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각 계약자별 납부금은 해당 계약자 본인 명의 계좌로부터 입금된 금원에 한하여 충당되며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</si>
  <si>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</t>
    </r>
  </si>
  <si>
    <r>
      <rPr>
        <sz val="8"/>
        <color rgb="FF2B2B2B"/>
        <rFont val="DejaVu Sans"/>
        <family val="2"/>
      </rPr>
      <t xml:space="preserve">약자의 입금은 타인의 채무에 충당되지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</si>
  <si>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</si>
  <si>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정산 절차에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</si>
  <si>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현금영수증 발급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</si>
  <si>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성실히 협조하여야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</si>
  <si>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현금영수증은 한국모터사이클리스 유한회사 명의로 계약자의 주민등록번호를 기준으로 발급한다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</si>
  <si>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</si>
  <si>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다음 각 호에 해당하는 경우 계약자는 사전 통지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계약을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</si>
  <si>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</si>
  <si>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해지하고 차량 인도를 청구할 수 있다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</si>
  <si>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발행에 영향을 미치는 사항에 변경이 발</t>
    </r>
  </si>
  <si>
    <r>
      <rPr>
        <sz val="8"/>
        <color rgb="FF2B2B2B"/>
        <rFont val="DejaVu Sans"/>
        <family val="3"/>
        <charset val="129"/>
      </rPr>
      <t xml:space="preserve">(2) </t>
    </r>
    <r>
      <rPr>
        <sz val="8"/>
        <color rgb="FF2B2B2B"/>
        <rFont val="DejaVu Sans"/>
        <family val="2"/>
      </rPr>
      <t xml:space="preserve">보험연령 미달자 운전 사실 발견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정해진 입금일에 할부금 미납 및 </t>
    </r>
    <r>
      <rPr>
        <sz val="8"/>
        <color rgb="FF2B2B2B"/>
        <rFont val="DejaVu Sans"/>
        <family val="3"/>
        <charset val="129"/>
      </rPr>
      <t xml:space="preserve">7</t>
    </r>
    <r>
      <rPr>
        <sz val="8"/>
        <color rgb="FF2B2B2B"/>
        <rFont val="DejaVu Sans"/>
        <family val="2"/>
      </rPr>
      <t xml:space="preserve">일 이상 지체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통</t>
    </r>
  </si>
  <si>
    <r>
      <rPr>
        <sz val="8"/>
        <color rgb="FF2B2B2B"/>
        <rFont val="DejaVu Sans"/>
        <family val="2"/>
      </rPr>
      <t xml:space="preserve">생한 경우 즉시 회사에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</si>
  <si>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지받은 수리비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음주운전등 운전자 귀</t>
    </r>
  </si>
  <si>
    <r>
      <rPr>
        <sz val="8"/>
        <color theme="1"/>
        <rFont val="DejaVu Sans"/>
        <family val="2"/>
      </rPr>
      <t xml:space="preserve"> 귀책 배상금 청구 후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 담보 제공 등 회사 소유권 침해 또는 차량 규격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성능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</si>
  <si>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</si>
  <si>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표지의 무단 변경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훼손</t>
    </r>
    <r>
      <rPr>
        <sz val="8"/>
        <color theme="1"/>
        <rFont val="맑은 고딕"/>
        <family val="3"/>
        <charset val="129"/>
      </rPr>
      <t xml:space="preserve">, (7) </t>
    </r>
    <r>
      <rPr>
        <sz val="8"/>
        <color theme="1"/>
        <rFont val="DejaVu Sans"/>
        <family val="2"/>
      </rPr>
      <t xml:space="preserve">위치정보 장치 훼손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은닉</t>
    </r>
    <r>
      <rPr>
        <sz val="8"/>
        <color theme="1"/>
        <rFont val="맑은 고딕"/>
        <family val="3"/>
        <charset val="129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맑은 고딕"/>
        <family val="3"/>
        <charset val="129"/>
      </rPr>
      <t xml:space="preserve">7</t>
    </r>
    <r>
      <rPr>
        <sz val="8"/>
        <color theme="1"/>
        <rFont val="DejaVu Sans"/>
        <family val="2"/>
      </rPr>
      <t xml:space="preserve">일 이내 미변제</t>
    </r>
    <r>
      <rPr>
        <sz val="8"/>
        <color theme="1"/>
        <rFont val="맑은 고딕"/>
        <family val="3"/>
        <charset val="129"/>
      </rPr>
      <t xml:space="preserve">, (9) 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</si>
  <si>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</si>
  <si>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사고 발생 시 고지 의무 위반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</si>
  <si>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</si>
  <si>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</si>
  <si>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</si>
  <si>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DejaVu Sans"/>
        <family val="2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DejaVu Sans"/>
        <family val="2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위약금을 계약해지</t>
    </r>
  </si>
  <si>
    <r>
      <rPr>
        <sz val="8"/>
        <color rgb="FF2B2B2B"/>
        <rFont val="DejaVu Sans"/>
        <family val="2"/>
      </rPr>
      <t xml:space="preserve">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</si>
  <si>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일까지 회사에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</si>
  <si>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</si>
  <si>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</si>
  <si>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</si>
  <si>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평가하여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</si>
  <si>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</si>
  <si>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보증금에서 수리비를 공제하거나 계약자에게 추가 납부를 청구할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그 감가액 산정기준</t>
    </r>
  </si>
  <si>
    <r>
      <rPr>
        <sz val="8"/>
        <color rgb="FF2B2B2B"/>
        <rFont val="DejaVu Sans"/>
        <family val="2"/>
      </rPr>
      <t xml:space="preserve">은 다음 각 호와 같다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</si>
  <si>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</si>
  <si>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</si>
  <si>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DejaVu Sans"/>
        <family val="2"/>
        <charset val="1"/>
      </rPr>
      <t xml:space="preserve">15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16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이륜차를 반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</si>
  <si>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</si>
  <si>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</si>
  <si>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DejaVu Sans"/>
        <family val="2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</si>
  <si>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</si>
  <si>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</t>
    </r>
  </si>
  <si>
    <r>
      <rPr>
        <sz val="8"/>
        <color rgb="FF2B2B2B"/>
        <rFont val="DejaVu Sans"/>
        <family val="2"/>
      </rPr>
      <t xml:space="preserve">상 어떠한 이의도 제기할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</si>
  <si>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실비를 기준으로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</si>
  <si>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</si>
  <si>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</si>
  <si>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제조사 </t>
    </r>
    <r>
      <rPr>
        <b val="true"/>
        <sz val="9"/>
        <color rgb="FF1F3864"/>
        <rFont val="DejaVu Sans"/>
        <family val="2"/>
        <charset val="1"/>
      </rPr>
      <t xml:space="preserve">A/S </t>
    </r>
    <r>
      <rPr>
        <b val="true"/>
        <sz val="9"/>
        <color rgb="FF1F3864"/>
        <rFont val="DejaVu Sans"/>
        <family val="2"/>
      </rPr>
      <t xml:space="preserve">및 차량 하자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</si>
  <si>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① 할부판매 계약 개시일 당시 신차를 인수받았거나 본 계약 차량이 제조사 보증기간 내에 있는 경우</t>
  </si>
  <si>
    <r>
      <rPr>
        <sz val="8"/>
        <color rgb="FF2B2B2B"/>
        <rFont val="DejaVu Sans"/>
        <family val="2"/>
      </rPr>
      <t xml:space="preserve">차량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</t>
    </r>
  </si>
  <si>
    <r>
      <rPr>
        <sz val="8"/>
        <color rgb="FF2B2B2B"/>
        <rFont val="DejaVu Sans"/>
        <family val="2"/>
      </rPr>
      <t xml:space="preserve">임지지 아니하고 이로 인하여 계약자의 할부금 지급의무에는 영향을 미치지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</si>
  <si>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</si>
  <si>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출고 주문 취소 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</si>
  <si>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계약자의 단순 변심으로 출고 당일 계약을 취소하는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차량 회수에 소요된 일체의 비용 및</t>
    </r>
  </si>
  <si>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만원을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</si>
  <si>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과태료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범칙금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</si>
  <si>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본 계약 차량의 운행과 관련하여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등을 부과받은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그 사실을 계</t>
    </r>
  </si>
  <si>
    <r>
      <rPr>
        <sz val="8"/>
        <color rgb="FF2B2B2B"/>
        <rFont val="DejaVu Sans"/>
        <family val="2"/>
      </rPr>
      <t xml:space="preserve">약자에게 안내하며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</si>
  <si>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계약만기일까지 미납된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해당 금액을 보증금에서 공제한 후</t>
    </r>
  </si>
  <si>
    <r>
      <rPr>
        <sz val="8"/>
        <color rgb="FF2B2B2B"/>
        <rFont val="DejaVu Sans"/>
        <family val="2"/>
      </rPr>
      <t xml:space="preserve">잔액을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미납금이 보증금을 초과하는 경우 계약자는 그 차액을 추가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</si>
  <si>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플랫폼 일차감 프로그램을 이용하는 계약자는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등의 일회성 차감에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</si>
  <si>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계약만료 후 이륜차의 명의이전에 따른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 등 제세공과금은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</si>
  <si>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약관의 변경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</si>
  <si>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회사는 본 약관을 변경할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기존 계약에 소급 적용하는 경우 그 내용을 서</t>
    </r>
  </si>
  <si>
    <r>
      <rPr>
        <sz val="8"/>
        <color rgb="FF2B2B2B"/>
        <rFont val="DejaVu Sans"/>
        <family val="2"/>
      </rPr>
      <t xml:space="preserve">면으로 작성하여 적용 예정일로부터 </t>
    </r>
    <r>
      <rPr>
        <sz val="8"/>
        <color rgb="FF2B2B2B"/>
        <rFont val="DejaVu Sans"/>
        <family val="2"/>
        <charset val="1"/>
      </rPr>
      <t xml:space="preserve">14</t>
    </r>
    <r>
      <rPr>
        <sz val="8"/>
        <color rgb="FF2B2B2B"/>
        <rFont val="DejaVu Sans"/>
        <family val="2"/>
      </rPr>
      <t xml:space="preserve">일 이전까지 계약자에게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</si>
  <si>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승인한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</si>
  <si>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이용약관의 내용에 대해서 설명을 듣고 확인하였습니다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</si>
  <si>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계약자                                    서명 또는 인</t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</si>
  <si>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</si>
  <si>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할부판매 계약에 부속되며 본 계약서 본문과 동일한 효력을 가집니다</t>
    </r>
    <r>
      <rPr>
        <i val="true"/>
        <sz val="10"/>
        <color rgb="FF6B7280"/>
        <rFont val="DejaVu Sans"/>
        <family val="2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</si>
  <si>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</si>
  <si>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</si>
  <si>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이란 본 계약 차량의 운행 중 발생한 사고로 보험사 또는 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자가 회사에 청구하는 금액 일체를 말하며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원금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지연이자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소송비용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변호사비 등 회사가 그와 관련하여 지출한 모든 비용을 포함한다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</si>
  <si>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</si>
  <si>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10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10"/>
        <color rgb="FF111111"/>
        <rFont val="DejaVu Sans"/>
        <family val="2"/>
        <charset val="1"/>
      </rPr>
      <t xml:space="preserve">.</t>
    </r>
  </si>
  <si>
    <t xml:space="preserve">①</t>
  </si>
  <si>
    <r>
      <rPr>
        <sz val="9.5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.5"/>
        <color rgb="FF111111"/>
        <rFont val="DejaVu Sans"/>
        <family val="2"/>
        <charset val="1"/>
      </rPr>
      <t xml:space="preserve">. </t>
    </r>
    <r>
      <rPr>
        <sz val="9.5"/>
        <color rgb="FF111111"/>
        <rFont val="DejaVu Sans"/>
        <family val="2"/>
      </rPr>
      <t xml:space="preserve">운행자성은 전적으로 계약자에게 있으며</t>
    </r>
    <r>
      <rPr>
        <sz val="9.5"/>
        <color rgb="FF111111"/>
        <rFont val="DejaVu Sans"/>
        <family val="2"/>
        <charset val="1"/>
      </rPr>
      <t xml:space="preserve">, </t>
    </r>
    <r>
      <rPr>
        <sz val="9.5"/>
        <color rgb="FF111111"/>
        <rFont val="DejaVu Sans"/>
        <family val="2"/>
      </rPr>
      <t xml:space="preserve">보험사가 회사에 청구하는 구상금은 계약자가 전액 부담한다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</si>
  <si>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②</t>
  </si>
  <si>
    <t xml:space="preserve">사고 미고지 위반</t>
  </si>
  <si>
    <r>
      <rPr>
        <sz val="9.5"/>
        <color rgb="FF111111"/>
        <rFont val="DejaVu Sans"/>
        <family val="2"/>
      </rPr>
      <t xml:space="preserve">사고 발생 시 즉시 회사에 고지하지 아니하거나 지연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</si>
  <si>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③</t>
  </si>
  <si>
    <t xml:space="preserve">보험연령 미달자 운전</t>
  </si>
  <si>
    <r>
      <rPr>
        <sz val="9.5"/>
        <color rgb="FF111111"/>
        <rFont val="DejaVu Sans"/>
        <family val="2"/>
      </rPr>
      <t xml:space="preserve">보험연령 미달자가 본 차량을 운행하여 발생한 사고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손해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회사의 신원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연령 확인 여부와 관계없이 계약자가 책임진다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</si>
  <si>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④</t>
  </si>
  <si>
    <r>
      <rPr>
        <b val="true"/>
        <sz val="10"/>
        <color rgb="FF991B1B"/>
        <rFont val="맑은 고딕"/>
        <family val="0"/>
        <charset val="1"/>
      </rPr>
      <t xml:space="preserve">12</t>
    </r>
    <r>
      <rPr>
        <b val="true"/>
        <sz val="10"/>
        <color rgb="FF991B1B"/>
        <rFont val="DejaVu Sans"/>
        <family val="2"/>
      </rPr>
      <t xml:space="preserve">대 중과실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면책사고</t>
    </r>
  </si>
  <si>
    <r>
      <rPr>
        <sz val="9.5"/>
        <color rgb="FF111111"/>
        <rFont val="DejaVu Sans"/>
        <family val="2"/>
      </rPr>
      <t xml:space="preserve">신호위반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중앙선침범 등 </t>
    </r>
    <r>
      <rPr>
        <sz val="9.5"/>
        <color rgb="FF111111"/>
        <rFont val="DejaVu Sans"/>
        <family val="2"/>
        <charset val="1"/>
      </rPr>
      <t xml:space="preserve">12</t>
    </r>
    <r>
      <rPr>
        <sz val="9.5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</si>
  <si>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⑤</t>
  </si>
  <si>
    <r>
      <rPr>
        <b val="true"/>
        <sz val="10"/>
        <color rgb="FF991B1B"/>
        <rFont val="DejaVu Sans"/>
        <family val="2"/>
      </rPr>
      <t xml:space="preserve">무면허</t>
    </r>
    <r>
      <rPr>
        <b val="true"/>
        <sz val="10"/>
        <color rgb="FF991B1B"/>
        <rFont val="DejaVu Sans"/>
        <family val="2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음주</t>
    </r>
    <r>
      <rPr>
        <b val="true"/>
        <sz val="10"/>
        <color rgb="FF991B1B"/>
        <rFont val="DejaVu Sans"/>
        <family val="2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약물 운전</t>
    </r>
  </si>
  <si>
    <r>
      <rPr>
        <sz val="9.5"/>
        <color rgb="FF111111"/>
        <rFont val="DejaVu Sans"/>
        <family val="2"/>
      </rPr>
      <t xml:space="preserve">무면허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음주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계약자가 전적으로 책임진다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</si>
  <si>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⑥</t>
  </si>
  <si>
    <t xml:space="preserve">보험 보장 한도 초과</t>
  </si>
  <si>
    <r>
      <rPr>
        <sz val="9.5"/>
        <color rgb="FF111111"/>
        <rFont val="DejaVu Sans"/>
        <family val="2"/>
      </rPr>
      <t xml:space="preserve">대물배상 한도 초과분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대인배상Ⅱ 한도 초과분 등 보험사 보장 한도를 초과하는 손해는 계약자가 전액 부담한다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</si>
  <si>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⑦</t>
  </si>
  <si>
    <t xml:space="preserve">기타 보험약관상 면책사유</t>
  </si>
  <si>
    <r>
      <rPr>
        <sz val="9.5"/>
        <color rgb="FF111111"/>
        <rFont val="DejaVu Sans"/>
        <family val="2"/>
      </rPr>
      <t xml:space="preserve">운전자 범위 위반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사고 후 도주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고의 사고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유상운송 부적합 보험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차량 무단 양도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전대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무보험 운행 등 보험약관상 면책사유에 해당하는 일체의 손해를 계약자가 전적으로 책임진다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</si>
  <si>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</si>
  <si>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10"/>
        <color rgb="FF111111"/>
        <rFont val="DejaVu Sans"/>
        <family val="2"/>
      </rPr>
      <t xml:space="preserve">회사가 보험사 또는 제</t>
    </r>
    <r>
      <rPr>
        <sz val="10"/>
        <color rgb="FF111111"/>
        <rFont val="DejaVu Sans"/>
        <family val="2"/>
        <charset val="1"/>
      </rPr>
      <t xml:space="preserve">3</t>
    </r>
    <r>
      <rPr>
        <sz val="10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10"/>
        <color rgb="FF111111"/>
        <rFont val="DejaVu Sans"/>
        <family val="2"/>
        <charset val="1"/>
      </rPr>
      <t xml:space="preserve">7</t>
    </r>
    <r>
      <rPr>
        <sz val="10"/>
        <color rgb="FF111111"/>
        <rFont val="DejaVu Sans"/>
        <family val="2"/>
      </rPr>
      <t xml:space="preserve">일 이내에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계약자는 구상금 전액 및 회사가 지출한 변호사비</t>
    </r>
    <r>
      <rPr>
        <sz val="10"/>
        <color rgb="FF111111"/>
        <rFont val="DejaVu Sans"/>
        <family val="2"/>
        <charset val="1"/>
      </rPr>
      <t xml:space="preserve">·</t>
    </r>
    <r>
      <rPr>
        <sz val="10"/>
        <color rgb="FF111111"/>
        <rFont val="DejaVu Sans"/>
        <family val="2"/>
      </rPr>
      <t xml:space="preserve">소송비 일체를 회사에 변제하여야 한다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</si>
  <si>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</si>
  <si>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DejaVu Sans"/>
        <family val="2"/>
        <charset val="1"/>
      </rPr>
      <t xml:space="preserve">3</t>
    </r>
    <r>
      <rPr>
        <sz val="10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10"/>
        <color rgb="FF111111"/>
        <rFont val="DejaVu Sans"/>
        <family val="2"/>
        <charset val="1"/>
      </rPr>
      <t xml:space="preserve">·</t>
    </r>
    <r>
      <rPr>
        <sz val="10"/>
        <color rgb="FF111111"/>
        <rFont val="DejaVu Sans"/>
        <family val="2"/>
      </rPr>
      <t xml:space="preserve">최고 없이 자동 해지되며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회사는 다음 각 호의 조치를 동시에 또는 순차적으로 취할 수 있다</t>
    </r>
    <r>
      <rPr>
        <sz val="10"/>
        <color rgb="FF111111"/>
        <rFont val="DejaVu Sans"/>
        <family val="2"/>
        <charset val="1"/>
      </rPr>
      <t xml:space="preserve">.</t>
    </r>
  </si>
  <si>
    <t xml:space="preserve">차량 즉시 회수</t>
  </si>
  <si>
    <r>
      <rPr>
        <sz val="9.5"/>
        <color rgb="FF111111"/>
        <rFont val="DejaVu Sans"/>
        <family val="2"/>
      </rPr>
      <t xml:space="preserve">회수에 소요된 일체의 비용</t>
    </r>
    <r>
      <rPr>
        <sz val="9.5"/>
        <color rgb="FF111111"/>
        <rFont val="DejaVu Sans"/>
        <family val="2"/>
        <charset val="1"/>
      </rPr>
      <t xml:space="preserve">(</t>
    </r>
    <r>
      <rPr>
        <sz val="9.5"/>
        <color rgb="FF111111"/>
        <rFont val="DejaVu Sans"/>
        <family val="2"/>
      </rPr>
      <t xml:space="preserve">출장비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운송비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원상복구비 포함</t>
    </r>
    <r>
      <rPr>
        <sz val="9.5"/>
        <color rgb="FF111111"/>
        <rFont val="DejaVu Sans"/>
        <family val="2"/>
        <charset val="1"/>
      </rPr>
      <t xml:space="preserve">)</t>
    </r>
    <r>
      <rPr>
        <sz val="9.5"/>
        <color rgb="FF111111"/>
        <rFont val="DejaVu Sans"/>
        <family val="2"/>
      </rPr>
      <t xml:space="preserve">은 계약자가 부담한다</t>
    </r>
    <r>
      <rPr>
        <sz val="9.5"/>
        <color rgb="FF111111"/>
        <rFont val="DejaVu Sans"/>
        <family val="2"/>
        <charset val="1"/>
      </rPr>
      <t xml:space="preserve">.</t>
    </r>
  </si>
  <si>
    <t xml:space="preserve">보증금 전액 미반환</t>
  </si>
  <si>
    <r>
      <rPr>
        <sz val="9.5"/>
        <color rgb="FF111111"/>
        <rFont val="DejaVu Sans"/>
        <family val="2"/>
      </rPr>
      <t xml:space="preserve">어떠한 사유로도 보증금은 반환되지 아니한다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</si>
  <si>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위약금</t>
    </r>
    <r>
      <rPr>
        <b val="true"/>
        <sz val="10"/>
        <color rgb="FF991B1B"/>
        <rFont val="DejaVu Sans"/>
        <family val="2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손해배상금 청구</t>
    </r>
  </si>
  <si>
    <r>
      <rPr>
        <sz val="9.5"/>
        <color rgb="FF111111"/>
        <rFont val="DejaVu Sans"/>
        <family val="2"/>
      </rPr>
      <t xml:space="preserve">위약금 </t>
    </r>
    <r>
      <rPr>
        <sz val="9.5"/>
        <color rgb="FF111111"/>
        <rFont val="DejaVu Sans"/>
        <family val="2"/>
        <charset val="1"/>
      </rPr>
      <t xml:space="preserve">= </t>
    </r>
    <r>
      <rPr>
        <sz val="9.5"/>
        <color rgb="FF111111"/>
        <rFont val="DejaVu Sans"/>
        <family val="2"/>
      </rPr>
      <t xml:space="preserve">보증금 </t>
    </r>
    <r>
      <rPr>
        <sz val="9.5"/>
        <color rgb="FF111111"/>
        <rFont val="DejaVu Sans"/>
        <family val="2"/>
        <charset val="1"/>
      </rPr>
      <t xml:space="preserve">+ (</t>
    </r>
    <r>
      <rPr>
        <sz val="9.5"/>
        <color rgb="FF111111"/>
        <rFont val="DejaVu Sans"/>
        <family val="2"/>
      </rPr>
      <t xml:space="preserve">잔여기간 총 할부금 </t>
    </r>
    <r>
      <rPr>
        <sz val="9.5"/>
        <color rgb="FF111111"/>
        <rFont val="DejaVu Sans"/>
        <family val="2"/>
        <charset val="1"/>
      </rPr>
      <t xml:space="preserve">× 20%) </t>
    </r>
    <r>
      <rPr>
        <sz val="9.5"/>
        <color rgb="FF111111"/>
        <rFont val="DejaVu Sans"/>
        <family val="2"/>
      </rPr>
      <t xml:space="preserve">산식에 따라 부과하며</t>
    </r>
    <r>
      <rPr>
        <sz val="9.5"/>
        <color rgb="FF111111"/>
        <rFont val="DejaVu Sans"/>
        <family val="2"/>
        <charset val="1"/>
      </rPr>
      <t xml:space="preserve">, </t>
    </r>
    <r>
      <rPr>
        <sz val="9.5"/>
        <color rgb="FF111111"/>
        <rFont val="DejaVu Sans"/>
        <family val="2"/>
      </rPr>
      <t xml:space="preserve">손해배상금도 별도 청구한다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</si>
  <si>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연 </t>
    </r>
    <r>
      <rPr>
        <b val="true"/>
        <sz val="10"/>
        <color rgb="FF991B1B"/>
        <rFont val="DejaVu Sans"/>
        <family val="2"/>
        <charset val="1"/>
      </rPr>
      <t xml:space="preserve">15% </t>
    </r>
    <r>
      <rPr>
        <b val="true"/>
        <sz val="10"/>
        <color rgb="FF991B1B"/>
        <rFont val="DejaVu Sans"/>
        <family val="2"/>
      </rPr>
      <t xml:space="preserve">지연손해금</t>
    </r>
  </si>
  <si>
    <r>
      <rPr>
        <sz val="9.5"/>
        <color rgb="FF111111"/>
        <rFont val="DejaVu Sans"/>
        <family val="2"/>
      </rPr>
      <t xml:space="preserve">미변제 금액에 대하여 연 </t>
    </r>
    <r>
      <rPr>
        <sz val="9.5"/>
        <color rgb="FF111111"/>
        <rFont val="DejaVu Sans"/>
        <family val="2"/>
        <charset val="1"/>
      </rPr>
      <t xml:space="preserve">15%</t>
    </r>
    <r>
      <rPr>
        <sz val="9.5"/>
        <color rgb="FF111111"/>
        <rFont val="DejaVu Sans"/>
        <family val="2"/>
      </rPr>
      <t xml:space="preserve">의 지연손해금을 변제일까지 가산한다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</si>
  <si>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신용정보 등록</t>
    </r>
    <r>
      <rPr>
        <b val="true"/>
        <sz val="10"/>
        <color rgb="FF991B1B"/>
        <rFont val="DejaVu Sans"/>
        <family val="2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채권추심</t>
    </r>
  </si>
  <si>
    <r>
      <rPr>
        <sz val="9.5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</si>
  <si>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민</t>
    </r>
    <r>
      <rPr>
        <b val="true"/>
        <sz val="10"/>
        <color rgb="FF991B1B"/>
        <rFont val="DejaVu Sans"/>
        <family val="2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형사상 법적 조치</t>
    </r>
  </si>
  <si>
    <r>
      <rPr>
        <sz val="9.5"/>
        <color rgb="FF111111"/>
        <rFont val="DejaVu Sans"/>
        <family val="2"/>
      </rPr>
      <t xml:space="preserve">계약자에 대하여 민</t>
    </r>
    <r>
      <rPr>
        <sz val="9.5"/>
        <color rgb="FF111111"/>
        <rFont val="DejaVu Sans"/>
        <family val="2"/>
        <charset val="1"/>
      </rPr>
      <t xml:space="preserve">·</t>
    </r>
    <r>
      <rPr>
        <sz val="9.5"/>
        <color rgb="FF111111"/>
        <rFont val="DejaVu Sans"/>
        <family val="2"/>
      </rPr>
      <t xml:space="preserve">형사상 모든 법적 조치를 취할 수 있다</t>
    </r>
    <r>
      <rPr>
        <sz val="9.5"/>
        <color rgb="FF111111"/>
        <rFont val="DejaVu Sans"/>
        <family val="2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</si>
  <si>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위 특약 내용</t>
    </r>
    <r>
      <rPr>
        <sz val="10"/>
        <color rgb="FF111111"/>
        <rFont val="DejaVu Sans"/>
        <family val="2"/>
        <charset val="1"/>
      </rPr>
      <t xml:space="preserve">(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DejaVu Sans"/>
        <family val="2"/>
        <charset val="1"/>
      </rPr>
      <t xml:space="preserve">1</t>
    </r>
    <r>
      <rPr>
        <sz val="10"/>
        <color rgb="FF111111"/>
        <rFont val="DejaVu Sans"/>
        <family val="2"/>
      </rPr>
      <t xml:space="preserve">조 </t>
    </r>
    <r>
      <rPr>
        <sz val="10"/>
        <color rgb="FF111111"/>
        <rFont val="DejaVu Sans"/>
        <family val="2"/>
        <charset val="1"/>
      </rPr>
      <t xml:space="preserve">~ 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DejaVu Sans"/>
        <family val="2"/>
        <charset val="1"/>
      </rPr>
      <t xml:space="preserve">4</t>
    </r>
    <r>
      <rPr>
        <sz val="10"/>
        <color rgb="FF111111"/>
        <rFont val="DejaVu Sans"/>
        <family val="2"/>
      </rPr>
      <t xml:space="preserve">조</t>
    </r>
    <r>
      <rPr>
        <sz val="10"/>
        <color rgb="FF111111"/>
        <rFont val="DejaVu Sans"/>
        <family val="2"/>
        <charset val="1"/>
      </rPr>
      <t xml:space="preserve">) </t>
    </r>
    <r>
      <rPr>
        <sz val="10"/>
        <color rgb="FF111111"/>
        <rFont val="DejaVu Sans"/>
        <family val="2"/>
      </rPr>
      <t xml:space="preserve">전부를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본 특약에 동의함을 확인합니다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</si>
  <si>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1"/>
        <color rgb="FF111111"/>
        <rFont val="맑은 고딕"/>
        <family val="0"/>
        <charset val="1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</si>
</sst>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b val="true"/>
      <sz val="9"/>
      <color rgb="FFC00000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14"/>
      <color rgb="FFFFFFFF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theme="1"/>
      <name val="Calibri"/>
      <family val="2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rgb="FF2B2B2B"/>
      <name val="돋움"/>
      <family val="3"/>
      <charset val="129"/>
    </font>
    <font>
      <sz val="8"/>
      <color theme="1"/>
      <name val="돋움"/>
      <family val="3"/>
      <charset val="129"/>
    </font>
    <font>
      <sz val="8"/>
      <color rgb="FF2B2B2B"/>
      <name val="DejaVu Sans"/>
      <family val="1"/>
      <charset val="1"/>
    </font>
    <font>
      <sz val="8"/>
      <color theme="1"/>
      <name val="맑은 고딕"/>
      <family val="3"/>
      <charset val="129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DejaVu Sans"/>
      <family val="2"/>
      <charset val="1"/>
    </font>
    <font>
      <sz val="10"/>
      <color rgb="FF111111"/>
      <name val="맑은 고딕"/>
      <family val="0"/>
      <charset val="1"/>
    </font>
    <font>
      <b val="true"/>
      <sz val="11"/>
      <color rgb="FF0F172A"/>
      <name val="맑은 고딕"/>
      <family val="0"/>
      <charset val="1"/>
    </font>
    <font>
      <b val="true"/>
      <sz val="10"/>
      <color rgb="FF991B1B"/>
      <name val="DejaVu Sans"/>
      <family val="2"/>
    </font>
    <font>
      <sz val="9.5"/>
      <color rgb="FF111111"/>
      <name val="DejaVu Sans"/>
      <family val="2"/>
    </font>
    <font>
      <sz val="9.5"/>
      <color rgb="FF111111"/>
      <name val="DejaVu Sans"/>
      <family val="2"/>
      <charset val="1"/>
    </font>
    <font>
      <b val="true"/>
      <sz val="10"/>
      <color rgb="FF991B1B"/>
      <name val="맑은 고딕"/>
      <family val="0"/>
      <charset val="1"/>
    </font>
    <font>
      <b val="true"/>
      <sz val="10"/>
      <color rgb="FF991B1B"/>
      <name val="DejaVu Sans"/>
      <family val="2"/>
      <charset val="1"/>
    </font>
    <font>
      <b val="true"/>
      <sz val="11"/>
      <color rgb="FF111111"/>
      <name val="DejaVu Sans"/>
      <family val="2"/>
    </font>
    <font>
      <sz val="11"/>
      <color rgb="FF111111"/>
      <name val="맑은 고딕"/>
      <family val="0"/>
      <charset val="1"/>
    </font>
    <font>
      <b val="true"/>
      <sz val="11"/>
      <color rgb="FF111111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89"/>
        <bgColor rgb="FF2E5597"/>
      </patternFill>
    </fill>
    <fill>
      <patternFill patternType="solid">
        <fgColor rgb="FF2E5597"/>
        <bgColor rgb="FF1F4E89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FF4E3"/>
        <bgColor rgb="FFFFF2CC"/>
      </patternFill>
    </fill>
    <fill>
      <patternFill patternType="solid">
        <fgColor rgb="FFEAF0F8"/>
        <bgColor rgb="FFE8EEF7"/>
      </patternFill>
    </fill>
    <fill>
      <patternFill patternType="solid">
        <fgColor rgb="FFB22222"/>
        <bgColor rgb="FF991B1B"/>
      </patternFill>
    </fill>
    <fill>
      <patternFill patternType="solid">
        <fgColor rgb="FFFBE5E5"/>
        <bgColor rgb="FFFFF4E3"/>
      </patternFill>
    </fill>
    <fill>
      <patternFill patternType="solid">
        <fgColor rgb="FFF7F9FC"/>
        <bgColor rgb="FFF9FAFB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3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1F4E89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2E5597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AB16" activeCellId="0" sqref="AB1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</row>
    <row r="2" customFormat="false" ht="30.75" hidden="false" customHeight="true" outlineLevel="0" collapsed="false">
      <c r="A2" s="4" t="n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5" t="s">
        <v>29</v>
      </c>
      <c r="G2" s="5" t="s">
        <v>30</v>
      </c>
      <c r="H2" s="5" t="s">
        <v>31</v>
      </c>
      <c r="I2" s="4" t="n">
        <v>26400</v>
      </c>
      <c r="J2" s="4" t="n">
        <v>365</v>
      </c>
      <c r="K2" s="4" t="n">
        <v>300000</v>
      </c>
      <c r="L2" s="5" t="s">
        <v>32</v>
      </c>
      <c r="M2" s="4" t="s">
        <v>33</v>
      </c>
      <c r="N2" s="5" t="s">
        <v>34</v>
      </c>
      <c r="O2" s="5" t="s">
        <v>35</v>
      </c>
      <c r="P2" s="4" t="s">
        <v>36</v>
      </c>
      <c r="Q2" s="4" t="s">
        <v>37</v>
      </c>
      <c r="R2" s="4" t="s">
        <v>38</v>
      </c>
      <c r="S2" s="4" t="s">
        <v>36</v>
      </c>
      <c r="T2" s="5" t="s">
        <v>39</v>
      </c>
      <c r="U2" s="5" t="s">
        <v>40</v>
      </c>
      <c r="V2" s="5" t="s">
        <v>41</v>
      </c>
      <c r="W2" s="5" t="s">
        <v>42</v>
      </c>
      <c r="X2" s="5" t="s">
        <v>43</v>
      </c>
      <c r="Y2" s="5" t="s">
        <v>44</v>
      </c>
      <c r="Z2" s="5" t="s">
        <v>45</v>
      </c>
      <c r="AA2" s="5" t="s">
        <v>41</v>
      </c>
      <c r="AB2" s="5" t="s">
        <v>42</v>
      </c>
      <c r="AC2" s="5" t="s">
        <v>46</v>
      </c>
      <c r="AD2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2"/>
  <sheetViews>
    <sheetView showFormulas="false" showGridLines="true" showRowColHeaders="true" showZeros="true" rightToLeft="false" tabSelected="false" showOutlineSymbols="true" defaultGridColor="true" view="pageBreakPreview" topLeftCell="A17" colorId="64" zoomScale="100" zoomScaleNormal="100" zoomScalePageLayoutView="100" workbookViewId="0">
      <selection pane="topLeft" activeCell="F20" activeCellId="0" sqref="F2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10"/>
    <col collapsed="false" customWidth="true" hidden="false" outlineLevel="0" max="3" min="3" style="1" width="11.89"/>
    <col collapsed="false" customWidth="true" hidden="false" outlineLevel="0" max="4" min="4" style="1" width="17.44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20.56"/>
    <col collapsed="false" customWidth="true" hidden="false" outlineLevel="0" max="11" min="11" style="1" width="2.11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48</v>
      </c>
    </row>
    <row r="2" customFormat="false" ht="48" hidden="false" customHeight="true" outlineLevel="0" collapsed="false">
      <c r="A2" s="6"/>
      <c r="B2" s="8" t="s">
        <v>49</v>
      </c>
      <c r="C2" s="8"/>
      <c r="D2" s="8"/>
      <c r="E2" s="8"/>
      <c r="F2" s="8"/>
      <c r="G2" s="8"/>
      <c r="H2" s="8"/>
      <c r="I2" s="8"/>
      <c r="J2" s="8"/>
      <c r="K2" s="6"/>
      <c r="L2" s="9" t="n">
        <v>1</v>
      </c>
    </row>
    <row r="3" customFormat="false" ht="24" hidden="false" customHeight="true" outlineLevel="0" collapsed="false">
      <c r="A3" s="6"/>
      <c r="B3" s="10" t="s">
        <v>50</v>
      </c>
      <c r="C3" s="10"/>
      <c r="D3" s="10"/>
      <c r="E3" s="10"/>
      <c r="F3" s="11" t="s">
        <v>0</v>
      </c>
      <c r="G3" s="11"/>
      <c r="H3" s="11"/>
      <c r="I3" s="12" t="str">
        <f aca="false">IFERROR(TEXT($L$2,"0000"),"")</f>
        <v>0001</v>
      </c>
      <c r="J3" s="12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13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51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IFERROR(IF(VLOOKUP($L$2,[1]계약리스트!$a$2:$AD$10000,3,0)="","",VLOOKUP($L$2,[1]계약리스트!$a$2:$AD$10000,3,0)),"")</f>
        <v/>
      </c>
      <c r="D6" s="16"/>
      <c r="E6" s="15" t="s">
        <v>4</v>
      </c>
      <c r="F6" s="16" t="str">
        <f aca="false">IFERROR(IF(VLOOKUP($L$2,[1]계약리스트!$a$2:$AD$10000,5,0)="","",VLOOKUP($L$2,[1]계약리스트!$a$2:$AD$10000,5,0)),"")</f>
        <v/>
      </c>
      <c r="G6" s="16"/>
      <c r="H6" s="15" t="s">
        <v>5</v>
      </c>
      <c r="I6" s="16" t="str">
        <f aca="false">IFERROR(IF(VLOOKUP($L$2,[1]계약리스트!$a$2:$AD$10000,6,0)="","",VLOOKUP($L$2,[1]계약리스트!$a$2:$AD$10000,6,0)),"")</f>
        <v/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IFERROR(IF(VLOOKUP($L$2,[1]계약리스트!$a$2:$AD$10000,4,0)="","",VLOOKUP($L$2,[1]계약리스트!$a$2:$AD$10000,4,0)),"")</f>
        <v/>
      </c>
      <c r="D7" s="16"/>
      <c r="E7" s="15" t="s">
        <v>6</v>
      </c>
      <c r="F7" s="16" t="str">
        <f aca="false">IFERROR(IF(VLOOKUP($L$2,[1]계약리스트!$a$2:$AD$10000,7,0)="","",VLOOKUP($L$2,[1]계약리스트!$a$2:$AD$10000,7,0)),"")</f>
        <v/>
      </c>
      <c r="G7" s="16"/>
      <c r="H7" s="15" t="s">
        <v>1</v>
      </c>
      <c r="I7" s="16" t="str">
        <f aca="false">IFERROR(IF(VLOOKUP($L$2,[1]계약리스트!$a$2:$AD$10000,2,0)="","",VLOOKUP($L$2,[1]계약리스트!$a$2:$AD$10000,2,0)),"")</f>
        <v/>
      </c>
      <c r="J7" s="16"/>
      <c r="K7" s="6"/>
      <c r="L7" s="6"/>
    </row>
    <row r="8" customFormat="false" ht="7.5" hidden="false" customHeight="true" outlineLevel="0" collapsed="false">
      <c r="A8" s="6"/>
      <c r="B8" s="6"/>
      <c r="C8" s="6"/>
      <c r="D8" s="6"/>
      <c r="E8" s="17" t="s">
        <v>52</v>
      </c>
      <c r="F8" s="6"/>
      <c r="G8" s="6"/>
      <c r="H8" s="6"/>
      <c r="I8" s="6"/>
      <c r="J8" s="6"/>
      <c r="K8" s="6"/>
      <c r="L8" s="6"/>
    </row>
    <row r="9" customFormat="false" ht="25.5" hidden="false" customHeight="true" outlineLevel="0" collapsed="false">
      <c r="A9" s="6"/>
      <c r="B9" s="18" t="s">
        <v>53</v>
      </c>
      <c r="C9" s="18"/>
      <c r="D9" s="18"/>
      <c r="E9" s="18"/>
      <c r="F9" s="18"/>
      <c r="G9" s="18"/>
      <c r="H9" s="18"/>
      <c r="I9" s="18"/>
      <c r="J9" s="18"/>
      <c r="K9" s="6"/>
      <c r="L9" s="6"/>
    </row>
    <row r="10" customFormat="false" ht="21.75" hidden="false" customHeight="true" outlineLevel="0" collapsed="false">
      <c r="A10" s="6"/>
      <c r="B10" s="15" t="s">
        <v>54</v>
      </c>
      <c r="C10" s="16" t="str">
        <f aca="false">IFERROR(IF(VLOOKUP($L$2,[1]계약리스트!$a$2:$AD$10000,14,0)="","",VLOOKUP($L$2,[1]계약리스트!$a$2:$AD$10000,14,0)),"")</f>
        <v/>
      </c>
      <c r="D10" s="16"/>
      <c r="E10" s="15" t="s">
        <v>55</v>
      </c>
      <c r="F10" s="16" t="str">
        <f aca="false">IFERROR(IF(VLOOKUP($L$2,[1]계약리스트!$a$2:$AD$10000,18,0)="","",VLOOKUP($L$2,[1]계약리스트!$a$2:$AD$10000,18,0)),"")</f>
        <v/>
      </c>
      <c r="G10" s="16"/>
      <c r="H10" s="15" t="s">
        <v>56</v>
      </c>
      <c r="I10" s="16" t="str">
        <f aca="false">IFERROR(IF(VLOOKUP($L$2,[1]계약리스트!$a$2:$AD$10000,19,0)="","",VLOOKUP($L$2,[1]계약리스트!$a$2:$AD$10000,19,0)),"")</f>
        <v/>
      </c>
      <c r="J10" s="16"/>
      <c r="K10" s="6"/>
      <c r="L10" s="6"/>
    </row>
    <row r="11" customFormat="false" ht="21.75" hidden="false" customHeight="true" outlineLevel="0" collapsed="false">
      <c r="A11" s="6"/>
      <c r="B11" s="15" t="s">
        <v>56</v>
      </c>
      <c r="C11" s="16" t="str">
        <f aca="false">IFERROR(IF(VLOOKUP($L$2,[1]계약리스트!$a$2:$AD$10000,16,0)="","",VLOOKUP($L$2,[1]계약리스트!$a$2:$AD$10000,16,0)),"")</f>
        <v/>
      </c>
      <c r="D11" s="16"/>
      <c r="E11" s="15" t="s">
        <v>14</v>
      </c>
      <c r="F11" s="19" t="str">
        <f aca="false">IFERROR(IF(VLOOKUP($L$2,[1]계약리스트!$a$2:$AD$10000,15,0)="","",VLOOKUP($L$2,[1]계약리스트!$a$2:$AD$10000,15,0)),"")</f>
        <v/>
      </c>
      <c r="G11" s="19"/>
      <c r="H11" s="19"/>
      <c r="I11" s="19"/>
      <c r="J11" s="19"/>
      <c r="K11" s="6"/>
      <c r="L11" s="6"/>
    </row>
    <row r="12" customFormat="false" ht="19.5" hidden="false" customHeight="true" outlineLevel="0" collapsed="false">
      <c r="A12" s="6"/>
      <c r="B12" s="20" t="s">
        <v>57</v>
      </c>
      <c r="C12" s="20"/>
      <c r="D12" s="20"/>
      <c r="E12" s="20"/>
      <c r="F12" s="20"/>
      <c r="G12" s="20"/>
      <c r="H12" s="20"/>
      <c r="I12" s="20"/>
      <c r="J12" s="20"/>
      <c r="K12" s="6"/>
      <c r="L12" s="6"/>
    </row>
    <row r="13" customFormat="false" ht="7.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25.5" hidden="false" customHeight="true" outlineLevel="0" collapsed="false">
      <c r="A14" s="6"/>
      <c r="B14" s="14" t="s">
        <v>58</v>
      </c>
      <c r="C14" s="14"/>
      <c r="D14" s="14"/>
      <c r="E14" s="14"/>
      <c r="F14" s="14"/>
      <c r="G14" s="14"/>
      <c r="H14" s="14"/>
      <c r="I14" s="14"/>
      <c r="J14" s="14"/>
      <c r="K14" s="6"/>
      <c r="L14" s="6"/>
    </row>
    <row r="15" customFormat="false" ht="21.75" hidden="false" customHeight="true" outlineLevel="0" collapsed="false">
      <c r="A15" s="6"/>
      <c r="B15" s="15" t="s">
        <v>59</v>
      </c>
      <c r="C15" s="16" t="str">
        <f aca="false">IFERROR(IF(VLOOKUP($L$2,[1]계약리스트!$a$2:$AD$10000,12,0)="","",VLOOKUP($L$2,[1]계약리스트!$a$2:$AD$10000,12,0)),"")</f>
        <v/>
      </c>
      <c r="D15" s="16"/>
      <c r="E15" s="15" t="s">
        <v>12</v>
      </c>
      <c r="F15" s="16" t="str">
        <f aca="false">IFERROR(IF(VLOOKUP($L$2,[1]계약리스트!$a$2:$AD$10000,13,0)="","",VLOOKUP($L$2,[1]계약리스트!$a$2:$AD$10000,13,0)),"")</f>
        <v/>
      </c>
      <c r="G15" s="16"/>
      <c r="H15" s="15" t="s">
        <v>13</v>
      </c>
      <c r="I15" s="16" t="str">
        <f aca="false">IFERROR(IF(VLOOKUP($L$2,[1]계약리스트!$a$2:$AD$10000,14,0)="","",VLOOKUP($L$2,[1]계약리스트!$a$2:$AD$10000,14,0)),"")</f>
        <v/>
      </c>
      <c r="J15" s="16"/>
      <c r="K15" s="6"/>
      <c r="L15" s="6"/>
    </row>
    <row r="16" customFormat="false" ht="21.75" hidden="false" customHeight="true" outlineLevel="0" collapsed="false">
      <c r="A16" s="6"/>
      <c r="B16" s="15" t="s">
        <v>60</v>
      </c>
      <c r="C16" s="19" t="str">
        <f aca="false">IFERROR(IF(VLOOKUP($L$2,[1]계약리스트!$a$2:$AD$10000,20,0)="","",VLOOKUP($L$2,[1]계약리스트!$a$2:$AD$10000,20,0)),"")</f>
        <v/>
      </c>
      <c r="D16" s="19"/>
      <c r="E16" s="19"/>
      <c r="F16" s="19"/>
      <c r="G16" s="19"/>
      <c r="H16" s="19"/>
      <c r="I16" s="19"/>
      <c r="J16" s="19"/>
      <c r="K16" s="6"/>
      <c r="L16" s="6"/>
    </row>
    <row r="17" customFormat="false" ht="21.75" hidden="false" customHeight="true" outlineLevel="0" collapsed="false">
      <c r="A17" s="6"/>
      <c r="B17" s="20" t="s">
        <v>61</v>
      </c>
      <c r="C17" s="20"/>
      <c r="D17" s="20"/>
      <c r="E17" s="20"/>
      <c r="F17" s="20"/>
      <c r="G17" s="20"/>
      <c r="H17" s="20"/>
      <c r="I17" s="20"/>
      <c r="J17" s="20"/>
      <c r="K17" s="6"/>
      <c r="L17" s="6"/>
    </row>
    <row r="18" customFormat="false" ht="7.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25.5" hidden="false" customHeight="true" outlineLevel="0" collapsed="false">
      <c r="A19" s="6"/>
      <c r="B19" s="21" t="s">
        <v>62</v>
      </c>
      <c r="C19" s="21"/>
      <c r="D19" s="21"/>
      <c r="E19" s="21"/>
      <c r="F19" s="21"/>
      <c r="G19" s="21"/>
      <c r="H19" s="21"/>
      <c r="I19" s="21"/>
      <c r="J19" s="21"/>
      <c r="K19" s="6"/>
      <c r="L19" s="6"/>
    </row>
    <row r="20" customFormat="false" ht="21.75" hidden="false" customHeight="true" outlineLevel="0" collapsed="false">
      <c r="A20" s="6"/>
      <c r="B20" s="22" t="s">
        <v>20</v>
      </c>
      <c r="C20" s="16" t="str">
        <f aca="false">IFERROR(IF(VLOOKUP($L$2,계약리스트!$A$2:$AD$10000,21,0)="","",VLOOKUP($L$2,계약리스트!$A$2:$AD$10000,21,0)),"")</f>
        <v>할부판매</v>
      </c>
      <c r="D20" s="16"/>
      <c r="E20" s="22" t="s">
        <v>21</v>
      </c>
      <c r="F20" s="16" t="str">
        <f aca="false">IFERROR(IF(VLOOKUP($L$2,계약리스트!$A$2:$AD$10000,27,0)="","",VLOOKUP($L$2,계약리스트!$A$2:$AD$10000,27,0)),"")</f>
        <v>인수형</v>
      </c>
      <c r="G20" s="16"/>
      <c r="H20" s="22" t="s">
        <v>63</v>
      </c>
      <c r="I20" s="16" t="str">
        <f aca="false">IFERROR(VLOOKUP($L$2,계약리스트!$A$2:$AD$10000,10,0)&amp;"일","")</f>
        <v>365일</v>
      </c>
      <c r="J20" s="16"/>
      <c r="K20" s="6"/>
      <c r="L20" s="6"/>
    </row>
    <row r="21" customFormat="false" ht="21.75" hidden="false" customHeight="true" outlineLevel="0" collapsed="false">
      <c r="A21" s="6"/>
      <c r="B21" s="22" t="s">
        <v>64</v>
      </c>
      <c r="C21" s="16" t="str">
        <f aca="false">IFERROR(TEXT(VLOOKUP($L$2,계약리스트!$A$2:$AD$10000,9,0),"#,##0")&amp;" 원","")</f>
        <v>26,400 원</v>
      </c>
      <c r="D21" s="16"/>
      <c r="E21" s="22" t="s">
        <v>10</v>
      </c>
      <c r="F21" s="16" t="str">
        <f aca="false">IFERROR(TEXT(VLOOKUP($L$2,계약리스트!$A$2:$AD$10000,11,0),"#,##0")&amp;" 원","")</f>
        <v>300,000 원</v>
      </c>
      <c r="G21" s="16"/>
      <c r="H21" s="22" t="s">
        <v>24</v>
      </c>
      <c r="I21" s="16" t="str">
        <f aca="false">IFERROR(IF(VLOOKUP($L$2,계약리스트!$A$2:$AD$10000,30,0)="","",VLOOKUP($L$2,계약리스트!$A$2:$AD$10000,30,0)),"")</f>
        <v>월2회(15일, 말일)</v>
      </c>
      <c r="J21" s="16"/>
      <c r="K21" s="6"/>
      <c r="L21" s="6"/>
    </row>
    <row r="22" customFormat="false" ht="21.75" hidden="false" customHeight="true" outlineLevel="0" collapsed="false">
      <c r="A22" s="6"/>
      <c r="B22" s="22" t="s">
        <v>22</v>
      </c>
      <c r="C22" s="23" t="s">
        <v>42</v>
      </c>
      <c r="D22" s="23"/>
      <c r="E22" s="22" t="s">
        <v>65</v>
      </c>
      <c r="F22" s="23" t="s">
        <v>66</v>
      </c>
      <c r="G22" s="23"/>
      <c r="H22" s="23"/>
      <c r="I22" s="23"/>
      <c r="J22" s="23"/>
      <c r="K22" s="6"/>
      <c r="L22" s="6"/>
    </row>
    <row r="23" customFormat="false" ht="21.75" hidden="false" customHeight="true" outlineLevel="0" collapsed="false">
      <c r="A23" s="6"/>
      <c r="B23" s="22" t="s">
        <v>23</v>
      </c>
      <c r="C23" s="19" t="str">
        <f aca="false">IFERROR(IF(VLOOKUP($L$2,[1]계약리스트!$a$2:$AD$10000,24,0)="","",VLOOKUP($L$2,[1]계약리스트!$a$2:$AD$10000,24,0)),"")</f>
        <v/>
      </c>
      <c r="D23" s="19"/>
      <c r="E23" s="19"/>
      <c r="F23" s="19"/>
      <c r="G23" s="19"/>
      <c r="H23" s="19"/>
      <c r="I23" s="19"/>
      <c r="J23" s="19"/>
      <c r="K23" s="6"/>
      <c r="L23" s="6"/>
    </row>
    <row r="24" customFormat="false" ht="7.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25.5" hidden="false" customHeight="true" outlineLevel="0" collapsed="false">
      <c r="A25" s="6"/>
      <c r="B25" s="21" t="s">
        <v>67</v>
      </c>
      <c r="C25" s="21"/>
      <c r="D25" s="21"/>
      <c r="E25" s="21"/>
      <c r="F25" s="21"/>
      <c r="G25" s="21"/>
      <c r="H25" s="21"/>
      <c r="I25" s="21"/>
      <c r="J25" s="21"/>
      <c r="K25" s="6"/>
      <c r="L25" s="6"/>
    </row>
    <row r="26" customFormat="false" ht="21.75" hidden="false" customHeight="true" outlineLevel="0" collapsed="false">
      <c r="A26" s="6"/>
      <c r="B26" s="22" t="s">
        <v>68</v>
      </c>
      <c r="C26" s="23" t="s">
        <v>50</v>
      </c>
      <c r="D26" s="23"/>
      <c r="E26" s="22" t="s">
        <v>12</v>
      </c>
      <c r="F26" s="16" t="s">
        <v>69</v>
      </c>
      <c r="G26" s="16"/>
      <c r="H26" s="22" t="s">
        <v>70</v>
      </c>
      <c r="I26" s="23" t="s">
        <v>71</v>
      </c>
      <c r="J26" s="23"/>
      <c r="K26" s="6"/>
      <c r="L26" s="6"/>
    </row>
    <row r="27" customFormat="false" ht="21.75" hidden="false" customHeight="true" outlineLevel="0" collapsed="false">
      <c r="A27" s="6"/>
      <c r="B27" s="22" t="s">
        <v>60</v>
      </c>
      <c r="C27" s="23" t="s">
        <v>72</v>
      </c>
      <c r="D27" s="23"/>
      <c r="E27" s="23"/>
      <c r="F27" s="23"/>
      <c r="G27" s="22" t="s">
        <v>73</v>
      </c>
      <c r="H27" s="16" t="s">
        <v>74</v>
      </c>
      <c r="I27" s="16"/>
      <c r="J27" s="16"/>
      <c r="K27" s="6"/>
      <c r="L27" s="6"/>
    </row>
    <row r="28" customFormat="false" ht="7.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25.5" hidden="false" customHeight="true" outlineLevel="0" collapsed="false">
      <c r="A29" s="6"/>
      <c r="B29" s="24" t="s">
        <v>75</v>
      </c>
      <c r="C29" s="24"/>
      <c r="D29" s="24"/>
      <c r="E29" s="24"/>
      <c r="F29" s="24"/>
      <c r="G29" s="24"/>
      <c r="H29" s="24"/>
      <c r="I29" s="24"/>
      <c r="J29" s="24"/>
      <c r="K29" s="6"/>
      <c r="L29" s="6"/>
    </row>
    <row r="30" customFormat="false" ht="31.5" hidden="false" customHeight="true" outlineLevel="0" collapsed="false">
      <c r="A30" s="6"/>
      <c r="B30" s="25" t="s">
        <v>76</v>
      </c>
      <c r="C30" s="25"/>
      <c r="D30" s="26" t="s">
        <v>77</v>
      </c>
      <c r="E30" s="26"/>
      <c r="F30" s="26"/>
      <c r="G30" s="26"/>
      <c r="H30" s="26"/>
      <c r="I30" s="26"/>
      <c r="J30" s="26"/>
      <c r="K30" s="6"/>
      <c r="L30" s="6"/>
    </row>
    <row r="31" customFormat="false" ht="31.5" hidden="false" customHeight="true" outlineLevel="0" collapsed="false">
      <c r="A31" s="6"/>
      <c r="B31" s="25" t="s">
        <v>78</v>
      </c>
      <c r="C31" s="25"/>
      <c r="D31" s="26" t="s">
        <v>79</v>
      </c>
      <c r="E31" s="26"/>
      <c r="F31" s="26"/>
      <c r="G31" s="26"/>
      <c r="H31" s="26"/>
      <c r="I31" s="26"/>
      <c r="J31" s="26"/>
      <c r="K31" s="6"/>
      <c r="L31" s="6"/>
    </row>
    <row r="32" customFormat="false" ht="31.5" hidden="false" customHeight="true" outlineLevel="0" collapsed="false">
      <c r="A32" s="6"/>
      <c r="B32" s="25" t="s">
        <v>80</v>
      </c>
      <c r="C32" s="25"/>
      <c r="D32" s="26" t="s">
        <v>81</v>
      </c>
      <c r="E32" s="26"/>
      <c r="F32" s="26"/>
      <c r="G32" s="26"/>
      <c r="H32" s="26"/>
      <c r="I32" s="26"/>
      <c r="J32" s="26"/>
      <c r="K32" s="6"/>
      <c r="L32" s="6"/>
    </row>
    <row r="33" customFormat="false" ht="31.5" hidden="false" customHeight="true" outlineLevel="0" collapsed="false">
      <c r="A33" s="6"/>
      <c r="B33" s="27" t="s">
        <v>82</v>
      </c>
      <c r="C33" s="27"/>
      <c r="D33" s="26" t="s">
        <v>83</v>
      </c>
      <c r="E33" s="26"/>
      <c r="F33" s="26"/>
      <c r="G33" s="26"/>
      <c r="H33" s="26"/>
      <c r="I33" s="26"/>
      <c r="J33" s="26"/>
      <c r="K33" s="6"/>
      <c r="L33" s="6"/>
    </row>
    <row r="34" customFormat="false" ht="31.5" hidden="false" customHeight="true" outlineLevel="0" collapsed="false">
      <c r="A34" s="6"/>
      <c r="B34" s="25" t="s">
        <v>84</v>
      </c>
      <c r="C34" s="25"/>
      <c r="D34" s="26" t="s">
        <v>85</v>
      </c>
      <c r="E34" s="26"/>
      <c r="F34" s="26"/>
      <c r="G34" s="26"/>
      <c r="H34" s="26"/>
      <c r="I34" s="26"/>
      <c r="J34" s="26"/>
      <c r="K34" s="6"/>
      <c r="L34" s="6"/>
    </row>
    <row r="35" customFormat="false" ht="27.75" hidden="false" customHeight="true" outlineLevel="0" collapsed="false">
      <c r="A35" s="6"/>
      <c r="B35" s="28" t="s">
        <v>86</v>
      </c>
      <c r="C35" s="28"/>
      <c r="D35" s="28"/>
      <c r="E35" s="28"/>
      <c r="F35" s="28"/>
      <c r="G35" s="28"/>
      <c r="H35" s="28"/>
      <c r="I35" s="28"/>
      <c r="J35" s="28"/>
      <c r="K35" s="6"/>
      <c r="L35" s="6"/>
    </row>
    <row r="36" customFormat="false" ht="27.75" hidden="false" customHeight="true" outlineLevel="0" collapsed="false">
      <c r="A36" s="6"/>
      <c r="B36" s="29" t="s">
        <v>87</v>
      </c>
      <c r="C36" s="29"/>
      <c r="D36" s="29"/>
      <c r="E36" s="29"/>
      <c r="F36" s="29"/>
      <c r="G36" s="29"/>
      <c r="H36" s="29"/>
      <c r="I36" s="29"/>
      <c r="J36" s="29"/>
      <c r="K36" s="6"/>
      <c r="L36" s="6"/>
    </row>
    <row r="37" customFormat="false" ht="27.75" hidden="false" customHeight="true" outlineLevel="0" collapsed="false">
      <c r="A37" s="6"/>
      <c r="B37" s="28" t="s">
        <v>88</v>
      </c>
      <c r="C37" s="28"/>
      <c r="D37" s="28"/>
      <c r="E37" s="28"/>
      <c r="F37" s="28"/>
      <c r="G37" s="28"/>
      <c r="H37" s="28"/>
      <c r="I37" s="28"/>
      <c r="J37" s="28"/>
      <c r="K37" s="6"/>
      <c r="L37" s="6"/>
    </row>
    <row r="38" customFormat="false" ht="27.75" hidden="false" customHeight="true" outlineLevel="0" collapsed="false">
      <c r="A38" s="6"/>
      <c r="B38" s="29" t="s">
        <v>89</v>
      </c>
      <c r="C38" s="29"/>
      <c r="D38" s="29"/>
      <c r="E38" s="29"/>
      <c r="F38" s="29"/>
      <c r="G38" s="29"/>
      <c r="H38" s="29"/>
      <c r="I38" s="29"/>
      <c r="J38" s="29"/>
      <c r="K38" s="6"/>
      <c r="L38" s="6"/>
    </row>
    <row r="39" customFormat="false" ht="7.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25.5" hidden="false" customHeight="true" outlineLevel="0" collapsed="false">
      <c r="A40" s="6"/>
      <c r="B40" s="30" t="s">
        <v>90</v>
      </c>
      <c r="C40" s="30"/>
      <c r="D40" s="30"/>
      <c r="E40" s="30"/>
      <c r="F40" s="30"/>
      <c r="G40" s="30"/>
      <c r="H40" s="30"/>
      <c r="I40" s="30"/>
      <c r="J40" s="30"/>
      <c r="K40" s="6"/>
      <c r="L40" s="6"/>
    </row>
    <row r="41" customFormat="false" ht="27.75" hidden="false" customHeight="true" outlineLevel="0" collapsed="false">
      <c r="A41" s="6"/>
      <c r="B41" s="22" t="s">
        <v>91</v>
      </c>
      <c r="C41" s="22"/>
      <c r="D41" s="31" t="s">
        <v>92</v>
      </c>
      <c r="E41" s="31"/>
      <c r="F41" s="31"/>
      <c r="G41" s="31"/>
      <c r="H41" s="31"/>
      <c r="I41" s="31"/>
      <c r="J41" s="31"/>
      <c r="K41" s="6"/>
      <c r="L41" s="6"/>
    </row>
    <row r="42" customFormat="false" ht="27.75" hidden="false" customHeight="true" outlineLevel="0" collapsed="false">
      <c r="A42" s="6"/>
      <c r="B42" s="22" t="s">
        <v>93</v>
      </c>
      <c r="C42" s="22"/>
      <c r="D42" s="31" t="s">
        <v>94</v>
      </c>
      <c r="E42" s="31"/>
      <c r="F42" s="31"/>
      <c r="G42" s="31"/>
      <c r="H42" s="31"/>
      <c r="I42" s="31"/>
      <c r="J42" s="31"/>
      <c r="K42" s="6"/>
      <c r="L42" s="6"/>
    </row>
    <row r="43" customFormat="false" ht="27.75" hidden="false" customHeight="true" outlineLevel="0" collapsed="false">
      <c r="A43" s="6"/>
      <c r="B43" s="22" t="s">
        <v>95</v>
      </c>
      <c r="C43" s="22"/>
      <c r="D43" s="31" t="s">
        <v>96</v>
      </c>
      <c r="E43" s="31"/>
      <c r="F43" s="31"/>
      <c r="G43" s="31"/>
      <c r="H43" s="31"/>
      <c r="I43" s="31"/>
      <c r="J43" s="31"/>
      <c r="K43" s="6"/>
      <c r="L43" s="6"/>
    </row>
    <row r="44" customFormat="false" ht="27.75" hidden="false" customHeight="true" outlineLevel="0" collapsed="false">
      <c r="A44" s="6"/>
      <c r="B44" s="22" t="s">
        <v>97</v>
      </c>
      <c r="C44" s="22"/>
      <c r="D44" s="31" t="s">
        <v>98</v>
      </c>
      <c r="E44" s="31"/>
      <c r="F44" s="31"/>
      <c r="G44" s="31"/>
      <c r="H44" s="31"/>
      <c r="I44" s="31"/>
      <c r="J44" s="31"/>
      <c r="K44" s="6"/>
      <c r="L44" s="6"/>
    </row>
    <row r="45" customFormat="false" ht="27.75" hidden="false" customHeight="true" outlineLevel="0" collapsed="false">
      <c r="A45" s="6"/>
      <c r="B45" s="22" t="s">
        <v>99</v>
      </c>
      <c r="C45" s="22"/>
      <c r="D45" s="31" t="s">
        <v>100</v>
      </c>
      <c r="E45" s="31"/>
      <c r="F45" s="31"/>
      <c r="G45" s="31"/>
      <c r="H45" s="31"/>
      <c r="I45" s="31"/>
      <c r="J45" s="31"/>
      <c r="K45" s="6"/>
      <c r="L45" s="6"/>
    </row>
    <row r="46" customFormat="false" ht="27.75" hidden="false" customHeight="true" outlineLevel="0" collapsed="false">
      <c r="A46" s="6"/>
      <c r="B46" s="22" t="s">
        <v>101</v>
      </c>
      <c r="C46" s="22"/>
      <c r="D46" s="31" t="s">
        <v>102</v>
      </c>
      <c r="E46" s="31"/>
      <c r="F46" s="31"/>
      <c r="G46" s="31"/>
      <c r="H46" s="31"/>
      <c r="I46" s="31"/>
      <c r="J46" s="31"/>
      <c r="K46" s="6"/>
      <c r="L46" s="6"/>
    </row>
    <row r="47" customFormat="false" ht="25.5" hidden="false" customHeight="true" outlineLevel="0" collapsed="false">
      <c r="A47" s="6"/>
      <c r="B47" s="32" t="s">
        <v>103</v>
      </c>
      <c r="C47" s="32"/>
      <c r="D47" s="32"/>
      <c r="E47" s="32"/>
      <c r="F47" s="32"/>
      <c r="G47" s="32"/>
      <c r="H47" s="32"/>
      <c r="I47" s="32"/>
      <c r="J47" s="32"/>
      <c r="K47" s="6"/>
      <c r="L47" s="6"/>
    </row>
    <row r="48" customFormat="false" ht="12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25.5" hidden="false" customHeight="true" outlineLevel="0" collapsed="false">
      <c r="A49" s="6"/>
      <c r="B49" s="21" t="s">
        <v>104</v>
      </c>
      <c r="C49" s="21"/>
      <c r="D49" s="21"/>
      <c r="E49" s="21"/>
      <c r="F49" s="21"/>
      <c r="G49" s="21"/>
      <c r="H49" s="21"/>
      <c r="I49" s="21"/>
      <c r="J49" s="21"/>
      <c r="K49" s="6"/>
      <c r="L49" s="6"/>
    </row>
    <row r="50" customFormat="false" ht="31.5" hidden="false" customHeight="true" outlineLevel="0" collapsed="false">
      <c r="A50" s="6"/>
      <c r="B50" s="33" t="s">
        <v>105</v>
      </c>
      <c r="C50" s="33"/>
      <c r="D50" s="33"/>
      <c r="E50" s="33"/>
      <c r="F50" s="33"/>
      <c r="G50" s="33"/>
      <c r="H50" s="33"/>
      <c r="I50" s="33"/>
      <c r="J50" s="33"/>
      <c r="K50" s="6"/>
      <c r="L50" s="6"/>
    </row>
    <row r="51" customFormat="false" ht="48" hidden="false" customHeight="true" outlineLevel="0" collapsed="false">
      <c r="A51" s="6"/>
      <c r="B51" s="22" t="s">
        <v>106</v>
      </c>
      <c r="C51" s="33" t="str">
        <f aca="false">IFERROR(IF(VLOOKUP($L$2,계약리스트!$A$2:$AD$10000,14,0)="","",VLOOKUP($L$2,계약리스트!$A$2:$AD$10000,14,0)),"")</f>
        <v>안종식</v>
      </c>
      <c r="D51" s="33"/>
      <c r="E51" s="33"/>
      <c r="F51" s="34" t="s">
        <v>107</v>
      </c>
      <c r="G51" s="22" t="s">
        <v>108</v>
      </c>
      <c r="H51" s="33" t="str">
        <f aca="false">IFERROR(IF(VLOOKUP($L$2,계약리스트!$A$2:$AD$10000,12,0)="","",VLOOKUP($L$2,계약리스트!$A$2:$AD$10000,12,0)),"")</f>
        <v>중앙 오토바이 가수점</v>
      </c>
      <c r="I51" s="33"/>
      <c r="J51" s="34" t="s">
        <v>107</v>
      </c>
      <c r="K51" s="6"/>
      <c r="L51" s="6"/>
    </row>
    <row r="52" customFormat="false" ht="24" hidden="false" customHeight="true" outlineLevel="0" collapsed="false">
      <c r="A52" s="6"/>
      <c r="B52" s="15" t="s">
        <v>109</v>
      </c>
      <c r="C52" s="35" t="s">
        <v>50</v>
      </c>
      <c r="D52" s="35"/>
      <c r="E52" s="35"/>
      <c r="F52" s="35"/>
      <c r="G52" s="35"/>
      <c r="H52" s="35"/>
      <c r="I52" s="35"/>
      <c r="J52" s="34" t="s">
        <v>107</v>
      </c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</sheetData>
  <mergeCells count="74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D11"/>
    <mergeCell ref="F11:J11"/>
    <mergeCell ref="B12:J12"/>
    <mergeCell ref="B14:J14"/>
    <mergeCell ref="C15:D15"/>
    <mergeCell ref="F15:G15"/>
    <mergeCell ref="I15:J15"/>
    <mergeCell ref="C16:J16"/>
    <mergeCell ref="B17:J17"/>
    <mergeCell ref="B19:J19"/>
    <mergeCell ref="C20:D20"/>
    <mergeCell ref="F20:G20"/>
    <mergeCell ref="I20:J20"/>
    <mergeCell ref="C21:D21"/>
    <mergeCell ref="F21:G21"/>
    <mergeCell ref="I21:J21"/>
    <mergeCell ref="C22:D22"/>
    <mergeCell ref="F22:J22"/>
    <mergeCell ref="C23:J23"/>
    <mergeCell ref="B25:J25"/>
    <mergeCell ref="C26:D26"/>
    <mergeCell ref="F26:G26"/>
    <mergeCell ref="I26:J26"/>
    <mergeCell ref="C27:F27"/>
    <mergeCell ref="H27:J27"/>
    <mergeCell ref="B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J35"/>
    <mergeCell ref="B36:J36"/>
    <mergeCell ref="B37:J37"/>
    <mergeCell ref="B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I5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72"/>
  <sheetViews>
    <sheetView showFormulas="false" showGridLines="false" showRowColHeaders="true" showZeros="true" rightToLeft="false" tabSelected="true" showOutlineSymbols="true" defaultGridColor="true" view="pageBreakPreview" topLeftCell="A110" colorId="64" zoomScale="115" zoomScaleNormal="115" zoomScalePageLayoutView="115" workbookViewId="0">
      <selection pane="topLeft" activeCell="D127" activeCellId="0" sqref="D127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6.67"/>
    <col collapsed="false" customWidth="true" hidden="false" outlineLevel="0" max="3" min="3" style="1" width="1.56"/>
    <col collapsed="false" customWidth="true" hidden="false" outlineLevel="0" max="5" min="4" style="1" width="65.67"/>
    <col collapsed="false" customWidth="true" hidden="false" outlineLevel="0" max="6" min="6" style="1" width="2"/>
  </cols>
  <sheetData>
    <row r="1" customFormat="false" ht="27.75" hidden="false" customHeight="true" outlineLevel="0" collapsed="false">
      <c r="B1" s="36" t="s">
        <v>110</v>
      </c>
      <c r="C1" s="36"/>
      <c r="D1" s="36"/>
      <c r="E1" s="37"/>
    </row>
    <row r="2" customFormat="false" ht="6" hidden="false" customHeight="true" outlineLevel="0" collapsed="false"/>
    <row r="3" customFormat="false" ht="13.5" hidden="false" customHeight="true" outlineLevel="0" collapsed="false">
      <c r="B3" s="38" t="s">
        <v>111</v>
      </c>
      <c r="D3" s="39" t="s">
        <v>112</v>
      </c>
      <c r="E3" s="38"/>
    </row>
    <row r="4" customFormat="false" ht="13.5" hidden="false" customHeight="true" outlineLevel="0" collapsed="false">
      <c r="B4" s="39" t="s">
        <v>113</v>
      </c>
      <c r="D4" s="39" t="s">
        <v>114</v>
      </c>
      <c r="E4" s="39"/>
    </row>
    <row r="5" customFormat="false" ht="13.5" hidden="false" customHeight="true" outlineLevel="0" collapsed="false">
      <c r="B5" s="39" t="s">
        <v>115</v>
      </c>
      <c r="D5" s="39" t="s">
        <v>116</v>
      </c>
      <c r="E5" s="39"/>
    </row>
    <row r="6" customFormat="false" ht="12.75" hidden="false" customHeight="true" outlineLevel="0" collapsed="false">
      <c r="D6" s="39" t="s">
        <v>117</v>
      </c>
      <c r="E6" s="39"/>
    </row>
    <row r="7" customFormat="false" ht="13.5" hidden="false" customHeight="true" outlineLevel="0" collapsed="false">
      <c r="B7" s="38" t="s">
        <v>118</v>
      </c>
      <c r="D7" s="39" t="s">
        <v>119</v>
      </c>
      <c r="E7" s="39"/>
    </row>
    <row r="8" customFormat="false" ht="13.5" hidden="false" customHeight="true" outlineLevel="0" collapsed="false">
      <c r="B8" s="40" t="s">
        <v>120</v>
      </c>
      <c r="D8" s="39" t="s">
        <v>121</v>
      </c>
      <c r="E8" s="39"/>
    </row>
    <row r="9" customFormat="false" ht="13.5" hidden="false" customHeight="true" outlineLevel="0" collapsed="false">
      <c r="B9" s="39" t="s">
        <v>122</v>
      </c>
      <c r="D9" s="39" t="s">
        <v>123</v>
      </c>
      <c r="E9" s="39"/>
    </row>
    <row r="10" customFormat="false" ht="13.5" hidden="false" customHeight="true" outlineLevel="0" collapsed="false">
      <c r="B10" s="40" t="s">
        <v>124</v>
      </c>
      <c r="D10" s="39" t="s">
        <v>125</v>
      </c>
      <c r="E10" s="39"/>
    </row>
    <row r="11" customFormat="false" ht="13.5" hidden="false" customHeight="true" outlineLevel="0" collapsed="false">
      <c r="B11" s="39" t="s">
        <v>126</v>
      </c>
      <c r="D11" s="39" t="s">
        <v>127</v>
      </c>
      <c r="E11" s="39"/>
    </row>
    <row r="12" customFormat="false" ht="13.5" hidden="false" customHeight="true" outlineLevel="0" collapsed="false">
      <c r="B12" s="40" t="s">
        <v>128</v>
      </c>
      <c r="D12" s="39" t="s">
        <v>129</v>
      </c>
      <c r="E12" s="39"/>
    </row>
    <row r="13" customFormat="false" ht="13.5" hidden="false" customHeight="true" outlineLevel="0" collapsed="false">
      <c r="D13" s="39" t="s">
        <v>130</v>
      </c>
    </row>
    <row r="14" customFormat="false" ht="13.5" hidden="false" customHeight="true" outlineLevel="0" collapsed="false">
      <c r="D14" s="39" t="s">
        <v>131</v>
      </c>
    </row>
    <row r="15" customFormat="false" ht="13.5" hidden="false" customHeight="true" outlineLevel="0" collapsed="false">
      <c r="D15" s="39" t="s">
        <v>132</v>
      </c>
    </row>
    <row r="16" customFormat="false" ht="13.5" hidden="false" customHeight="true" outlineLevel="0" collapsed="false">
      <c r="D16" s="39" t="s">
        <v>133</v>
      </c>
    </row>
    <row r="17" customFormat="false" ht="13.5" hidden="false" customHeight="true" outlineLevel="0" collapsed="false">
      <c r="D17" s="39" t="s">
        <v>134</v>
      </c>
    </row>
    <row r="18" customFormat="false" ht="13.5" hidden="false" customHeight="true" outlineLevel="0" collapsed="false">
      <c r="B18" s="40" t="s">
        <v>135</v>
      </c>
      <c r="D18" s="39" t="s">
        <v>136</v>
      </c>
      <c r="E18" s="38"/>
    </row>
    <row r="19" customFormat="false" ht="13.5" hidden="false" customHeight="true" outlineLevel="0" collapsed="false">
      <c r="B19" s="39" t="s">
        <v>137</v>
      </c>
      <c r="D19" s="38" t="s">
        <v>138</v>
      </c>
      <c r="E19" s="39"/>
    </row>
    <row r="20" customFormat="false" ht="13.5" hidden="false" customHeight="true" outlineLevel="0" collapsed="false">
      <c r="B20" s="40" t="s">
        <v>139</v>
      </c>
      <c r="D20" s="39" t="s">
        <v>140</v>
      </c>
      <c r="E20" s="39"/>
    </row>
    <row r="21" customFormat="false" ht="13.5" hidden="false" customHeight="true" outlineLevel="0" collapsed="false">
      <c r="B21" s="39" t="s">
        <v>141</v>
      </c>
      <c r="D21" s="39" t="s">
        <v>142</v>
      </c>
      <c r="E21" s="39"/>
    </row>
    <row r="22" customFormat="false" ht="13.5" hidden="false" customHeight="true" outlineLevel="0" collapsed="false">
      <c r="B22" s="39"/>
      <c r="D22" s="39" t="s">
        <v>143</v>
      </c>
      <c r="E22" s="39"/>
    </row>
    <row r="23" customFormat="false" ht="13.5" hidden="false" customHeight="true" outlineLevel="0" collapsed="false">
      <c r="B23" s="39"/>
      <c r="D23" s="39" t="s">
        <v>144</v>
      </c>
      <c r="E23" s="39"/>
    </row>
    <row r="24" customFormat="false" ht="13.5" hidden="false" customHeight="true" outlineLevel="0" collapsed="false">
      <c r="B24" s="39"/>
      <c r="D24" s="39" t="s">
        <v>145</v>
      </c>
      <c r="E24" s="39"/>
    </row>
    <row r="25" customFormat="false" ht="13.5" hidden="false" customHeight="true" outlineLevel="0" collapsed="false">
      <c r="B25" s="41" t="s">
        <v>146</v>
      </c>
      <c r="D25" s="39" t="s">
        <v>147</v>
      </c>
      <c r="E25" s="39"/>
    </row>
    <row r="26" customFormat="false" ht="13.5" hidden="false" customHeight="true" outlineLevel="0" collapsed="false">
      <c r="B26" s="39" t="s">
        <v>148</v>
      </c>
      <c r="D26" s="39" t="s">
        <v>149</v>
      </c>
      <c r="E26" s="39"/>
    </row>
    <row r="27" customFormat="false" ht="13.5" hidden="false" customHeight="true" outlineLevel="0" collapsed="false">
      <c r="B27" s="41" t="s">
        <v>150</v>
      </c>
      <c r="D27" s="39" t="s">
        <v>151</v>
      </c>
      <c r="E27" s="39"/>
    </row>
    <row r="28" customFormat="false" ht="13.5" hidden="false" customHeight="true" outlineLevel="0" collapsed="false">
      <c r="B28" s="39" t="s">
        <v>152</v>
      </c>
      <c r="D28" s="42"/>
      <c r="E28" s="39"/>
    </row>
    <row r="29" customFormat="false" ht="13.5" hidden="false" customHeight="true" outlineLevel="0" collapsed="false">
      <c r="B29" s="41" t="s">
        <v>153</v>
      </c>
      <c r="D29" s="43"/>
      <c r="E29" s="38"/>
    </row>
    <row r="30" customFormat="false" ht="13.5" hidden="false" customHeight="true" outlineLevel="0" collapsed="false">
      <c r="B30" s="41" t="s">
        <v>154</v>
      </c>
      <c r="D30" s="39"/>
      <c r="E30" s="39"/>
    </row>
    <row r="31" customFormat="false" ht="13.5" hidden="false" customHeight="true" outlineLevel="0" collapsed="false">
      <c r="B31" s="39" t="s">
        <v>155</v>
      </c>
      <c r="D31" s="39"/>
      <c r="E31" s="39"/>
    </row>
    <row r="32" customFormat="false" ht="13.5" hidden="false" customHeight="true" outlineLevel="0" collapsed="false">
      <c r="B32" s="41" t="s">
        <v>156</v>
      </c>
      <c r="D32" s="39"/>
    </row>
    <row r="33" customFormat="false" ht="13.5" hidden="false" customHeight="true" outlineLevel="0" collapsed="false">
      <c r="B33" s="41" t="s">
        <v>157</v>
      </c>
      <c r="D33" s="39"/>
    </row>
    <row r="34" customFormat="false" ht="13.5" hidden="false" customHeight="true" outlineLevel="0" collapsed="false">
      <c r="D34" s="39"/>
      <c r="E34" s="39"/>
    </row>
    <row r="35" customFormat="false" ht="13.5" hidden="false" customHeight="true" outlineLevel="0" collapsed="false">
      <c r="B35" s="38" t="s">
        <v>158</v>
      </c>
      <c r="D35" s="39"/>
      <c r="E35" s="39"/>
    </row>
    <row r="36" customFormat="false" ht="13.5" hidden="false" customHeight="true" outlineLevel="0" collapsed="false">
      <c r="B36" s="39" t="s">
        <v>159</v>
      </c>
      <c r="D36" s="39"/>
      <c r="E36" s="39"/>
    </row>
    <row r="37" customFormat="false" ht="13.5" hidden="false" customHeight="true" outlineLevel="0" collapsed="false">
      <c r="B37" s="44" t="s">
        <v>160</v>
      </c>
      <c r="D37" s="39"/>
      <c r="E37" s="39"/>
    </row>
    <row r="38" customFormat="false" ht="13.5" hidden="false" customHeight="true" outlineLevel="0" collapsed="false">
      <c r="B38" s="39" t="s">
        <v>161</v>
      </c>
      <c r="D38" s="39"/>
      <c r="E38" s="39"/>
    </row>
    <row r="39" customFormat="false" ht="13.5" hidden="false" customHeight="true" outlineLevel="0" collapsed="false">
      <c r="B39" s="39" t="s">
        <v>162</v>
      </c>
      <c r="D39" s="39"/>
      <c r="E39" s="38"/>
    </row>
    <row r="40" customFormat="false" ht="13.5" hidden="false" customHeight="true" outlineLevel="0" collapsed="false">
      <c r="B40" s="39"/>
      <c r="D40" s="39"/>
      <c r="E40" s="39"/>
    </row>
    <row r="41" customFormat="false" ht="13.5" hidden="false" customHeight="true" outlineLevel="0" collapsed="false">
      <c r="B41" s="38" t="s">
        <v>163</v>
      </c>
      <c r="D41" s="39"/>
      <c r="E41" s="45"/>
    </row>
    <row r="42" customFormat="false" ht="13.5" hidden="false" customHeight="true" outlineLevel="0" collapsed="false">
      <c r="B42" s="39" t="s">
        <v>164</v>
      </c>
      <c r="D42" s="39"/>
      <c r="E42" s="45"/>
    </row>
    <row r="43" customFormat="false" ht="13.5" hidden="false" customHeight="true" outlineLevel="0" collapsed="false">
      <c r="B43" s="39" t="s">
        <v>165</v>
      </c>
      <c r="D43" s="38" t="s">
        <v>166</v>
      </c>
      <c r="E43" s="39"/>
    </row>
    <row r="44" customFormat="false" ht="13.5" hidden="false" customHeight="true" outlineLevel="0" collapsed="false">
      <c r="B44" s="44" t="s">
        <v>167</v>
      </c>
      <c r="D44" s="44" t="s">
        <v>168</v>
      </c>
      <c r="E44" s="45"/>
    </row>
    <row r="45" customFormat="false" ht="13.5" hidden="false" customHeight="true" outlineLevel="0" collapsed="false">
      <c r="B45" s="39" t="s">
        <v>169</v>
      </c>
      <c r="D45" s="39" t="s">
        <v>170</v>
      </c>
      <c r="E45" s="39"/>
    </row>
    <row r="46" customFormat="false" ht="13.5" hidden="false" customHeight="true" outlineLevel="0" collapsed="false">
      <c r="B46" s="39" t="s">
        <v>171</v>
      </c>
      <c r="D46" s="39" t="s">
        <v>172</v>
      </c>
      <c r="E46" s="39"/>
    </row>
    <row r="47" customFormat="false" ht="13.5" hidden="false" customHeight="true" outlineLevel="0" collapsed="false">
      <c r="B47" s="39" t="s">
        <v>173</v>
      </c>
      <c r="D47" s="44" t="s">
        <v>174</v>
      </c>
      <c r="E47" s="45"/>
    </row>
    <row r="48" customFormat="false" ht="13.5" hidden="false" customHeight="true" outlineLevel="0" collapsed="false">
      <c r="B48" s="39"/>
      <c r="D48" s="44" t="s">
        <v>175</v>
      </c>
      <c r="E48" s="39"/>
    </row>
    <row r="49" customFormat="false" ht="13.5" hidden="false" customHeight="true" outlineLevel="0" collapsed="false">
      <c r="B49" s="38" t="s">
        <v>176</v>
      </c>
      <c r="D49" s="39" t="s">
        <v>177</v>
      </c>
      <c r="E49" s="45"/>
    </row>
    <row r="50" customFormat="false" ht="13.5" hidden="false" customHeight="true" outlineLevel="0" collapsed="false">
      <c r="B50" s="44" t="s">
        <v>178</v>
      </c>
      <c r="D50" s="39" t="s">
        <v>179</v>
      </c>
      <c r="E50" s="45"/>
    </row>
    <row r="51" customFormat="false" ht="13.5" hidden="false" customHeight="true" outlineLevel="0" collapsed="false">
      <c r="B51" s="44" t="s">
        <v>180</v>
      </c>
      <c r="D51" s="39" t="s">
        <v>181</v>
      </c>
      <c r="E51" s="38"/>
    </row>
    <row r="52" customFormat="false" ht="13.5" hidden="false" customHeight="true" outlineLevel="0" collapsed="false">
      <c r="B52" s="39" t="s">
        <v>182</v>
      </c>
      <c r="D52" s="39" t="s">
        <v>183</v>
      </c>
      <c r="E52" s="38"/>
    </row>
    <row r="53" customFormat="false" ht="13.5" hidden="false" customHeight="true" outlineLevel="0" collapsed="false">
      <c r="B53" s="39" t="s">
        <v>184</v>
      </c>
      <c r="D53" s="44" t="s">
        <v>185</v>
      </c>
      <c r="E53" s="39"/>
    </row>
    <row r="54" customFormat="false" ht="13.5" hidden="false" customHeight="true" outlineLevel="0" collapsed="false">
      <c r="B54" s="44" t="s">
        <v>186</v>
      </c>
      <c r="D54" s="44" t="s">
        <v>187</v>
      </c>
      <c r="E54" s="39"/>
    </row>
    <row r="55" customFormat="false" ht="13.5" hidden="false" customHeight="true" outlineLevel="0" collapsed="false">
      <c r="B55" s="44" t="s">
        <v>188</v>
      </c>
      <c r="D55" s="46"/>
      <c r="E55" s="39"/>
    </row>
    <row r="56" customFormat="false" ht="13.5" hidden="false" customHeight="true" outlineLevel="0" collapsed="false">
      <c r="B56" s="44" t="s">
        <v>189</v>
      </c>
      <c r="D56" s="38" t="s">
        <v>190</v>
      </c>
      <c r="E56" s="45"/>
    </row>
    <row r="57" customFormat="false" ht="13.5" hidden="false" customHeight="true" outlineLevel="0" collapsed="false">
      <c r="B57" s="39" t="s">
        <v>191</v>
      </c>
      <c r="D57" s="39" t="s">
        <v>192</v>
      </c>
      <c r="E57" s="47"/>
    </row>
    <row r="58" customFormat="false" ht="13.5" hidden="false" customHeight="true" outlineLevel="0" collapsed="false">
      <c r="B58" s="44" t="s">
        <v>193</v>
      </c>
      <c r="D58" s="39" t="s">
        <v>194</v>
      </c>
      <c r="E58" s="48"/>
    </row>
    <row r="59" customFormat="false" ht="13.5" hidden="false" customHeight="true" outlineLevel="0" collapsed="false">
      <c r="B59" s="39" t="s">
        <v>195</v>
      </c>
      <c r="D59" s="39" t="s">
        <v>196</v>
      </c>
      <c r="E59" s="48"/>
    </row>
    <row r="60" customFormat="false" ht="13.5" hidden="false" customHeight="true" outlineLevel="0" collapsed="false">
      <c r="B60" s="44" t="s">
        <v>197</v>
      </c>
      <c r="D60" s="39" t="s">
        <v>198</v>
      </c>
      <c r="E60" s="39"/>
    </row>
    <row r="61" customFormat="false" ht="13.5" hidden="false" customHeight="true" outlineLevel="0" collapsed="false">
      <c r="B61" s="44" t="s">
        <v>199</v>
      </c>
      <c r="D61" s="39" t="s">
        <v>200</v>
      </c>
      <c r="E61" s="45"/>
    </row>
    <row r="62" customFormat="false" ht="13.5" hidden="false" customHeight="true" outlineLevel="0" collapsed="false">
      <c r="B62" s="39" t="s">
        <v>201</v>
      </c>
      <c r="D62" s="39" t="s">
        <v>202</v>
      </c>
      <c r="E62" s="39"/>
    </row>
    <row r="63" customFormat="false" ht="13.5" hidden="false" customHeight="true" outlineLevel="0" collapsed="false">
      <c r="B63" s="44" t="s">
        <v>203</v>
      </c>
      <c r="D63" s="39" t="s">
        <v>204</v>
      </c>
      <c r="E63" s="38"/>
    </row>
    <row r="64" customFormat="false" ht="13.5" hidden="false" customHeight="true" outlineLevel="0" collapsed="false">
      <c r="B64" s="39" t="s">
        <v>205</v>
      </c>
      <c r="D64" s="39"/>
      <c r="E64" s="39"/>
    </row>
    <row r="65" customFormat="false" ht="13.5" hidden="false" customHeight="true" outlineLevel="0" collapsed="false">
      <c r="B65" s="44" t="s">
        <v>206</v>
      </c>
      <c r="D65" s="38" t="s">
        <v>207</v>
      </c>
      <c r="E65" s="39"/>
    </row>
    <row r="66" customFormat="false" ht="13.5" hidden="false" customHeight="true" outlineLevel="0" collapsed="false">
      <c r="B66" s="39" t="s">
        <v>208</v>
      </c>
      <c r="D66" s="39" t="s">
        <v>209</v>
      </c>
      <c r="E66" s="45"/>
    </row>
    <row r="67" customFormat="false" ht="13.5" hidden="false" customHeight="true" outlineLevel="0" collapsed="false">
      <c r="B67" s="44" t="s">
        <v>210</v>
      </c>
      <c r="D67" s="39" t="s">
        <v>211</v>
      </c>
      <c r="E67" s="39"/>
    </row>
    <row r="68" customFormat="false" ht="13.5" hidden="false" customHeight="true" outlineLevel="0" collapsed="false">
      <c r="B68" s="44"/>
      <c r="D68" s="39" t="s">
        <v>212</v>
      </c>
      <c r="E68" s="45"/>
    </row>
    <row r="69" customFormat="false" ht="13.5" hidden="false" customHeight="true" outlineLevel="0" collapsed="false">
      <c r="B69" s="38" t="s">
        <v>213</v>
      </c>
      <c r="D69" s="39" t="s">
        <v>214</v>
      </c>
      <c r="E69" s="39"/>
    </row>
    <row r="70" customFormat="false" ht="13.5" hidden="false" customHeight="true" outlineLevel="0" collapsed="false">
      <c r="B70" s="39" t="s">
        <v>215</v>
      </c>
      <c r="D70" s="39" t="s">
        <v>216</v>
      </c>
      <c r="E70" s="38"/>
    </row>
    <row r="71" customFormat="false" ht="13.5" hidden="false" customHeight="true" outlineLevel="0" collapsed="false">
      <c r="B71" s="39" t="s">
        <v>217</v>
      </c>
      <c r="D71" s="39" t="s">
        <v>218</v>
      </c>
      <c r="E71" s="39"/>
    </row>
    <row r="72" customFormat="false" ht="13.5" hidden="false" customHeight="true" outlineLevel="0" collapsed="false">
      <c r="B72" s="39" t="s">
        <v>219</v>
      </c>
      <c r="D72" s="39" t="s">
        <v>220</v>
      </c>
      <c r="E72" s="45"/>
    </row>
    <row r="73" customFormat="false" ht="13.5" hidden="false" customHeight="true" outlineLevel="0" collapsed="false">
      <c r="B73" s="44" t="s">
        <v>221</v>
      </c>
      <c r="D73" s="39" t="s">
        <v>222</v>
      </c>
      <c r="E73" s="39"/>
    </row>
    <row r="74" customFormat="false" ht="13.5" hidden="false" customHeight="true" outlineLevel="0" collapsed="false">
      <c r="B74" s="49" t="s">
        <v>223</v>
      </c>
      <c r="E74" s="39"/>
    </row>
    <row r="75" customFormat="false" ht="13.5" hidden="false" customHeight="true" outlineLevel="0" collapsed="false">
      <c r="B75" s="39" t="s">
        <v>224</v>
      </c>
      <c r="D75" s="38" t="s">
        <v>225</v>
      </c>
      <c r="E75" s="39"/>
    </row>
    <row r="76" customFormat="false" ht="13.5" hidden="false" customHeight="true" outlineLevel="0" collapsed="false">
      <c r="B76" s="44" t="s">
        <v>226</v>
      </c>
      <c r="D76" s="39" t="s">
        <v>227</v>
      </c>
      <c r="E76" s="38"/>
    </row>
    <row r="77" customFormat="false" ht="13.5" hidden="false" customHeight="true" outlineLevel="0" collapsed="false">
      <c r="B77" s="39" t="s">
        <v>228</v>
      </c>
      <c r="D77" s="39" t="s">
        <v>229</v>
      </c>
      <c r="E77" s="39"/>
    </row>
    <row r="78" customFormat="false" ht="13.5" hidden="false" customHeight="true" outlineLevel="0" collapsed="false">
      <c r="B78" s="44" t="s">
        <v>230</v>
      </c>
      <c r="D78" s="39" t="s">
        <v>231</v>
      </c>
      <c r="E78" s="45"/>
    </row>
    <row r="79" customFormat="false" ht="13.5" hidden="false" customHeight="true" outlineLevel="0" collapsed="false">
      <c r="B79" s="39" t="s">
        <v>232</v>
      </c>
      <c r="D79" s="39" t="s">
        <v>233</v>
      </c>
      <c r="E79" s="39"/>
    </row>
    <row r="80" customFormat="false" ht="13.5" hidden="false" customHeight="true" outlineLevel="0" collapsed="false">
      <c r="B80" s="44" t="s">
        <v>234</v>
      </c>
      <c r="D80" s="39" t="s">
        <v>235</v>
      </c>
      <c r="E80" s="39"/>
    </row>
    <row r="81" customFormat="false" ht="13.5" hidden="false" customHeight="true" outlineLevel="0" collapsed="false">
      <c r="B81" s="39" t="s">
        <v>236</v>
      </c>
      <c r="D81" s="39" t="s">
        <v>237</v>
      </c>
      <c r="E81" s="39"/>
    </row>
    <row r="82" customFormat="false" ht="13.5" hidden="false" customHeight="true" outlineLevel="0" collapsed="false">
      <c r="B82" s="39"/>
      <c r="D82" s="39" t="s">
        <v>238</v>
      </c>
      <c r="E82" s="39"/>
    </row>
    <row r="83" customFormat="false" ht="13.5" hidden="false" customHeight="true" outlineLevel="0" collapsed="false">
      <c r="B83" s="38" t="s">
        <v>239</v>
      </c>
      <c r="D83" s="39" t="s">
        <v>240</v>
      </c>
      <c r="E83" s="38"/>
    </row>
    <row r="84" customFormat="false" ht="13.5" hidden="false" customHeight="true" outlineLevel="0" collapsed="false">
      <c r="B84" s="39" t="s">
        <v>241</v>
      </c>
      <c r="D84" s="39" t="s">
        <v>242</v>
      </c>
      <c r="E84" s="39"/>
    </row>
    <row r="85" customFormat="false" ht="13.5" hidden="false" customHeight="true" outlineLevel="0" collapsed="false">
      <c r="B85" s="39" t="s">
        <v>243</v>
      </c>
      <c r="D85" s="39" t="s">
        <v>244</v>
      </c>
      <c r="E85" s="45"/>
    </row>
    <row r="86" customFormat="false" ht="13.5" hidden="false" customHeight="true" outlineLevel="0" collapsed="false">
      <c r="B86" s="38" t="s">
        <v>245</v>
      </c>
      <c r="D86" s="38" t="s">
        <v>246</v>
      </c>
      <c r="E86" s="39"/>
    </row>
    <row r="87" customFormat="false" ht="13.5" hidden="false" customHeight="true" outlineLevel="0" collapsed="false">
      <c r="B87" s="39" t="s">
        <v>247</v>
      </c>
      <c r="D87" s="39" t="s">
        <v>248</v>
      </c>
      <c r="E87" s="39"/>
    </row>
    <row r="88" customFormat="false" ht="13.5" hidden="false" customHeight="true" outlineLevel="0" collapsed="false">
      <c r="B88" s="39" t="s">
        <v>249</v>
      </c>
      <c r="D88" s="39" t="s">
        <v>250</v>
      </c>
      <c r="E88" s="39"/>
    </row>
    <row r="89" customFormat="false" ht="13.5" hidden="false" customHeight="true" outlineLevel="0" collapsed="false">
      <c r="B89" s="40" t="s">
        <v>251</v>
      </c>
      <c r="D89" s="39" t="s">
        <v>252</v>
      </c>
      <c r="E89" s="45"/>
    </row>
    <row r="90" customFormat="false" ht="13.5" hidden="false" customHeight="true" outlineLevel="0" collapsed="false">
      <c r="B90" s="39" t="s">
        <v>253</v>
      </c>
      <c r="D90" s="39" t="s">
        <v>254</v>
      </c>
      <c r="E90" s="45"/>
    </row>
    <row r="91" customFormat="false" ht="13.5" hidden="false" customHeight="true" outlineLevel="0" collapsed="false">
      <c r="B91" s="39" t="s">
        <v>255</v>
      </c>
      <c r="D91" s="39" t="s">
        <v>256</v>
      </c>
      <c r="E91" s="39"/>
    </row>
    <row r="92" customFormat="false" ht="13.5" hidden="false" customHeight="true" outlineLevel="0" collapsed="false">
      <c r="B92" s="40" t="s">
        <v>257</v>
      </c>
      <c r="D92" s="39" t="s">
        <v>258</v>
      </c>
      <c r="E92" s="45"/>
    </row>
    <row r="93" customFormat="false" ht="13.5" hidden="false" customHeight="true" outlineLevel="0" collapsed="false">
      <c r="B93" s="39"/>
      <c r="D93" s="39" t="s">
        <v>259</v>
      </c>
      <c r="E93" s="45"/>
    </row>
    <row r="94" customFormat="false" ht="13.5" hidden="false" customHeight="true" outlineLevel="0" collapsed="false">
      <c r="B94" s="38" t="s">
        <v>260</v>
      </c>
      <c r="D94" s="39" t="s">
        <v>261</v>
      </c>
      <c r="E94" s="39"/>
    </row>
    <row r="95" customFormat="false" ht="13.5" hidden="false" customHeight="true" outlineLevel="0" collapsed="false">
      <c r="B95" s="39" t="s">
        <v>262</v>
      </c>
      <c r="D95" s="39" t="s">
        <v>263</v>
      </c>
      <c r="E95" s="45"/>
    </row>
    <row r="96" customFormat="false" ht="13.5" hidden="false" customHeight="true" outlineLevel="0" collapsed="false">
      <c r="B96" s="39" t="s">
        <v>264</v>
      </c>
      <c r="D96" s="39" t="s">
        <v>265</v>
      </c>
      <c r="E96" s="45"/>
    </row>
    <row r="97" customFormat="false" ht="13.5" hidden="false" customHeight="true" outlineLevel="0" collapsed="false">
      <c r="B97" s="39" t="s">
        <v>266</v>
      </c>
      <c r="D97" s="39" t="s">
        <v>267</v>
      </c>
      <c r="E97" s="39"/>
    </row>
    <row r="98" customFormat="false" ht="13.5" hidden="false" customHeight="true" outlineLevel="0" collapsed="false">
      <c r="B98" s="39" t="s">
        <v>268</v>
      </c>
      <c r="D98" s="39" t="s">
        <v>269</v>
      </c>
      <c r="E98" s="45"/>
    </row>
    <row r="99" customFormat="false" ht="13.5" hidden="false" customHeight="true" outlineLevel="0" collapsed="false">
      <c r="B99" s="39" t="s">
        <v>270</v>
      </c>
      <c r="D99" s="39" t="s">
        <v>271</v>
      </c>
      <c r="E99" s="39"/>
    </row>
    <row r="100" customFormat="false" ht="13.5" hidden="false" customHeight="true" outlineLevel="0" collapsed="false">
      <c r="B100" s="39" t="s">
        <v>272</v>
      </c>
      <c r="D100" s="39" t="s">
        <v>273</v>
      </c>
      <c r="E100" s="39"/>
    </row>
    <row r="101" customFormat="false" ht="13.5" hidden="false" customHeight="true" outlineLevel="0" collapsed="false">
      <c r="B101" s="39" t="s">
        <v>274</v>
      </c>
      <c r="D101" s="39" t="s">
        <v>275</v>
      </c>
      <c r="E101" s="38"/>
    </row>
    <row r="102" customFormat="false" ht="13.5" hidden="false" customHeight="true" outlineLevel="0" collapsed="false">
      <c r="B102" s="39" t="s">
        <v>276</v>
      </c>
      <c r="D102" s="39" t="s">
        <v>277</v>
      </c>
      <c r="E102" s="39"/>
    </row>
    <row r="103" customFormat="false" ht="13.5" hidden="false" customHeight="true" outlineLevel="0" collapsed="false">
      <c r="B103" s="39" t="s">
        <v>278</v>
      </c>
      <c r="D103" s="39"/>
      <c r="E103" s="39"/>
    </row>
    <row r="104" customFormat="false" ht="13.5" hidden="false" customHeight="true" outlineLevel="0" collapsed="false">
      <c r="B104" s="39" t="s">
        <v>279</v>
      </c>
      <c r="D104" s="38" t="s">
        <v>280</v>
      </c>
      <c r="E104" s="45"/>
    </row>
    <row r="105" customFormat="false" ht="13.5" hidden="false" customHeight="true" outlineLevel="0" collapsed="false">
      <c r="B105" s="39" t="s">
        <v>281</v>
      </c>
      <c r="D105" s="39" t="s">
        <v>282</v>
      </c>
      <c r="E105" s="39"/>
    </row>
    <row r="106" customFormat="false" ht="13.5" hidden="false" customHeight="true" outlineLevel="0" collapsed="false">
      <c r="B106" s="39" t="s">
        <v>283</v>
      </c>
      <c r="D106" s="39" t="s">
        <v>284</v>
      </c>
      <c r="E106" s="39"/>
    </row>
    <row r="107" customFormat="false" ht="13.5" hidden="false" customHeight="true" outlineLevel="0" collapsed="false">
      <c r="B107" s="39" t="s">
        <v>285</v>
      </c>
      <c r="D107" s="39" t="s">
        <v>286</v>
      </c>
      <c r="E107" s="39"/>
    </row>
    <row r="108" customFormat="false" ht="13.5" hidden="false" customHeight="true" outlineLevel="0" collapsed="false">
      <c r="B108" s="39" t="s">
        <v>287</v>
      </c>
      <c r="D108" s="39" t="s">
        <v>288</v>
      </c>
      <c r="E108" s="38"/>
    </row>
    <row r="109" customFormat="false" ht="13.5" hidden="false" customHeight="true" outlineLevel="0" collapsed="false">
      <c r="B109" s="39" t="s">
        <v>289</v>
      </c>
      <c r="D109" s="39" t="s">
        <v>290</v>
      </c>
      <c r="E109" s="39"/>
    </row>
    <row r="110" customFormat="false" ht="13.5" hidden="false" customHeight="true" outlineLevel="0" collapsed="false">
      <c r="D110" s="39"/>
      <c r="E110" s="39"/>
    </row>
    <row r="111" customFormat="false" ht="13.5" hidden="false" customHeight="true" outlineLevel="0" collapsed="false">
      <c r="B111" s="38" t="s">
        <v>291</v>
      </c>
      <c r="D111" s="38" t="s">
        <v>292</v>
      </c>
      <c r="E111" s="39"/>
    </row>
    <row r="112" customFormat="false" ht="13.5" hidden="false" customHeight="true" outlineLevel="0" collapsed="false">
      <c r="B112" s="39" t="s">
        <v>293</v>
      </c>
      <c r="D112" s="39" t="s">
        <v>294</v>
      </c>
      <c r="E112" s="39"/>
    </row>
    <row r="113" customFormat="false" ht="13.5" hidden="false" customHeight="true" outlineLevel="0" collapsed="false">
      <c r="B113" s="39" t="s">
        <v>295</v>
      </c>
      <c r="D113" s="39" t="s">
        <v>296</v>
      </c>
      <c r="E113" s="39"/>
    </row>
    <row r="114" customFormat="false" ht="13.5" hidden="false" customHeight="true" outlineLevel="0" collapsed="false">
      <c r="B114" s="39" t="s">
        <v>297</v>
      </c>
      <c r="D114" s="39" t="s">
        <v>298</v>
      </c>
      <c r="E114" s="38"/>
    </row>
    <row r="115" customFormat="false" ht="13.5" hidden="false" customHeight="true" outlineLevel="0" collapsed="false">
      <c r="B115" s="39" t="s">
        <v>299</v>
      </c>
      <c r="D115" s="39" t="s">
        <v>300</v>
      </c>
      <c r="E115" s="39"/>
    </row>
    <row r="116" customFormat="false" ht="13.5" hidden="false" customHeight="true" outlineLevel="0" collapsed="false">
      <c r="B116" s="39" t="s">
        <v>301</v>
      </c>
      <c r="D116" s="39" t="s">
        <v>302</v>
      </c>
      <c r="E116" s="45"/>
    </row>
    <row r="117" customFormat="false" ht="13.5" hidden="false" customHeight="true" outlineLevel="0" collapsed="false">
      <c r="B117" s="39" t="s">
        <v>303</v>
      </c>
      <c r="D117" s="39"/>
      <c r="E117" s="45"/>
    </row>
    <row r="118" customFormat="false" ht="13.5" hidden="false" customHeight="true" outlineLevel="0" collapsed="false">
      <c r="B118" s="39" t="s">
        <v>304</v>
      </c>
      <c r="D118" s="38" t="s">
        <v>305</v>
      </c>
      <c r="E118" s="39"/>
    </row>
    <row r="119" customFormat="false" ht="13.5" hidden="false" customHeight="true" outlineLevel="0" collapsed="false">
      <c r="B119" s="39" t="s">
        <v>306</v>
      </c>
      <c r="D119" s="39" t="s">
        <v>307</v>
      </c>
      <c r="E119" s="39"/>
    </row>
    <row r="120" customFormat="false" ht="13.5" hidden="false" customHeight="true" outlineLevel="0" collapsed="false">
      <c r="D120" s="39"/>
      <c r="E120" s="39"/>
    </row>
    <row r="121" customFormat="false" ht="13.5" hidden="false" customHeight="true" outlineLevel="0" collapsed="false">
      <c r="B121" s="38" t="s">
        <v>308</v>
      </c>
      <c r="D121" s="39"/>
      <c r="E121" s="38"/>
    </row>
    <row r="122" customFormat="false" ht="13.5" hidden="false" customHeight="true" outlineLevel="0" collapsed="false">
      <c r="B122" s="44" t="s">
        <v>309</v>
      </c>
      <c r="D122" s="39" t="s">
        <v>310</v>
      </c>
      <c r="E122" s="39"/>
    </row>
    <row r="123" customFormat="false" ht="13.5" hidden="false" customHeight="true" outlineLevel="0" collapsed="false">
      <c r="B123" s="39" t="s">
        <v>311</v>
      </c>
      <c r="D123" s="39" t="s">
        <v>312</v>
      </c>
      <c r="E123" s="38"/>
    </row>
    <row r="124" customFormat="false" ht="13.5" hidden="false" customHeight="true" outlineLevel="0" collapsed="false">
      <c r="B124" s="41" t="s">
        <v>313</v>
      </c>
      <c r="D124" s="39" t="s">
        <v>314</v>
      </c>
      <c r="E124" s="39"/>
    </row>
    <row r="125" customFormat="false" ht="13.5" hidden="false" customHeight="true" outlineLevel="0" collapsed="false">
      <c r="B125" s="44" t="s">
        <v>315</v>
      </c>
      <c r="D125" s="39"/>
      <c r="E125" s="45"/>
    </row>
    <row r="126" customFormat="false" ht="13.5" hidden="false" customHeight="true" outlineLevel="0" collapsed="false">
      <c r="B126" s="44" t="s">
        <v>316</v>
      </c>
      <c r="D126" s="38" t="s">
        <v>317</v>
      </c>
      <c r="E126" s="38"/>
    </row>
    <row r="127" customFormat="false" ht="13.5" hidden="false" customHeight="true" outlineLevel="0" collapsed="false">
      <c r="B127" s="49" t="s">
        <v>318</v>
      </c>
      <c r="D127" s="39" t="s">
        <v>319</v>
      </c>
      <c r="E127" s="39"/>
    </row>
    <row r="128" customFormat="false" ht="13.5" hidden="false" customHeight="true" outlineLevel="0" collapsed="false">
      <c r="B128" s="44" t="s">
        <v>320</v>
      </c>
      <c r="E128" s="39"/>
    </row>
    <row r="129" customFormat="false" ht="13.5" hidden="false" customHeight="true" outlineLevel="0" collapsed="false">
      <c r="D129" s="38" t="s">
        <v>321</v>
      </c>
      <c r="E129" s="39"/>
    </row>
    <row r="130" customFormat="false" ht="13.5" hidden="false" customHeight="true" outlineLevel="0" collapsed="false">
      <c r="B130" s="38" t="s">
        <v>322</v>
      </c>
      <c r="D130" s="39" t="s">
        <v>323</v>
      </c>
      <c r="E130" s="39"/>
    </row>
    <row r="131" customFormat="false" ht="13.5" hidden="false" customHeight="true" outlineLevel="0" collapsed="false">
      <c r="B131" s="39" t="s">
        <v>324</v>
      </c>
      <c r="D131" s="39" t="s">
        <v>325</v>
      </c>
      <c r="E131" s="39"/>
    </row>
    <row r="132" customFormat="false" ht="13.5" hidden="false" customHeight="true" outlineLevel="0" collapsed="false">
      <c r="B132" s="39" t="s">
        <v>326</v>
      </c>
      <c r="E132" s="39"/>
    </row>
    <row r="133" customFormat="false" ht="13.5" hidden="false" customHeight="true" outlineLevel="0" collapsed="false">
      <c r="B133" s="39" t="s">
        <v>327</v>
      </c>
      <c r="D133" s="38" t="s">
        <v>328</v>
      </c>
      <c r="E133" s="39"/>
    </row>
    <row r="134" customFormat="false" ht="13.5" hidden="false" customHeight="true" outlineLevel="0" collapsed="false">
      <c r="B134" s="39" t="s">
        <v>329</v>
      </c>
      <c r="D134" s="39" t="s">
        <v>330</v>
      </c>
      <c r="E134" s="39"/>
    </row>
    <row r="135" customFormat="false" ht="13.5" hidden="false" customHeight="true" outlineLevel="0" collapsed="false">
      <c r="B135" s="39" t="s">
        <v>331</v>
      </c>
      <c r="D135" s="39" t="s">
        <v>332</v>
      </c>
      <c r="E135" s="39"/>
    </row>
    <row r="136" customFormat="false" ht="13.5" hidden="false" customHeight="true" outlineLevel="0" collapsed="false">
      <c r="D136" s="39" t="s">
        <v>333</v>
      </c>
      <c r="E136" s="39"/>
    </row>
    <row r="137" customFormat="false" ht="13.5" hidden="false" customHeight="true" outlineLevel="0" collapsed="false">
      <c r="B137" s="38" t="s">
        <v>334</v>
      </c>
      <c r="D137" s="39" t="s">
        <v>335</v>
      </c>
      <c r="E137" s="39"/>
    </row>
    <row r="138" customFormat="false" ht="13.5" hidden="false" customHeight="true" outlineLevel="0" collapsed="false">
      <c r="B138" s="39" t="s">
        <v>336</v>
      </c>
      <c r="D138" s="39" t="s">
        <v>337</v>
      </c>
      <c r="E138" s="50"/>
    </row>
    <row r="139" customFormat="false" ht="13.5" hidden="false" customHeight="true" outlineLevel="0" collapsed="false">
      <c r="B139" s="39" t="s">
        <v>338</v>
      </c>
      <c r="D139" s="39" t="s">
        <v>339</v>
      </c>
      <c r="E139" s="39"/>
    </row>
    <row r="140" customFormat="false" ht="13.5" hidden="false" customHeight="true" outlineLevel="0" collapsed="false">
      <c r="B140" s="39" t="s">
        <v>340</v>
      </c>
      <c r="D140" s="39" t="s">
        <v>341</v>
      </c>
      <c r="E140" s="39"/>
    </row>
    <row r="141" customFormat="false" ht="13.5" hidden="false" customHeight="true" outlineLevel="0" collapsed="false">
      <c r="B141" s="39" t="s">
        <v>342</v>
      </c>
      <c r="D141" s="39" t="s">
        <v>343</v>
      </c>
      <c r="E141" s="39"/>
    </row>
    <row r="142" customFormat="false" ht="14.25" hidden="false" customHeight="true" outlineLevel="0" collapsed="false">
      <c r="B142" s="39" t="s">
        <v>344</v>
      </c>
      <c r="E142" s="39"/>
    </row>
    <row r="143" customFormat="false" ht="14.25" hidden="false" customHeight="true" outlineLevel="0" collapsed="false">
      <c r="B143" s="39" t="s">
        <v>345</v>
      </c>
    </row>
    <row r="144" customFormat="false" ht="14.25" hidden="false" customHeight="true" outlineLevel="0" collapsed="false">
      <c r="B144" s="39"/>
    </row>
    <row r="145" customFormat="false" ht="14.25" hidden="false" customHeight="true" outlineLevel="0" collapsed="false">
      <c r="B145" s="48"/>
      <c r="C145" s="38"/>
      <c r="D145" s="38"/>
    </row>
    <row r="146" customFormat="false" ht="14.25" hidden="false" customHeight="true" outlineLevel="0" collapsed="false">
      <c r="B146" s="39"/>
      <c r="D146" s="39"/>
    </row>
    <row r="147" customFormat="false" ht="14.25" hidden="false" customHeight="true" outlineLevel="0" collapsed="false">
      <c r="B147" s="39"/>
    </row>
    <row r="148" customFormat="false" ht="14.25" hidden="false" customHeight="true" outlineLevel="0" collapsed="false">
      <c r="B148" s="39"/>
      <c r="D148" s="51" t="s">
        <v>346</v>
      </c>
    </row>
    <row r="149" customFormat="false" ht="14.25" hidden="false" customHeight="true" outlineLevel="0" collapsed="false">
      <c r="B149" s="39"/>
      <c r="D149" s="39" t="s">
        <v>347</v>
      </c>
    </row>
    <row r="150" customFormat="false" ht="14.25" hidden="false" customHeight="true" outlineLevel="0" collapsed="false">
      <c r="D150" s="39" t="s">
        <v>348</v>
      </c>
    </row>
    <row r="151" customFormat="false" ht="14.25" hidden="false" customHeight="true" outlineLevel="0" collapsed="false">
      <c r="D151" s="39" t="s">
        <v>349</v>
      </c>
    </row>
    <row r="152" customFormat="false" ht="14.25" hidden="false" customHeight="true" outlineLevel="0" collapsed="false">
      <c r="D152" s="39" t="s">
        <v>350</v>
      </c>
    </row>
    <row r="154" customFormat="false" ht="14.25" hidden="false" customHeight="true" outlineLevel="0" collapsed="false">
      <c r="D154" s="51" t="s">
        <v>351</v>
      </c>
    </row>
    <row r="155" customFormat="false" ht="14.25" hidden="false" customHeight="true" outlineLevel="0" collapsed="false">
      <c r="D155" s="39" t="s">
        <v>352</v>
      </c>
    </row>
    <row r="156" customFormat="false" ht="14.25" hidden="false" customHeight="true" outlineLevel="0" collapsed="false">
      <c r="D156" s="39" t="s">
        <v>353</v>
      </c>
    </row>
    <row r="158" customFormat="false" ht="14.25" hidden="false" customHeight="true" outlineLevel="0" collapsed="false">
      <c r="D158" s="51" t="s">
        <v>354</v>
      </c>
    </row>
    <row r="159" customFormat="false" ht="14.25" hidden="false" customHeight="true" outlineLevel="0" collapsed="false">
      <c r="D159" s="39" t="s">
        <v>355</v>
      </c>
    </row>
    <row r="160" customFormat="false" ht="14.25" hidden="false" customHeight="true" outlineLevel="0" collapsed="false">
      <c r="D160" s="39" t="s">
        <v>356</v>
      </c>
    </row>
    <row r="161" customFormat="false" ht="14.25" hidden="false" customHeight="true" outlineLevel="0" collapsed="false">
      <c r="D161" s="39" t="s">
        <v>357</v>
      </c>
    </row>
    <row r="162" customFormat="false" ht="14.25" hidden="false" customHeight="true" outlineLevel="0" collapsed="false">
      <c r="D162" s="39" t="s">
        <v>358</v>
      </c>
    </row>
    <row r="163" customFormat="false" ht="14.25" hidden="false" customHeight="true" outlineLevel="0" collapsed="false">
      <c r="D163" s="39" t="s">
        <v>359</v>
      </c>
    </row>
    <row r="164" customFormat="false" ht="14.25" hidden="false" customHeight="true" outlineLevel="0" collapsed="false">
      <c r="D164" s="39" t="s">
        <v>360</v>
      </c>
    </row>
    <row r="166" customFormat="false" ht="14.25" hidden="false" customHeight="true" outlineLevel="0" collapsed="false">
      <c r="D166" s="51" t="s">
        <v>361</v>
      </c>
    </row>
    <row r="167" customFormat="false" ht="14.25" hidden="false" customHeight="true" outlineLevel="0" collapsed="false">
      <c r="D167" s="39" t="s">
        <v>362</v>
      </c>
    </row>
    <row r="168" customFormat="false" ht="14.25" hidden="false" customHeight="true" outlineLevel="0" collapsed="false">
      <c r="D168" s="39" t="s">
        <v>363</v>
      </c>
    </row>
    <row r="169" customFormat="false" ht="14.25" hidden="false" customHeight="true" outlineLevel="0" collapsed="false">
      <c r="D169" s="39" t="s">
        <v>364</v>
      </c>
    </row>
    <row r="171" customFormat="false" ht="14.25" hidden="false" customHeight="true" outlineLevel="0" collapsed="false">
      <c r="B171" s="39" t="s">
        <v>365</v>
      </c>
    </row>
    <row r="172" customFormat="false" ht="14.25" hidden="false" customHeight="true" outlineLevel="0" collapsed="false">
      <c r="B172" s="39" t="s">
        <v>366</v>
      </c>
    </row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11"/>
    <col collapsed="false" customWidth="true" hidden="false" outlineLevel="0" max="8" min="4" style="1" width="13"/>
    <col collapsed="false" customWidth="true" hidden="false" outlineLevel="0" max="9" min="9" style="1" width="6"/>
    <col collapsed="false" customWidth="true" hidden="false" outlineLevel="0" max="10" min="10" style="1" width="2"/>
  </cols>
  <sheetData>
    <row r="2" customFormat="false" ht="31.5" hidden="false" customHeight="true" outlineLevel="0" collapsed="false">
      <c r="B2" s="52" t="s">
        <v>367</v>
      </c>
      <c r="C2" s="52"/>
      <c r="D2" s="52"/>
      <c r="E2" s="52"/>
      <c r="F2" s="52"/>
      <c r="G2" s="52"/>
      <c r="H2" s="52"/>
      <c r="I2" s="52"/>
    </row>
    <row r="3" customFormat="false" ht="18" hidden="false" customHeight="true" outlineLevel="0" collapsed="false">
      <c r="B3" s="53" t="s">
        <v>368</v>
      </c>
      <c r="C3" s="53"/>
      <c r="D3" s="53"/>
      <c r="E3" s="53"/>
      <c r="F3" s="53"/>
      <c r="G3" s="53"/>
      <c r="H3" s="53"/>
      <c r="I3" s="53"/>
    </row>
    <row r="5" customFormat="false" ht="49.5" hidden="false" customHeight="true" outlineLevel="0" collapsed="false">
      <c r="B5" s="54" t="s">
        <v>369</v>
      </c>
      <c r="C5" s="54"/>
      <c r="D5" s="54"/>
      <c r="E5" s="54"/>
      <c r="F5" s="54"/>
      <c r="G5" s="54"/>
      <c r="H5" s="54"/>
      <c r="I5" s="54"/>
    </row>
    <row r="7" customFormat="false" ht="25.5" hidden="false" customHeight="true" outlineLevel="0" collapsed="false">
      <c r="B7" s="55" t="s">
        <v>370</v>
      </c>
      <c r="C7" s="55"/>
      <c r="D7" s="55"/>
      <c r="E7" s="55"/>
      <c r="F7" s="55"/>
      <c r="G7" s="55"/>
      <c r="H7" s="55"/>
      <c r="I7" s="55"/>
    </row>
    <row r="8" customFormat="false" ht="42" hidden="false" customHeight="true" outlineLevel="0" collapsed="false">
      <c r="B8" s="56" t="s">
        <v>371</v>
      </c>
      <c r="C8" s="56"/>
      <c r="D8" s="56"/>
      <c r="E8" s="56"/>
      <c r="F8" s="56"/>
      <c r="G8" s="56"/>
      <c r="H8" s="56"/>
      <c r="I8" s="56"/>
    </row>
    <row r="10" customFormat="false" ht="25.5" hidden="false" customHeight="true" outlineLevel="0" collapsed="false">
      <c r="B10" s="55" t="s">
        <v>372</v>
      </c>
      <c r="C10" s="55"/>
      <c r="D10" s="55"/>
      <c r="E10" s="55"/>
      <c r="F10" s="55"/>
      <c r="G10" s="55"/>
      <c r="H10" s="55"/>
      <c r="I10" s="55"/>
    </row>
    <row r="11" customFormat="false" ht="21.75" hidden="false" customHeight="true" outlineLevel="0" collapsed="false">
      <c r="B11" s="57" t="s">
        <v>373</v>
      </c>
      <c r="C11" s="57"/>
      <c r="D11" s="57"/>
      <c r="E11" s="57"/>
      <c r="F11" s="57"/>
      <c r="G11" s="57"/>
      <c r="H11" s="57"/>
      <c r="I11" s="57"/>
    </row>
    <row r="12" customFormat="false" ht="39.75" hidden="false" customHeight="true" outlineLevel="0" collapsed="false">
      <c r="B12" s="58" t="s">
        <v>374</v>
      </c>
      <c r="C12" s="59" t="s">
        <v>76</v>
      </c>
      <c r="D12" s="60" t="s">
        <v>375</v>
      </c>
      <c r="E12" s="60"/>
      <c r="F12" s="60"/>
      <c r="G12" s="60"/>
      <c r="H12" s="60"/>
      <c r="I12" s="60"/>
    </row>
    <row r="13" customFormat="false" ht="39.75" hidden="false" customHeight="true" outlineLevel="0" collapsed="false">
      <c r="B13" s="58" t="s">
        <v>376</v>
      </c>
      <c r="C13" s="59" t="s">
        <v>377</v>
      </c>
      <c r="D13" s="60" t="s">
        <v>378</v>
      </c>
      <c r="E13" s="60"/>
      <c r="F13" s="60"/>
      <c r="G13" s="60"/>
      <c r="H13" s="60"/>
      <c r="I13" s="60"/>
    </row>
    <row r="14" customFormat="false" ht="39.75" hidden="false" customHeight="true" outlineLevel="0" collapsed="false">
      <c r="B14" s="58" t="s">
        <v>379</v>
      </c>
      <c r="C14" s="59" t="s">
        <v>380</v>
      </c>
      <c r="D14" s="60" t="s">
        <v>381</v>
      </c>
      <c r="E14" s="60"/>
      <c r="F14" s="60"/>
      <c r="G14" s="60"/>
      <c r="H14" s="60"/>
      <c r="I14" s="60"/>
    </row>
    <row r="15" customFormat="false" ht="39.75" hidden="false" customHeight="true" outlineLevel="0" collapsed="false">
      <c r="B15" s="58" t="s">
        <v>382</v>
      </c>
      <c r="C15" s="61" t="s">
        <v>383</v>
      </c>
      <c r="D15" s="60" t="s">
        <v>384</v>
      </c>
      <c r="E15" s="60"/>
      <c r="F15" s="60"/>
      <c r="G15" s="60"/>
      <c r="H15" s="60"/>
      <c r="I15" s="60"/>
    </row>
    <row r="16" customFormat="false" ht="39.75" hidden="false" customHeight="true" outlineLevel="0" collapsed="false">
      <c r="B16" s="58" t="s">
        <v>385</v>
      </c>
      <c r="C16" s="59" t="s">
        <v>386</v>
      </c>
      <c r="D16" s="60" t="s">
        <v>387</v>
      </c>
      <c r="E16" s="60"/>
      <c r="F16" s="60"/>
      <c r="G16" s="60"/>
      <c r="H16" s="60"/>
      <c r="I16" s="60"/>
    </row>
    <row r="17" customFormat="false" ht="39.75" hidden="false" customHeight="true" outlineLevel="0" collapsed="false">
      <c r="B17" s="58" t="s">
        <v>388</v>
      </c>
      <c r="C17" s="59" t="s">
        <v>389</v>
      </c>
      <c r="D17" s="60" t="s">
        <v>390</v>
      </c>
      <c r="E17" s="60"/>
      <c r="F17" s="60"/>
      <c r="G17" s="60"/>
      <c r="H17" s="60"/>
      <c r="I17" s="60"/>
    </row>
    <row r="18" customFormat="false" ht="39.75" hidden="false" customHeight="true" outlineLevel="0" collapsed="false">
      <c r="B18" s="58" t="s">
        <v>391</v>
      </c>
      <c r="C18" s="59" t="s">
        <v>392</v>
      </c>
      <c r="D18" s="60" t="s">
        <v>393</v>
      </c>
      <c r="E18" s="60"/>
      <c r="F18" s="60"/>
      <c r="G18" s="60"/>
      <c r="H18" s="60"/>
      <c r="I18" s="60"/>
    </row>
    <row r="20" customFormat="false" ht="25.5" hidden="false" customHeight="true" outlineLevel="0" collapsed="false">
      <c r="B20" s="55" t="s">
        <v>394</v>
      </c>
      <c r="C20" s="55"/>
      <c r="D20" s="55"/>
      <c r="E20" s="55"/>
      <c r="F20" s="55"/>
      <c r="G20" s="55"/>
      <c r="H20" s="55"/>
      <c r="I20" s="55"/>
    </row>
    <row r="21" customFormat="false" ht="43.5" hidden="false" customHeight="true" outlineLevel="0" collapsed="false">
      <c r="B21" s="57" t="s">
        <v>395</v>
      </c>
      <c r="C21" s="57"/>
      <c r="D21" s="57"/>
      <c r="E21" s="57"/>
      <c r="F21" s="57"/>
      <c r="G21" s="57"/>
      <c r="H21" s="57"/>
      <c r="I21" s="57"/>
    </row>
    <row r="23" customFormat="false" ht="25.5" hidden="false" customHeight="true" outlineLevel="0" collapsed="false">
      <c r="B23" s="55" t="s">
        <v>396</v>
      </c>
      <c r="C23" s="55"/>
      <c r="D23" s="55"/>
      <c r="E23" s="55"/>
      <c r="F23" s="55"/>
      <c r="G23" s="55"/>
      <c r="H23" s="55"/>
      <c r="I23" s="55"/>
    </row>
    <row r="24" customFormat="false" ht="31.5" hidden="false" customHeight="true" outlineLevel="0" collapsed="false">
      <c r="B24" s="57" t="s">
        <v>397</v>
      </c>
      <c r="C24" s="57"/>
      <c r="D24" s="57"/>
      <c r="E24" s="57"/>
      <c r="F24" s="57"/>
      <c r="G24" s="57"/>
      <c r="H24" s="57"/>
      <c r="I24" s="57"/>
    </row>
    <row r="25" customFormat="false" ht="31.5" hidden="false" customHeight="true" outlineLevel="0" collapsed="false">
      <c r="B25" s="58" t="s">
        <v>374</v>
      </c>
      <c r="C25" s="59" t="s">
        <v>398</v>
      </c>
      <c r="D25" s="60" t="s">
        <v>399</v>
      </c>
      <c r="E25" s="60"/>
      <c r="F25" s="60"/>
      <c r="G25" s="60"/>
      <c r="H25" s="60"/>
      <c r="I25" s="60"/>
    </row>
    <row r="26" customFormat="false" ht="31.5" hidden="false" customHeight="true" outlineLevel="0" collapsed="false">
      <c r="B26" s="58" t="s">
        <v>376</v>
      </c>
      <c r="C26" s="59" t="s">
        <v>400</v>
      </c>
      <c r="D26" s="60" t="s">
        <v>401</v>
      </c>
      <c r="E26" s="60"/>
      <c r="F26" s="60"/>
      <c r="G26" s="60"/>
      <c r="H26" s="60"/>
      <c r="I26" s="60"/>
    </row>
    <row r="27" customFormat="false" ht="31.5" hidden="false" customHeight="true" outlineLevel="0" collapsed="false">
      <c r="B27" s="58" t="s">
        <v>379</v>
      </c>
      <c r="C27" s="59" t="s">
        <v>402</v>
      </c>
      <c r="D27" s="60" t="s">
        <v>403</v>
      </c>
      <c r="E27" s="60"/>
      <c r="F27" s="60"/>
      <c r="G27" s="60"/>
      <c r="H27" s="60"/>
      <c r="I27" s="60"/>
    </row>
    <row r="28" customFormat="false" ht="31.5" hidden="false" customHeight="true" outlineLevel="0" collapsed="false">
      <c r="B28" s="58" t="s">
        <v>382</v>
      </c>
      <c r="C28" s="59" t="s">
        <v>404</v>
      </c>
      <c r="D28" s="60" t="s">
        <v>405</v>
      </c>
      <c r="E28" s="60"/>
      <c r="F28" s="60"/>
      <c r="G28" s="60"/>
      <c r="H28" s="60"/>
      <c r="I28" s="60"/>
    </row>
    <row r="29" customFormat="false" ht="31.5" hidden="false" customHeight="true" outlineLevel="0" collapsed="false">
      <c r="B29" s="58" t="s">
        <v>385</v>
      </c>
      <c r="C29" s="59" t="s">
        <v>406</v>
      </c>
      <c r="D29" s="60" t="s">
        <v>407</v>
      </c>
      <c r="E29" s="60"/>
      <c r="F29" s="60"/>
      <c r="G29" s="60"/>
      <c r="H29" s="60"/>
      <c r="I29" s="60"/>
    </row>
    <row r="30" customFormat="false" ht="31.5" hidden="false" customHeight="true" outlineLevel="0" collapsed="false">
      <c r="B30" s="58" t="s">
        <v>388</v>
      </c>
      <c r="C30" s="59" t="s">
        <v>408</v>
      </c>
      <c r="D30" s="60" t="s">
        <v>409</v>
      </c>
      <c r="E30" s="60"/>
      <c r="F30" s="60"/>
      <c r="G30" s="60"/>
      <c r="H30" s="60"/>
      <c r="I30" s="60"/>
    </row>
    <row r="31" customFormat="false" ht="31.5" hidden="false" customHeight="true" outlineLevel="0" collapsed="false"/>
    <row r="32" customFormat="false" ht="15" hidden="false" customHeight="false" outlineLevel="0" collapsed="false">
      <c r="B32" s="62"/>
      <c r="C32" s="62"/>
      <c r="D32" s="62"/>
      <c r="E32" s="62"/>
      <c r="F32" s="62"/>
      <c r="G32" s="62"/>
      <c r="H32" s="62"/>
      <c r="I32" s="62"/>
    </row>
    <row r="33" customFormat="false" ht="7.5" hidden="false" customHeight="true" outlineLevel="0" collapsed="false">
      <c r="B33" s="63" t="s">
        <v>410</v>
      </c>
    </row>
    <row r="34" customFormat="false" ht="36" hidden="false" customHeight="true" outlineLevel="0" collapsed="false">
      <c r="B34" s="64"/>
      <c r="C34" s="64"/>
      <c r="D34" s="64"/>
      <c r="E34" s="64"/>
      <c r="F34" s="64"/>
      <c r="G34" s="64"/>
      <c r="H34" s="64"/>
      <c r="I34" s="64"/>
    </row>
    <row r="35" customFormat="false" ht="15" hidden="false" customHeight="false" outlineLevel="0" collapsed="false">
      <c r="B35" s="65" t="s">
        <v>106</v>
      </c>
      <c r="C35" s="66" t="str">
        <f aca="false">IFERROR(IF(계약서!G9="","",계약서!G9),"")</f>
        <v/>
      </c>
      <c r="D35" s="67"/>
      <c r="E35" s="67"/>
      <c r="F35" s="67"/>
      <c r="G35" s="67"/>
      <c r="H35" s="67"/>
      <c r="I35" s="68" t="s">
        <v>411</v>
      </c>
    </row>
    <row r="36" customFormat="false" ht="42" hidden="false" customHeight="true" outlineLevel="0" collapsed="false">
      <c r="C36" s="64"/>
      <c r="D36" s="64"/>
      <c r="E36" s="64"/>
      <c r="F36" s="64"/>
      <c r="G36" s="64"/>
      <c r="H36" s="64"/>
    </row>
    <row r="37" customFormat="false" ht="15" hidden="false" customHeight="false" outlineLevel="0" collapsed="false">
      <c r="B37" s="65" t="s">
        <v>109</v>
      </c>
      <c r="C37" s="69" t="s">
        <v>50</v>
      </c>
      <c r="D37" s="67"/>
      <c r="E37" s="67"/>
      <c r="F37" s="67"/>
      <c r="G37" s="67"/>
      <c r="H37" s="67"/>
      <c r="I37" s="68" t="s">
        <v>411</v>
      </c>
    </row>
    <row r="38" customFormat="false" ht="42" hidden="false" customHeight="true" outlineLevel="0" collapsed="false">
      <c r="C38" s="64"/>
      <c r="D38" s="64"/>
      <c r="E38" s="64"/>
      <c r="F38" s="64"/>
      <c r="G38" s="64"/>
      <c r="H38" s="64"/>
    </row>
  </sheetData>
  <mergeCells count="27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D18:I18"/>
    <mergeCell ref="B20:I20"/>
    <mergeCell ref="B21:I21"/>
    <mergeCell ref="B23:I23"/>
    <mergeCell ref="B24:I24"/>
    <mergeCell ref="D25:I25"/>
    <mergeCell ref="D26:I26"/>
    <mergeCell ref="D27:I27"/>
    <mergeCell ref="D28:I28"/>
    <mergeCell ref="D29:I29"/>
    <mergeCell ref="D30:I30"/>
    <mergeCell ref="B34:I34"/>
    <mergeCell ref="C36:H36"/>
    <mergeCell ref="C38:H3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2026-05-07T01:34:20Z</cp:lastPrinted>
  <dcterms:modified xsi:type="dcterms:W3CDTF">2026-05-11T09:35:44Z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