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E6CD912A-56A4-4BDC-9CF7-D7E96343EA12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이용약관!$A$1:$D$140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2" l="1"/>
  <c r="C49" i="2"/>
  <c r="I23" i="2"/>
  <c r="F23" i="2"/>
  <c r="C23" i="2"/>
  <c r="I22" i="2"/>
  <c r="B19" i="2" s="1"/>
  <c r="F22" i="2"/>
  <c r="C22" i="2"/>
  <c r="C18" i="2"/>
  <c r="C17" i="2"/>
  <c r="I16" i="2"/>
  <c r="F16" i="2"/>
  <c r="C16" i="2"/>
  <c r="I15" i="2"/>
  <c r="F15" i="2"/>
  <c r="C15" i="2"/>
  <c r="D137" i="3" s="1"/>
  <c r="C11" i="2"/>
  <c r="I10" i="2"/>
  <c r="F10" i="2"/>
  <c r="C10" i="2"/>
  <c r="I7" i="2"/>
  <c r="C7" i="2"/>
  <c r="I6" i="2"/>
  <c r="F6" i="2"/>
  <c r="C6" i="2"/>
  <c r="I3" i="2"/>
  <c r="B137" i="3"/>
</calcChain>
</file>

<file path=xl/sharedStrings.xml><?xml version="1.0" encoding="utf-8"?>
<sst xmlns="http://schemas.openxmlformats.org/spreadsheetml/2006/main" count="376" uniqueCount="356">
  <si>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</si>
  <si>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</si>
  <si>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</si>
  <si>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</si>
  <si>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</si>
  <si>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</si>
  <si>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</si>
  <si>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</si>
  <si>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</si>
  <si>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</si>
  <si>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</si>
  <si>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</si>
  <si>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</si>
  <si>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</si>
  <si>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</si>
  <si>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</si>
  <si>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DejaVu Sans"/>
        <family val="2"/>
        <charset val="1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</si>
  <si>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</si>
  <si>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</si>
  <si>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</si>
  <si>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</si>
  <si>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</si>
  <si>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</si>
  <si>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</si>
  <si>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</si>
  <si>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</si>
  <si>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</si>
  <si>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</si>
  <si>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</si>
  <si>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</si>
  <si>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</si>
  <si>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</si>
  <si>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</si>
  <si>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DejaVu Sans"/>
        <family val="2"/>
        <charset val="1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</si>
  <si>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</si>
  <si>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</si>
  <si>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</si>
  <si>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</si>
  <si>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</si>
  <si>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</si>
  <si>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</si>
  <si>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</si>
  <si>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</si>
  <si>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</si>
  <si>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</si>
  <si>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</si>
  <si>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</si>
  <si>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</si>
  <si>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</si>
  <si>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</si>
  <si>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</si>
  <si>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</si>
  <si>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</si>
  <si>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</si>
  <si>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</si>
  <si>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</si>
  <si>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</si>
  <si>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한국모터사이클리스 유한회사</t>
  </si>
  <si>
    <t>■ 차량 정보</t>
  </si>
  <si>
    <t>정비여부</t>
  </si>
  <si>
    <t>미포함</t>
  </si>
  <si>
    <t>■ 계약자</t>
  </si>
  <si>
    <t>성명</t>
  </si>
  <si>
    <t>주민등록번호</t>
  </si>
  <si>
    <t>연락처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</si>
  <si>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</si>
  <si>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</si>
  <si>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연대보증인</t>
  </si>
  <si>
    <t>업체명</t>
  </si>
  <si>
    <t>사업자번호</t>
  </si>
  <si>
    <t>이메일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</si>
  <si>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</si>
  <si>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</si>
  <si>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</si>
  <si>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</si>
  <si>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</si>
  <si>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</si>
  <si>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</si>
  <si>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</si>
  <si>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</si>
  <si>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</si>
  <si>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</si>
  <si>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</si>
  <si>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</si>
  <si>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</si>
  <si>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>188, 201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DejaVu Sans"/>
        <family val="2"/>
        <charset val="1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</si>
  <si>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</si>
  <si>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</si>
  <si>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</si>
  <si>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</si>
  <si>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</si>
  <si>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</si>
  <si>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</si>
  <si>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</si>
  <si>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</si>
  <si>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</si>
  <si>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</si>
  <si>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</si>
  <si>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</si>
  <si>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</si>
  <si>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</si>
  <si>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</si>
  <si>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</si>
  <si>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</si>
  <si>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</si>
  <si>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</si>
  <si>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</si>
  <si>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</si>
  <si>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</si>
  <si>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</si>
  <si>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</si>
  <si>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연대보증인</t>
  </si>
  <si>
    <t>서명일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</si>
  <si>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</si>
  <si>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 약관은 한국모터사이클리스 유한회사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회사</t>
    </r>
    <r>
      <rPr>
        <sz val="8"/>
        <color rgb="FF2B2B2B"/>
        <rFont val="DejaVu Sans"/>
        <family val="3"/>
        <charset val="129"/>
      </rPr>
      <t>")</t>
    </r>
    <r>
      <rPr>
        <sz val="8"/>
        <color rgb="FF2B2B2B"/>
        <rFont val="DejaVu Sans"/>
        <family val="2"/>
      </rPr>
      <t>와 본 계약을 체결한 계약자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>"</t>
    </r>
    <r>
      <rPr>
        <sz val="8"/>
        <color rgb="FF2B2B2B"/>
        <rFont val="DejaVu Sans"/>
        <family val="2"/>
      </rPr>
      <t>계약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</si>
  <si>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</si>
  <si>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할부금 및 기타 지급금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</si>
  <si>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 xml:space="preserve"> 결제 수단을 통해 납부하는 것을 의미한다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</si>
  <si>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비용을 말한다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</si>
  <si>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자에게 개별 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이륜차 출고 이전까지 계약을 취소할 수 있다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</si>
  <si>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서류 제출 및 보완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</si>
  <si>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지급의무를 거부할 수 없다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</si>
  <si>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소유권 유보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</si>
  <si>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</si>
  <si>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</si>
  <si>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회사는 지체 없이 이륜차의 소유권을 계약자에게 이전한다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</si>
  <si>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</si>
  <si>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모든 사고에 대해 책임을 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회사가 소유권을 보유하더라도 운행자성이 없으므로 인적</t>
    </r>
  </si>
  <si>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물적 관리책임은 전적으로 계약자에게 있다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</si>
  <si>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기관에 등록하거나 신용정보업체에 채권추심을 의뢰할 수 있다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</si>
  <si>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수익할 권리와 운행이익권만을 가진다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계약자는 본 계약에서 허용하는 범위를 초과하여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</t>
    </r>
  </si>
  <si>
    <r>
      <rPr>
        <sz val="8"/>
        <color rgb="FF2B2B2B"/>
        <rFont val="DejaVu Sans"/>
        <family val="2"/>
      </rPr>
      <t>에게 사용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수익하게 할 수 없다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또한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16</t>
    </r>
    <r>
      <rPr>
        <sz val="8"/>
        <color rgb="FF2B2B2B"/>
        <rFont val="DejaVu Sans"/>
        <family val="2"/>
      </rPr>
      <t>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17</t>
    </r>
    <r>
      <rPr>
        <sz val="8"/>
        <color rgb="FF2B2B2B"/>
        <rFont val="DejaVu Sans"/>
        <family val="2"/>
      </rPr>
      <t xml:space="preserve">조에 따라 계약이 해지된 경우 계약자는 즉시 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</si>
  <si>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</si>
  <si>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운행을 중단하고 이륜차를 반환하여야 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</si>
  <si>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본 계약과 관련하여 부담하는 일체의 채무를 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 및 상호 간에 연대하여 그</t>
    </r>
  </si>
  <si>
    <r>
      <rPr>
        <sz val="8"/>
        <color rgb="FF2B2B2B"/>
        <rFont val="DejaVu Sans"/>
        <family val="2"/>
      </rPr>
      <t>유권을 주장할 수 없다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</si>
  <si>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채무를 이행한다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</si>
  <si>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해할 위험이 있는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계약자는 이륜차가 회사의 소유임을 주장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입증하여 침해를 방지하고 즉</t>
    </r>
  </si>
  <si>
    <r>
      <rPr>
        <sz val="8"/>
        <color rgb="FF2B2B2B"/>
        <rFont val="DejaVu Sans"/>
        <family val="2"/>
      </rPr>
      <t>증인은 채무가 전액 변제될 때까지 보증채무를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</si>
  <si>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시 그 사실을 회사에 통지하여야 한다</t>
    </r>
    <r>
      <rPr>
        <sz val="8"/>
        <color rgb="FF2B2B2B"/>
        <rFont val="DejaVu Sans"/>
        <family val="2"/>
        <charset val="129"/>
      </rPr>
      <t>.</t>
    </r>
  </si>
  <si>
    <r>
      <rPr>
        <sz val="8"/>
        <color rgb="FF2B2B2B"/>
        <rFont val="DejaVu Sans"/>
        <family val="2"/>
      </rPr>
      <t>책임을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</si>
  <si>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않더라도 그 변경에 동의한 것으로 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변경 내용이 연대보증인에게 불리한 경우</t>
    </r>
  </si>
  <si>
    <r>
      <rPr>
        <sz val="8"/>
        <color rgb="FF2B2B2B"/>
        <rFont val="DejaVu Sans"/>
        <family val="2"/>
      </rPr>
      <t xml:space="preserve">를 원상태로 완전복구 또는 </t>
    </r>
    <r>
      <rPr>
        <sz val="8"/>
        <color rgb="FF2B2B2B"/>
        <rFont val="DejaVu Sans"/>
        <family val="2"/>
        <charset val="129"/>
      </rPr>
      <t xml:space="preserve">(2) </t>
    </r>
    <r>
      <rPr>
        <sz val="8"/>
        <color rgb="FF2B2B2B"/>
        <rFont val="DejaVu Sans"/>
        <family val="2"/>
      </rPr>
      <t>동일모델</t>
    </r>
    <r>
      <rPr>
        <sz val="8"/>
        <color rgb="FF2B2B2B"/>
        <rFont val="DejaVu Sans"/>
        <family val="2"/>
        <charset val="129"/>
      </rPr>
      <t>·</t>
    </r>
    <r>
      <rPr>
        <sz val="8"/>
        <color rgb="FF2B2B2B"/>
        <rFont val="DejaVu Sans"/>
        <family val="2"/>
      </rPr>
      <t>사양으로 교체 중 하나를 이행해야한다</t>
    </r>
    <r>
      <rPr>
        <sz val="8"/>
        <color rgb="FF2B2B2B"/>
        <rFont val="DejaVu Sans"/>
        <family val="2"/>
        <charset val="129"/>
      </rPr>
      <t>.</t>
    </r>
  </si>
  <si>
    <r>
      <rPr>
        <sz val="8"/>
        <color rgb="FF2B2B2B"/>
        <rFont val="DejaVu Sans"/>
        <family val="2"/>
      </rPr>
      <t>계약자는 즉시 연대보증인에게 통지하여야 하며</t>
    </r>
    <r>
      <rPr>
        <sz val="8"/>
        <color rgb="FF2B2B2B"/>
        <rFont val="DejaVu Sans"/>
        <family val="3"/>
        <charset val="129"/>
      </rPr>
      <t>, 14</t>
    </r>
    <r>
      <rPr>
        <sz val="8"/>
        <color rgb="FF2B2B2B"/>
        <rFont val="DejaVu Sans"/>
        <family val="2"/>
      </rPr>
      <t>일 이내 이의 제기 시 회사는 새로운</t>
    </r>
  </si>
  <si>
    <r>
      <rPr>
        <sz val="8"/>
        <color rgb="FF2B2B2B"/>
        <rFont val="DejaVu Sans"/>
        <family val="2"/>
      </rPr>
      <t>보증인의 추가 또는 교체를 요구할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연대보증인은 미성년자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배우자 등 불법 강제보</t>
    </r>
  </si>
  <si>
    <r>
      <rPr>
        <sz val="8"/>
        <color rgb="FF2B2B2B"/>
        <rFont val="DejaVu Sans"/>
        <family val="2"/>
      </rPr>
      <t>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훼손에 대한 모든 책임을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</si>
  <si>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증인으로 할 수 없다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</si>
  <si>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이륜차의 인도 및 계약자 확인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</si>
  <si>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</si>
  <si>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</si>
  <si>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계약만료 후 처리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</si>
  <si>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위 내에서만 위치정보를 활용한다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</si>
  <si>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</si>
  <si>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</si>
  <si>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계약자는 다음 행위를 하여서는 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>이륜차를 양도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전대 또는 본 계약상 권리를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</t>
    </r>
  </si>
  <si>
    <r>
      <rPr>
        <sz val="8"/>
        <color rgb="FF2B2B2B"/>
        <rFont val="DejaVu Sans"/>
        <family val="2"/>
      </rPr>
      <t>해배상금 및 부당사용이익을 회사에 납부하여야 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</si>
  <si>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에게 양도하는 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>보험 인정 사용자 이외의 자에게 이륜차를 사용하게 하는 행위</t>
    </r>
    <r>
      <rPr>
        <sz val="8"/>
        <color rgb="FF2B2B2B"/>
        <rFont val="DejaVu Sans"/>
        <family val="3"/>
        <charset val="129"/>
      </rPr>
      <t>, (3)</t>
    </r>
    <r>
      <rPr>
        <sz val="8"/>
        <color rgb="FF2B2B2B"/>
        <rFont val="DejaVu Sans"/>
        <family val="2"/>
      </rPr>
      <t>이륜</t>
    </r>
  </si>
  <si>
    <r>
      <rPr>
        <sz val="8"/>
        <color rgb="FF2B2B2B"/>
        <rFont val="DejaVu Sans"/>
        <family val="2"/>
      </rPr>
      <t>차 규격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성능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기능을 임의로 변경하거나 번호판을 훼손하는 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자에게 담보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</si>
  <si>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계약만료 전 할부금 완납 시 절차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</si>
  <si>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목적으로 제공하는 등 회사의 소유권 침해 행위</t>
    </r>
    <r>
      <rPr>
        <sz val="8"/>
        <color rgb="FF2B2B2B"/>
        <rFont val="DejaVu Sans"/>
        <family val="3"/>
        <charset val="129"/>
      </rPr>
      <t xml:space="preserve">, (5) </t>
    </r>
    <r>
      <rPr>
        <sz val="8"/>
        <color rgb="FF2B2B2B"/>
        <rFont val="DejaVu Sans"/>
        <family val="2"/>
      </rPr>
      <t>이륜차 부착 표지를 제거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훼손하거나 내용</t>
    </r>
    <r>
      <rPr>
        <sz val="8"/>
        <color rgb="FF2B2B2B"/>
        <rFont val="DejaVu Sans"/>
        <family val="3"/>
        <charset val="129"/>
      </rPr>
      <t>·</t>
    </r>
  </si>
  <si>
    <r>
      <rPr>
        <sz val="8"/>
        <color rgb="FF2B2B2B"/>
        <rFont val="DejaVu Sans"/>
        <family val="2"/>
      </rPr>
      <t>지 및 차량을 회수하며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18</t>
    </r>
    <r>
      <rPr>
        <sz val="8"/>
        <color rgb="FF2B2B2B"/>
        <rFont val="DejaVu Sans"/>
        <family val="2"/>
      </rPr>
      <t>조에 따른 위약금 및 원상복구비 등 일체의 손해를 청구할 수 있다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</si>
  <si>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</si>
  <si>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변제충당 순서</t>
    </r>
    <r>
      <rPr>
        <b/>
        <sz val="9"/>
        <color rgb="FF1F3864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</si>
  <si>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세금계산서 발급</t>
    </r>
    <r>
      <rPr>
        <b/>
        <sz val="9"/>
        <color rgb="FF1F3864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</si>
  <si>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계약자에 의한 중도 해지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</si>
  <si>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적용범위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</si>
  <si>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차에 성실히 협조하여야 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</si>
  <si>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서 이륜차의 처분에 영향을 미칠 수 있다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</si>
  <si>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계약의 해지 사유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</si>
  <si>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14</t>
    </r>
    <r>
      <rPr>
        <sz val="8"/>
        <color rgb="FF2B2B2B"/>
        <rFont val="DejaVu Sans"/>
        <family val="2"/>
      </rPr>
      <t>조의 금지행위에 해당하거나 다음 각 호에 해당하는 경우 계약자는 사전 통지나 최고 없이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</si>
  <si>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약관에 정하지 않은 사항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</si>
  <si>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본 계약에서 정하지 아니한 사항에 관하여는 관계 법령 및 회사의 관련 규정을 따른다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</si>
  <si>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준거법 및 관할</t>
    </r>
    <r>
      <rPr>
        <b/>
        <sz val="9"/>
        <color rgb="FF1F3864"/>
        <rFont val="DejaVu Sans"/>
        <family val="3"/>
        <charset val="129"/>
      </rPr>
      <t>)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</si>
  <si>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계약과 관련하여 분쟁이 발생하는 경우</t>
    </r>
  </si>
  <si>
    <r>
      <rPr>
        <sz val="8"/>
        <color rgb="FF2B2B2B"/>
        <rFont val="DejaVu Sans"/>
        <family val="2"/>
      </rPr>
      <t>회사의 계약 이행 지점 소재지를 관할하는 법원을 전속 관할 법원으로 한다</t>
    </r>
    <r>
      <rPr>
        <sz val="8"/>
        <color rgb="FF2B2B2B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</si>
  <si>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</si>
  <si>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3"/>
        <charset val="129"/>
      </rPr>
      <t>27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차량 평가 및 감가 기준</t>
    </r>
    <r>
      <rPr>
        <b/>
        <sz val="9"/>
        <color rgb="FF1F3864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</si>
  <si>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이륜차 반환 및 회수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</si>
  <si>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</si>
  <si>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DejaVu Sans"/>
        <family val="2"/>
      </rPr>
      <t>하여</t>
    </r>
    <phoneticPr fontId="38" type="noConversion"/>
  </si>
  <si>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</t>
    </r>
    <r>
      <rPr>
        <sz val="8"/>
        <color rgb="FF2B2B2B"/>
        <rFont val="DejaVu Sans"/>
        <family val="3"/>
        <charset val="129"/>
      </rPr>
      <t>액 산정 기</t>
    </r>
    <phoneticPr fontId="38" type="noConversion"/>
  </si>
  <si>
    <r>
      <rPr>
        <sz val="8"/>
        <color rgb="FF2B2B2B"/>
        <rFont val="맑은 고딕"/>
        <family val="3"/>
        <charset val="129"/>
      </rPr>
      <t>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</si>
  <si>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</si>
  <si>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t>영수증을 발행한다.</t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</si>
  <si>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세금계산서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현금영수증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발행에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영향을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미치는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사항</t>
    </r>
    <r>
      <rPr>
        <sz val="8"/>
        <color rgb="FF2B2B2B"/>
        <rFont val="DejaVu Sans"/>
        <family val="1"/>
      </rPr>
      <t>(</t>
    </r>
    <r>
      <rPr>
        <sz val="8"/>
        <color rgb="FF2B2B2B"/>
        <rFont val="DejaVu Sans"/>
        <family val="1"/>
        <charset val="129"/>
      </rPr>
      <t>발행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대상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DejaVu Sans"/>
        <family val="1"/>
        <charset val="129"/>
      </rPr>
      <t>주소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전화번호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상</t>
    </r>
    <phoneticPr fontId="38" type="noConversion"/>
  </si>
  <si>
    <r>
      <rPr>
        <sz val="8"/>
        <color rgb="FF2B2B2B"/>
        <rFont val="맑은 고딕"/>
        <family val="1"/>
        <charset val="129"/>
      </rPr>
      <t>호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사업자등록번호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등</t>
    </r>
    <r>
      <rPr>
        <sz val="8"/>
        <color rgb="FF2B2B2B"/>
        <rFont val="DejaVu Sans"/>
        <family val="1"/>
      </rPr>
      <t>)</t>
    </r>
    <r>
      <rPr>
        <sz val="8"/>
        <color rgb="FF2B2B2B"/>
        <rFont val="DejaVu Sans"/>
        <family val="1"/>
        <charset val="129"/>
      </rPr>
      <t>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변경이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발생한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통지한다</t>
    </r>
    <r>
      <rPr>
        <sz val="8"/>
        <color rgb="FF2B2B2B"/>
        <rFont val="DejaVu Sans"/>
        <family val="1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</si>
  <si>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8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</si>
  <si>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</si>
  <si>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</si>
  <si>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</si>
  <si>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phoneticPr fontId="38" type="noConversion"/>
  </si>
  <si>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</t>
    </r>
    <phoneticPr fontId="38" type="noConversion"/>
  </si>
  <si>
    <r>
      <rPr>
        <sz val="8"/>
        <color rgb="FF2B2B2B"/>
        <rFont val="맑은 고딕"/>
        <family val="3"/>
        <charset val="129"/>
      </rPr>
      <t>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</si>
  <si>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phoneticPr fontId="38" type="noConversion"/>
  </si>
  <si>
    <r>
      <rPr>
        <sz val="8"/>
        <color rgb="FF2B2B2B"/>
        <rFont val="맑은 고딕"/>
        <family val="3"/>
        <charset val="129"/>
      </rPr>
      <t>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</si>
  <si>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</t>
    </r>
    <phoneticPr fontId="38" type="noConversion"/>
  </si>
  <si>
    <r>
      <rPr>
        <sz val="8"/>
        <color rgb="FF2B2B2B"/>
        <rFont val="맑은 고딕"/>
        <family val="3"/>
        <charset val="129"/>
      </rPr>
      <t>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</si>
  <si>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8" type="noConversion"/>
  </si>
  <si>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</si>
  <si>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9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phoneticPr fontId="38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</si>
  <si>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</si>
  <si>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</si>
  <si>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</si>
  <si>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통지의무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해태로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발생하는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불이익은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부담한다</t>
    </r>
    <r>
      <rPr>
        <sz val="8"/>
        <color rgb="FF2B2B2B"/>
        <rFont val="DejaVu Sans"/>
        <family val="3"/>
      </rPr>
      <t>.</t>
    </r>
    <phoneticPr fontId="38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</si>
  <si>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세금계산서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현금영수증은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발행한다</t>
    </r>
    <r>
      <rPr>
        <sz val="8"/>
        <rFont val="DejaVu Sans"/>
        <charset val="1"/>
      </rPr>
      <t xml:space="preserve">. </t>
    </r>
    <r>
      <rPr>
        <sz val="8"/>
        <rFont val="맑은 고딕"/>
        <family val="3"/>
        <charset val="129"/>
      </rPr>
      <t>연대보증인이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연대보증인의</t>
    </r>
    <phoneticPr fontId="38" type="noConversion"/>
  </si>
  <si>
    <r>
      <rPr>
        <sz val="8"/>
        <rFont val="맑은 고딕"/>
        <family val="3"/>
        <charset val="129"/>
      </rPr>
      <t>사업자등록번호를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기준으로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세금계산서를</t>
    </r>
    <r>
      <rPr>
        <sz val="8"/>
        <rFont val="DejaVu Sans"/>
        <charset val="1"/>
      </rPr>
      <t xml:space="preserve">, </t>
    </r>
    <r>
      <rPr>
        <sz val="8"/>
        <rFont val="맑은 고딕"/>
        <family val="3"/>
        <charset val="129"/>
      </rPr>
      <t>없는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주민등록번호를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기준으로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현금</t>
    </r>
    <phoneticPr fontId="38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</si>
  <si>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걸쳐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매매계약을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</si>
  <si>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t>② "이륜차"란,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특정한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</t>
    </r>
    <phoneticPr fontId="38" type="noConversion"/>
  </si>
  <si>
    <r>
      <rPr>
        <sz val="8"/>
        <color rgb="FF2B2B2B"/>
        <rFont val="맑은 고딕"/>
        <family val="3"/>
        <charset val="129"/>
      </rPr>
      <t>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</si>
  <si>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추후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</t>
    </r>
    <phoneticPr fontId="38" type="noConversion"/>
  </si>
  <si>
    <r>
      <rPr>
        <sz val="8"/>
        <color rgb="FF2B2B2B"/>
        <rFont val="맑은 고딕"/>
        <family val="3"/>
        <charset val="129"/>
      </rPr>
      <t>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</si>
  <si>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2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</si>
  <si>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</si>
  <si>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</si>
  <si>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</si>
  <si>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</si>
  <si>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·"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</si>
  <si>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</t>
    </r>
    <phoneticPr fontId="38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</si>
  <si>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phoneticPr fontId="38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</si>
  <si>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이륜차</t>
    </r>
    <phoneticPr fontId="38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</si>
  <si>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</si>
  <si>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</si>
  <si>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</t>
    </r>
    <phoneticPr fontId="38" type="noConversion"/>
  </si>
  <si>
    <r>
      <rPr>
        <sz val="8"/>
        <color rgb="FF2B2B2B"/>
        <rFont val="맑은 고딕"/>
        <family val="3"/>
        <charset val="129"/>
      </rPr>
      <t>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</si>
  <si>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</si>
  <si>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8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</si>
  <si>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</si>
  <si>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</si>
  <si>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</si>
  <si>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8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</si>
  <si>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</si>
  <si>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</si>
  <si>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</si>
  <si>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</si>
  <si>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</si>
  <si>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38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</si>
  <si>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</si>
  <si>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</si>
  <si>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8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</si>
  <si>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</si>
  <si>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20%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</si>
  <si>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phoneticPr fontId="38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</si>
  <si>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38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</si>
  <si>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20%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</si>
  <si>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</si>
  <si>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</si>
  <si>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</si>
  <si>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38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</si>
  <si>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</si>
  <si>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</si>
  <si>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</si>
  <si>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없다.</t>
    </r>
    <phoneticPr fontId="38" type="noConversion"/>
  </si>
  <si>
    <t>없다.</t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</si>
  <si>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8" type="noConversion"/>
  </si>
  <si>
    <r>
      <t>민·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</si>
  <si>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38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</si>
  <si>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</si>
  <si>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</si>
  <si>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38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</si>
  <si>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</si>
  <si>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</si>
  <si>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</si>
  <si>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</si>
  <si>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38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</si>
  <si>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</si>
  <si>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38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</si>
  <si>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</si>
  <si>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4%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</si>
  <si>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6%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</si>
  <si>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>: 30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~ 50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</si>
  <si>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1</t>
    </r>
    <r>
      <rPr>
        <sz val="8"/>
        <color rgb="FF2B2B2B"/>
        <rFont val="맑은 고딕"/>
        <family val="3"/>
        <charset val="129"/>
      </rPr>
      <t>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</si>
  <si>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</si>
  <si>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</t>
    </r>
    <phoneticPr fontId="38" type="noConversion"/>
  </si>
  <si>
    <r>
      <rPr>
        <sz val="8"/>
        <color rgb="FF2B2B2B"/>
        <rFont val="맑은 고딕"/>
        <family val="3"/>
        <charset val="129"/>
      </rPr>
      <t>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</si>
  <si>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phoneticPr fontId="38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</si>
  <si>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</si>
  <si>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phoneticPr fontId="38" type="noConversion"/>
  </si>
  <si>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</t>
    </r>
    <phoneticPr fontId="38" type="noConversion"/>
  </si>
  <si>
    <r>
      <rPr>
        <sz val="8"/>
        <color rgb="FF2B2B2B"/>
        <rFont val="맑은 고딕"/>
        <family val="3"/>
        <charset val="129"/>
      </rPr>
      <t>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</si>
  <si>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</si>
  <si>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</si>
  <si>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phoneticPr fontId="38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</si>
  <si>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8" type="noConversion"/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</si>
  <si>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</si>
  <si>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DejaVu Sans"/>
        <family val="1"/>
        <charset val="1"/>
      </rPr>
      <t>,</t>
    </r>
    <phoneticPr fontId="38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</si>
  <si>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DejaVu Sans"/>
        <family val="3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38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</si>
  <si>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</si>
  <si>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38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</si>
  <si>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8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</si>
  <si>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</si>
  <si>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9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</t>
    </r>
    <phoneticPr fontId="38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</si>
  <si>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</si>
  <si>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</si>
  <si>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</t>
    </r>
    <phoneticPr fontId="38" type="noConversion"/>
  </si>
  <si>
    <r>
      <rPr>
        <sz val="8"/>
        <color rgb="FF2B2B2B"/>
        <rFont val="맑은 고딕"/>
        <family val="3"/>
        <charset val="129"/>
      </rPr>
      <t>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</si>
  <si>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38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</si>
  <si>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</si>
  <si>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phoneticPr fontId="38" type="noConversion"/>
  </si>
  <si>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</si>
  <si>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</si>
  <si>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38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</si>
  <si>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</si>
  <si>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38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</si>
  <si>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</si>
  <si>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</si>
  <si>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1"/>
        <charset val="1"/>
      </rPr>
      <t>.</t>
    </r>
    <phoneticPr fontId="38" type="noConversion"/>
  </si>
  <si>
    <r>
      <t>③ "계약기간"이란,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8" type="noConversion"/>
  </si>
  <si>
    <r>
      <t>④ "보증금"이란, 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</t>
    </r>
    <phoneticPr fontId="38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</si>
  <si>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</si>
  <si>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t>⑤ "계약자"는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"계약자"로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주채무자</t>
    </r>
    <phoneticPr fontId="38" type="noConversion"/>
  </si>
  <si>
    <t>이다.</t>
    <phoneticPr fontId="38" type="noConversion"/>
  </si>
  <si>
    <r>
      <t>⑥ "연대보증인"은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phoneticPr fontId="38" type="noConversion"/>
  </si>
  <si>
    <r>
      <rPr>
        <sz val="8"/>
        <color rgb="FF2B2B2B"/>
        <rFont val="맑은 고딕"/>
        <family val="3"/>
        <charset val="129"/>
      </rPr>
      <t>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겸한다</t>
    </r>
    <r>
      <rPr>
        <sz val="8"/>
        <color rgb="FF2B2B2B"/>
        <rFont val="DejaVu Sans"/>
        <family val="2"/>
        <charset val="129"/>
      </rPr>
      <t>.</t>
    </r>
    <phoneticPr fontId="38" type="noConversion"/>
  </si>
  <si>
    <r>
      <t>⑦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지급하여야하는</t>
    </r>
    <phoneticPr fontId="38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</si>
  <si>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DejaVu Sans"/>
        <family val="2"/>
        <charset val="1"/>
      </rPr>
      <t>.</t>
    </r>
    <phoneticPr fontId="38" type="noConversion"/>
  </si>
  <si>
    <r>
      <t>⑧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8" type="noConversion"/>
  </si>
  <si>
    <r>
      <t>⑨ "계약이관"이란,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</si>
  <si>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이륜차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보관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사용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등으로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제</t>
    </r>
    <r>
      <rPr>
        <sz val="8"/>
        <color rgb="FF2B2B2B"/>
        <rFont val="DejaVu Sans"/>
        <family val="1"/>
      </rPr>
      <t>3</t>
    </r>
    <r>
      <rPr>
        <sz val="8"/>
        <color rgb="FF2B2B2B"/>
        <rFont val="DejaVu Sans"/>
        <family val="1"/>
        <charset val="129"/>
      </rPr>
      <t>자에게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손해가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발생한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회사의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고의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과실이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없는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책임</t>
    </r>
    <phoneticPr fontId="38" type="noConversion"/>
  </si>
  <si>
    <t>은 계약자가 부담한다. 보험 가입·처리 책임은 전적으로 계약자에게 있으며, 본 차량이 유상운</t>
    <phoneticPr fontId="38" type="noConversion"/>
  </si>
  <si>
    <t xml:space="preserve">송 목적으로 사용되는 점을 고려하여 계약자는 유상운송 용도에 적합한 보험에 가입할 의무가 </t>
    <phoneticPr fontId="38" type="noConversion"/>
  </si>
  <si>
    <t>있다. 부적합 보험 가입 또는 계약자의 귀책사유로 보험처리가 불가하거나 보험금으로 충당되</t>
    <phoneticPr fontId="38" type="noConversion"/>
  </si>
  <si>
    <t>지 않는 손해는 전적으로 계약자가 부담한다.</t>
    <phoneticPr fontId="38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</si>
  <si>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38" type="noConversion"/>
  </si>
  <si>
    <r>
      <rPr>
        <sz val="8"/>
        <color rgb="FF2B2B2B"/>
        <rFont val="맑은 고딕"/>
        <family val="3"/>
        <charset val="129"/>
      </rPr>
      <t>세공과금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</si>
  <si>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3"/>
        <charset val="129"/>
      </rPr>
      <t>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보증금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계약금</t>
    </r>
    <r>
      <rPr>
        <b/>
        <sz val="9"/>
        <color rgb="FF1F3864"/>
        <rFont val="DejaVu Sans"/>
        <family val="3"/>
        <charset val="129"/>
      </rPr>
      <t>)</t>
    </r>
    <phoneticPr fontId="38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</si>
  <si>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38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</si>
  <si>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38" type="noConversion"/>
  </si>
  <si>
    <t>7일의 유예기간을 둘 수 있다.</t>
    <phoneticPr fontId="38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</si>
  <si>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8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</si>
  <si>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</si>
  <si>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개월이</t>
    </r>
    <phoneticPr fontId="38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</si>
  <si>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</si>
  <si>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</si>
  <si>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</si>
  <si>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</si>
  <si>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</si>
  <si>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로 보험료·자기부담금·구상금·면책금·사고처리비용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phoneticPr fontId="38" type="noConversion"/>
  </si>
  <si>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아니한다.</t>
    </r>
    <phoneticPr fontId="38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</si>
  <si>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 충당되며,</t>
    </r>
    <phoneticPr fontId="38" type="noConversion"/>
  </si>
  <si>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2"/>
        <charset val="1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</si>
  <si>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지속되는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</t>
    </r>
    <phoneticPr fontId="38" type="noConversion"/>
  </si>
  <si>
    <r>
      <rPr>
        <sz val="8"/>
        <color rgb="FF2B2B2B"/>
        <rFont val="맑은 고딕"/>
        <family val="3"/>
        <charset val="129"/>
      </rPr>
      <t>하여 계약자에게 독촉·추심할 수 있다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</si>
  <si>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</t>
    </r>
    <phoneticPr fontId="38" type="noConversion"/>
  </si>
  <si>
    <t>기한이익을 상실하고 본 계약은 해지되며, 회사는 유보된 소유권에 근거하여 차량 인도를 청</t>
    <phoneticPr fontId="38" type="noConversion"/>
  </si>
  <si>
    <r>
      <rPr>
        <sz val="8"/>
        <color rgb="FF2B2B2B"/>
        <rFont val="맑은 고딕"/>
        <family val="3"/>
        <charset val="129"/>
      </rPr>
      <t>구하고 제18조에 따른 위약금이 발생한다 (1) 정해진 입금일에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</t>
    </r>
    <phoneticPr fontId="38" type="noConversion"/>
  </si>
  <si>
    <r>
      <rPr>
        <sz val="8"/>
        <color rgb="FF2B2B2B"/>
        <rFont val="맑은 고딕"/>
        <family val="3"/>
        <charset val="129"/>
      </rPr>
      <t>사용자 귀책사유로 배상금이 청구된 후 3일 이내 미납, (4) 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</si>
  <si>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r>
      <rPr>
        <sz val="8"/>
        <color rgb="FF2B2B2B"/>
        <rFont val="맑은 고딕"/>
        <family val="3"/>
        <charset val="129"/>
      </rPr>
      <t>체, (2) 통지받은 수리비·과태료 등을 정당한 사유 없이 5일 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무면허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음주운전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phoneticPr fontId="38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</si>
  <si>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(</t>
    </r>
    <r>
      <rPr>
        <sz val="8"/>
        <color rgb="FF2B2B2B"/>
        <rFont val="맑은 고딕"/>
        <family val="2"/>
        <charset val="129"/>
      </rPr>
      <t xml:space="preserve">포어스바이크 유한회사) 명의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8" type="noConversion"/>
  </si>
  <si>
    <t>이륜차 할부판매 계약서</t>
  </si>
  <si>
    <t>할부판매
기간</t>
  </si>
  <si>
    <t>본인은 본 이륜차 할부판매 계약서와 별지 이용약관의 내용을 전부 설명 듣고 확인하였으며, 본 계약에 따른 권리·의무와 제반 동의 사항에 이의 없이 동의합니다.</t>
  </si>
  <si>
    <t>이륜차 할부판매 계약 이용약관</t>
  </si>
  <si>
    <t>자") 간의 이륜차 할부판매에 관한 권리·의무를 규정함을 목적으로 한다.</t>
  </si>
  <si>
    <t>① "할부판매 계약"이란, 계약자가 요청한 기종의 이륜차를 회사가 판매하고 계약자가 그 대금</t>
  </si>
  <si>
    <t>④ 계약자는 인수형 할부판매라 하더라도 계약기간 만료 및 약정 금액 완납 전에는 이륜차의 소</t>
  </si>
  <si>
    <t>④ 본 계약은 계약자가 보험에 가입하는 할부판매 상품으로 회사는 보험계약의 당사자가 아니므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</si>
</sst>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3"/>
      <charset val="129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b/>
      <sz val="9"/>
      <color rgb="FF1F3864"/>
      <name val="DejaVu Sans"/>
      <family val="3"/>
      <charset val="129"/>
    </font>
    <font>
      <sz val="8"/>
      <color rgb="FF2B2B2B"/>
      <name val="DejaVu Sans"/>
      <family val="2"/>
      <charset val="129"/>
    </font>
    <font>
      <sz val="8"/>
      <color rgb="FF2B2B2B"/>
      <name val="DejaVu Sans"/>
      <family val="1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3"/>
    </font>
    <font>
      <sz val="8"/>
      <name val="DejaVu Sans"/>
      <family val="1"/>
    </font>
    <font>
      <sz val="8"/>
      <name val="Segoe UI Symbol"/>
      <family val="1"/>
    </font>
    <font>
      <sz val="8"/>
      <name val="Arial"/>
      <family val="2"/>
    </font>
    <font>
      <sz val="8"/>
      <name val="맑은 고딕"/>
      <family val="3"/>
      <charset val="129"/>
    </font>
    <font>
      <sz val="8"/>
      <name val="DejaVu Sans"/>
      <charset val="1"/>
    </font>
    <font>
      <sz val="8"/>
      <name val="DejaVu Sans"/>
      <family val="3"/>
      <charset val="129"/>
    </font>
    <font>
      <b/>
      <sz val="9"/>
      <color rgb="FF1F3864"/>
      <name val="Arial"/>
      <family val="2"/>
    </font>
    <font>
      <sz val="8"/>
      <color rgb="FF2B2B2B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AF0F8"/>
        <bgColor rgb="FFE8EE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 indent="1"/>
    </xf>
    <xf numFmtId="0" fontId="25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wrapText="1"/>
    </xf>
    <xf numFmtId="0" fontId="36" fillId="0" borderId="0" xfId="0" applyFont="1" applyAlignment="1">
      <alignment vertical="center"/>
    </xf>
    <xf numFmtId="0" fontId="37" fillId="0" borderId="0" xfId="0" applyFont="1"/>
    <xf numFmtId="0" fontId="34" fillId="0" borderId="0" xfId="0" applyFont="1" applyAlignment="1">
      <alignment vertical="center"/>
    </xf>
    <xf numFmtId="0" fontId="41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  <xf numFmtId="0" fontId="49" fillId="0" borderId="0" xfId="0" applyFont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30" fillId="9" borderId="0" xfId="0" applyFont="1" applyFill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 indent="1"/>
    </xf>
    <xf numFmtId="0" fontId="11" fillId="8" borderId="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24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6640625" defaultRowHeight="14.4"/>
  <cols>
    <col min="1" max="30" width="18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0.75" customHeight="1">
      <c r="A2" s="3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>
        <v>12000</v>
      </c>
      <c r="H2" s="3">
        <v>365</v>
      </c>
      <c r="I2" s="3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honeticPr fontId="38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view="pageBreakPreview" zoomScaleNormal="100" workbookViewId="0">
      <selection activeCell="I23" sqref="I23:J23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1" customWidth="1"/>
    <col min="6" max="6" width="16" customWidth="1"/>
    <col min="7" max="7" width="10" customWidth="1"/>
    <col min="8" max="8" width="16" customWidth="1"/>
    <col min="9" max="9" width="10" customWidth="1"/>
    <col min="10" max="10" width="20.5546875" customWidth="1"/>
    <col min="11" max="11" width="2.1093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spans="1:12" ht="48" customHeight="1">
      <c r="A2" s="5"/>
      <c r="B2" s="27" t="s">
        <v>348</v>
      </c>
      <c r="C2" s="27"/>
      <c r="D2" s="27"/>
      <c r="E2" s="27"/>
      <c r="F2" s="27"/>
      <c r="G2" s="27"/>
      <c r="H2" s="27"/>
      <c r="I2" s="27"/>
      <c r="J2" s="27"/>
      <c r="K2" s="5"/>
      <c r="L2" s="7">
        <v>1</v>
      </c>
    </row>
    <row r="3" spans="1:12" ht="24" customHeight="1">
      <c r="A3" s="5"/>
      <c r="B3" s="28" t="s">
        <v>57</v>
      </c>
      <c r="C3" s="28"/>
      <c r="D3" s="28"/>
      <c r="E3" s="28"/>
      <c r="F3" s="29" t="s">
        <v>0</v>
      </c>
      <c r="G3" s="29"/>
      <c r="H3" s="29"/>
      <c r="I3" s="30" t="str">
        <f>IFERROR(TEXT($L$2,"0000"),"")</f>
        <v>0001</v>
      </c>
      <c r="J3" s="30"/>
      <c r="K3" s="5"/>
      <c r="L3" s="5"/>
    </row>
    <row r="4" spans="1:12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31" t="s">
        <v>58</v>
      </c>
      <c r="C5" s="31"/>
      <c r="D5" s="31"/>
      <c r="E5" s="31"/>
      <c r="F5" s="31"/>
      <c r="G5" s="31"/>
      <c r="H5" s="31"/>
      <c r="I5" s="31"/>
      <c r="J5" s="31"/>
      <c r="K5" s="5"/>
      <c r="L5" s="5"/>
    </row>
    <row r="6" spans="1:12" ht="21.75" customHeight="1">
      <c r="A6" s="5"/>
      <c r="B6" s="1" t="s">
        <v>2</v>
      </c>
      <c r="C6" s="32" t="str">
        <f>IFERROR(IF(VLOOKUP($L$2,계약리스트!$A$2:$AD$10000,3,0)="","",VLOOKUP($L$2,계약리스트!$A$2:$AD$10000,3,0)),"")</f>
        <v>PCX125</v>
      </c>
      <c r="D6" s="32"/>
      <c r="E6" s="1" t="s">
        <v>4</v>
      </c>
      <c r="F6" s="32" t="str">
        <f>IFERROR(IF(VLOOKUP($L$2,계약리스트!$A$2:$AD$10000,5,0)="","",VLOOKUP($L$2,계약리스트!$A$2:$AD$10000,5,0)),"")</f>
        <v>서울바1234</v>
      </c>
      <c r="G6" s="32"/>
      <c r="H6" s="1" t="s">
        <v>5</v>
      </c>
      <c r="I6" s="32" t="str">
        <f>IFERROR(IF(VLOOKUP($L$2,계약리스트!$A$2:$AD$10000,6,0)="","",VLOOKUP($L$2,계약리스트!$A$2:$AD$10000,6,0)),"")</f>
        <v>블랙</v>
      </c>
      <c r="J6" s="32"/>
      <c r="K6" s="5"/>
      <c r="L6" s="5"/>
    </row>
    <row r="7" spans="1:12" ht="21.75" customHeight="1">
      <c r="A7" s="5"/>
      <c r="B7" s="1" t="s">
        <v>3</v>
      </c>
      <c r="C7" s="32" t="str">
        <f>IFERROR(IF(VLOOKUP($L$2,계약리스트!$A$2:$AD$10000,4,0)="","",VLOOKUP($L$2,계약리스트!$A$2:$AD$10000,4,0)),"")</f>
        <v>MLHJF81H2ST000001</v>
      </c>
      <c r="D7" s="32"/>
      <c r="E7" s="1" t="s">
        <v>59</v>
      </c>
      <c r="F7" s="33" t="s">
        <v>60</v>
      </c>
      <c r="G7" s="33"/>
      <c r="H7" s="1" t="s">
        <v>1</v>
      </c>
      <c r="I7" s="32" t="str">
        <f>IFERROR(IF(VLOOKUP($L$2,계약리스트!$A$2:$AD$10000,2,0)="","",VLOOKUP($L$2,계약리스트!$A$2:$AD$10000,2,0)),"")</f>
        <v>2026-04-23</v>
      </c>
      <c r="J7" s="32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31" t="s">
        <v>61</v>
      </c>
      <c r="C9" s="31"/>
      <c r="D9" s="31"/>
      <c r="E9" s="31"/>
      <c r="F9" s="31"/>
      <c r="G9" s="31"/>
      <c r="H9" s="31"/>
      <c r="I9" s="31"/>
      <c r="J9" s="31"/>
      <c r="K9" s="5"/>
      <c r="L9" s="5"/>
    </row>
    <row r="10" spans="1:12" ht="21.75" customHeight="1">
      <c r="A10" s="5"/>
      <c r="B10" s="1" t="s">
        <v>62</v>
      </c>
      <c r="C10" s="32" t="str">
        <f>IFERROR(IF(VLOOKUP($L$2,계약리스트!$A$2:$AD$10000,10,0)="","",VLOOKUP($L$2,계약리스트!$A$2:$AD$10000,10,0)),"")</f>
        <v>홍길동</v>
      </c>
      <c r="D10" s="32"/>
      <c r="E10" s="1" t="s">
        <v>63</v>
      </c>
      <c r="F10" s="32" t="str">
        <f>IFERROR(IF(VLOOKUP($L$2,계약리스트!$A$2:$AD$10000,11,0)="","",VLOOKUP($L$2,계약리스트!$A$2:$AD$10000,11,0)),"")</f>
        <v>900101-1234567</v>
      </c>
      <c r="G10" s="32"/>
      <c r="H10" s="1" t="s">
        <v>64</v>
      </c>
      <c r="I10" s="32" t="str">
        <f>IFERROR(IF(VLOOKUP($L$2,계약리스트!$A$2:$AD$10000,12,0)="","",VLOOKUP($L$2,계약리스트!$A$2:$AD$10000,12,0)),"")</f>
        <v>010-1234-5678</v>
      </c>
      <c r="J10" s="32"/>
      <c r="K10" s="5"/>
      <c r="L10" s="5"/>
    </row>
    <row r="11" spans="1:12" ht="21.75" customHeight="1">
      <c r="A11" s="5"/>
      <c r="B11" s="1" t="s">
        <v>65</v>
      </c>
      <c r="C11" s="33" t="str">
        <f>IFERROR(IF(VLOOKUP($L$2,계약리스트!$A$2:$AD$10000,14,0)="","",VLOOKUP($L$2,계약리스트!$A$2:$AD$10000,14,0)),"")</f>
        <v>서울시 강남구 테헤란로 123</v>
      </c>
      <c r="D11" s="33"/>
      <c r="E11" s="33"/>
      <c r="F11" s="33"/>
      <c r="G11" s="33"/>
      <c r="H11" s="33"/>
      <c r="I11" s="33"/>
      <c r="J11" s="33"/>
      <c r="K11" s="5"/>
      <c r="L11" s="5"/>
    </row>
    <row r="12" spans="1:12" ht="19.5" customHeight="1">
      <c r="A12" s="5"/>
      <c r="B12" s="34" t="s">
        <v>66</v>
      </c>
      <c r="C12" s="34"/>
      <c r="D12" s="34"/>
      <c r="E12" s="34"/>
      <c r="F12" s="34"/>
      <c r="G12" s="34"/>
      <c r="H12" s="34"/>
      <c r="I12" s="34"/>
      <c r="J12" s="34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31" t="s">
        <v>67</v>
      </c>
      <c r="C14" s="31"/>
      <c r="D14" s="31"/>
      <c r="E14" s="31"/>
      <c r="F14" s="31"/>
      <c r="G14" s="31"/>
      <c r="H14" s="31"/>
      <c r="I14" s="31"/>
      <c r="J14" s="31"/>
      <c r="K14" s="5"/>
      <c r="L14" s="5"/>
    </row>
    <row r="15" spans="1:12" ht="21.75" customHeight="1">
      <c r="A15" s="5"/>
      <c r="B15" s="1" t="s">
        <v>68</v>
      </c>
      <c r="C15" s="32" t="str">
        <f>IFERROR(IF(VLOOKUP($L$2,계약리스트!$A$2:$AD$10000,18,0)="","",VLOOKUP($L$2,계약리스트!$A$2:$AD$10000,18,0)),"")</f>
        <v>(주)퀵배달</v>
      </c>
      <c r="D15" s="32"/>
      <c r="E15" s="1" t="s">
        <v>69</v>
      </c>
      <c r="F15" s="32" t="str">
        <f>IFERROR(IF(VLOOKUP($L$2,계약리스트!$A$2:$AD$10000,19,0)="","",VLOOKUP($L$2,계약리스트!$A$2:$AD$10000,19,0)),"")</f>
        <v>123-45-67890</v>
      </c>
      <c r="G15" s="32"/>
      <c r="H15" s="1" t="s">
        <v>70</v>
      </c>
      <c r="I15" s="32" t="str">
        <f>IFERROR(IF(VLOOKUP($L$2,계약리스트!$A$2:$AD$10000,25,0)="","",VLOOKUP($L$2,계약리스트!$A$2:$AD$10000,25,0)),"")</f>
        <v>biz@example.com</v>
      </c>
      <c r="J15" s="32"/>
      <c r="K15" s="5"/>
      <c r="L15" s="5"/>
    </row>
    <row r="16" spans="1:12" ht="21.75" customHeight="1">
      <c r="A16" s="5"/>
      <c r="B16" s="1" t="s">
        <v>71</v>
      </c>
      <c r="C16" s="32" t="str">
        <f>IFERROR(IF(VLOOKUP($L$2,계약리스트!$A$2:$AD$10000,20,0)="","",VLOOKUP($L$2,계약리스트!$A$2:$AD$10000,20,0)),"")</f>
        <v>김대표</v>
      </c>
      <c r="D16" s="32"/>
      <c r="E16" s="1" t="s">
        <v>72</v>
      </c>
      <c r="F16" s="32" t="str">
        <f>IFERROR(IF(VLOOKUP($L$2,계약리스트!$A$2:$AD$10000,21,0)="","",VLOOKUP($L$2,계약리스트!$A$2:$AD$10000,21,0)),"")</f>
        <v>700101-1234567</v>
      </c>
      <c r="G16" s="32"/>
      <c r="H16" s="1" t="s">
        <v>73</v>
      </c>
      <c r="I16" s="32" t="str">
        <f>IFERROR(IF(VLOOKUP($L$2,계약리스트!$A$2:$AD$10000,22,0)="","",VLOOKUP($L$2,계약리스트!$A$2:$AD$10000,22,0)),"")</f>
        <v>010-9876-5432</v>
      </c>
      <c r="J16" s="32"/>
      <c r="K16" s="5"/>
      <c r="L16" s="5"/>
    </row>
    <row r="17" spans="1:12" ht="21.75" customHeight="1">
      <c r="A17" s="5"/>
      <c r="B17" s="1" t="s">
        <v>74</v>
      </c>
      <c r="C17" s="33" t="str">
        <f>IFERROR(IF(VLOOKUP($L$2,계약리스트!$A$2:$AD$10000,23,0)="","",VLOOKUP($L$2,계약리스트!$A$2:$AD$10000,23,0)),"")</f>
        <v>서울시 강남구 봉은사로 100</v>
      </c>
      <c r="D17" s="33"/>
      <c r="E17" s="33"/>
      <c r="F17" s="33"/>
      <c r="G17" s="33"/>
      <c r="H17" s="33"/>
      <c r="I17" s="33"/>
      <c r="J17" s="33"/>
      <c r="K17" s="5"/>
      <c r="L17" s="5"/>
    </row>
    <row r="18" spans="1:12" ht="21.75" customHeight="1">
      <c r="A18" s="5"/>
      <c r="B18" s="1" t="s">
        <v>75</v>
      </c>
      <c r="C18" s="33" t="str">
        <f>IFERROR(IF(VLOOKUP($L$2,계약리스트!$A$2:$AD$10000,24,0)="","",VLOOKUP($L$2,계약리스트!$A$2:$AD$10000,24,0)),"")</f>
        <v>서울시 송파구 잠실동 200</v>
      </c>
      <c r="D18" s="33"/>
      <c r="E18" s="33"/>
      <c r="F18" s="33"/>
      <c r="G18" s="33"/>
      <c r="H18" s="33"/>
      <c r="I18" s="33"/>
      <c r="J18" s="33"/>
      <c r="K18" s="5"/>
      <c r="L18" s="5"/>
    </row>
    <row r="19" spans="1:12" ht="21.75" customHeight="1">
      <c r="A19" s="5"/>
      <c r="B19" s="34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34"/>
      <c r="D19" s="34"/>
      <c r="E19" s="34"/>
      <c r="F19" s="34"/>
      <c r="G19" s="34"/>
      <c r="H19" s="34"/>
      <c r="I19" s="34"/>
      <c r="J19" s="34"/>
      <c r="K19" s="5"/>
      <c r="L19" s="5"/>
    </row>
    <row r="20" spans="1:12" ht="7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.5" customHeight="1">
      <c r="A21" s="5"/>
      <c r="B21" s="31" t="s">
        <v>76</v>
      </c>
      <c r="C21" s="31"/>
      <c r="D21" s="31"/>
      <c r="E21" s="31"/>
      <c r="F21" s="31"/>
      <c r="G21" s="31"/>
      <c r="H21" s="31"/>
      <c r="I21" s="31"/>
      <c r="J21" s="31"/>
      <c r="K21" s="5"/>
      <c r="L21" s="5"/>
    </row>
    <row r="22" spans="1:12" ht="21.75" customHeight="1">
      <c r="A22" s="5"/>
      <c r="B22" s="1" t="s">
        <v>25</v>
      </c>
      <c r="C22" s="32" t="str">
        <f>IFERROR(IF(VLOOKUP($L$2,계약리스트!$A$2:$AD$10000,26,0)="","",VLOOKUP($L$2,계약리스트!$A$2:$AD$10000,26,0)),"")</f>
        <v>할부 판매</v>
      </c>
      <c r="D22" s="32"/>
      <c r="E22" s="1" t="s">
        <v>26</v>
      </c>
      <c r="F22" s="32" t="str">
        <f>IFERROR(IF(VLOOKUP($L$2,계약리스트!$A$2:$AD$10000,27,0)="","",VLOOKUP($L$2,계약리스트!$A$2:$AD$10000,27,0)),"")</f>
        <v>인수형</v>
      </c>
      <c r="G22" s="32"/>
      <c r="H22" s="1" t="s">
        <v>349</v>
      </c>
      <c r="I22" s="32" t="str">
        <f>IFERROR(VLOOKUP($L$2,계약리스트!$A$2:$AD$10000,8,0)&amp;"일","")</f>
        <v>365일</v>
      </c>
      <c r="J22" s="32"/>
      <c r="K22" s="5"/>
      <c r="L22" s="5"/>
    </row>
    <row r="23" spans="1:12" ht="21.75" customHeight="1">
      <c r="A23" s="5"/>
      <c r="B23" s="1" t="s">
        <v>77</v>
      </c>
      <c r="C23" s="32" t="str">
        <f>IFERROR(TEXT(VLOOKUP($L$2,계약리스트!$A$2:$AD$10000,7,0),"#,##0")&amp;" 원","")</f>
        <v>12,000 원</v>
      </c>
      <c r="D23" s="32"/>
      <c r="E23" s="1" t="s">
        <v>8</v>
      </c>
      <c r="F23" s="32" t="str">
        <f>IFERROR(TEXT(VLOOKUP($L$2,계약리스트!$A$2:$AD$10000,9,0),"#,##0")&amp;" 원","")</f>
        <v>300,000 원</v>
      </c>
      <c r="G23" s="32"/>
      <c r="H23" s="1" t="s">
        <v>29</v>
      </c>
      <c r="I23" s="32" t="str">
        <f>IFERROR(IF(VLOOKUP($L$2,계약리스트!$A$2:$AD$10000,30,0)="","",VLOOKUP($L$2,계약리스트!$A$2:$AD$10000,30,0)),"")</f>
        <v>월2회(15일, 말일)</v>
      </c>
      <c r="J23" s="32"/>
      <c r="K23" s="5"/>
      <c r="L23" s="5"/>
    </row>
    <row r="24" spans="1:12" ht="21.75" customHeight="1">
      <c r="A24" s="5"/>
      <c r="B24" s="1" t="s">
        <v>27</v>
      </c>
      <c r="C24" s="33" t="s">
        <v>53</v>
      </c>
      <c r="D24" s="33"/>
      <c r="E24" s="1" t="s">
        <v>78</v>
      </c>
      <c r="F24" s="33" t="s">
        <v>79</v>
      </c>
      <c r="G24" s="33"/>
      <c r="H24" s="33"/>
      <c r="I24" s="33"/>
      <c r="J24" s="33"/>
      <c r="K24" s="5"/>
      <c r="L24" s="5"/>
    </row>
    <row r="25" spans="1:12" ht="21.75" customHeight="1">
      <c r="A25" s="5"/>
      <c r="B25" s="1" t="s">
        <v>28</v>
      </c>
      <c r="C25" s="33" t="s">
        <v>54</v>
      </c>
      <c r="D25" s="33"/>
      <c r="E25" s="33"/>
      <c r="F25" s="33"/>
      <c r="G25" s="33"/>
      <c r="H25" s="33"/>
      <c r="I25" s="33"/>
      <c r="J25" s="33"/>
      <c r="K25" s="5"/>
      <c r="L25" s="5"/>
    </row>
    <row r="26" spans="1:12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5.5" customHeight="1">
      <c r="A27" s="5"/>
      <c r="B27" s="31" t="s">
        <v>80</v>
      </c>
      <c r="C27" s="31"/>
      <c r="D27" s="31"/>
      <c r="E27" s="31"/>
      <c r="F27" s="31"/>
      <c r="G27" s="31"/>
      <c r="H27" s="31"/>
      <c r="I27" s="31"/>
      <c r="J27" s="31"/>
      <c r="K27" s="5"/>
      <c r="L27" s="5"/>
    </row>
    <row r="28" spans="1:12" ht="21.75" customHeight="1">
      <c r="A28" s="5"/>
      <c r="B28" s="1" t="s">
        <v>81</v>
      </c>
      <c r="C28" s="33" t="s">
        <v>57</v>
      </c>
      <c r="D28" s="33"/>
      <c r="E28" s="1" t="s">
        <v>69</v>
      </c>
      <c r="F28" s="32" t="s">
        <v>82</v>
      </c>
      <c r="G28" s="32"/>
      <c r="H28" s="1" t="s">
        <v>83</v>
      </c>
      <c r="I28" s="33" t="s">
        <v>84</v>
      </c>
      <c r="J28" s="33"/>
      <c r="K28" s="5"/>
      <c r="L28" s="5"/>
    </row>
    <row r="29" spans="1:12" ht="21.75" customHeight="1">
      <c r="A29" s="5"/>
      <c r="B29" s="1" t="s">
        <v>65</v>
      </c>
      <c r="C29" s="33" t="s">
        <v>85</v>
      </c>
      <c r="D29" s="33"/>
      <c r="E29" s="33"/>
      <c r="F29" s="33"/>
      <c r="G29" s="1" t="s">
        <v>86</v>
      </c>
      <c r="H29" s="32" t="s">
        <v>87</v>
      </c>
      <c r="I29" s="32"/>
      <c r="J29" s="32"/>
      <c r="K29" s="5"/>
      <c r="L29" s="5"/>
    </row>
    <row r="30" spans="1:12" ht="7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5.5" customHeight="1">
      <c r="A31" s="5"/>
      <c r="B31" s="31" t="s">
        <v>88</v>
      </c>
      <c r="C31" s="31"/>
      <c r="D31" s="31"/>
      <c r="E31" s="31"/>
      <c r="F31" s="31"/>
      <c r="G31" s="31"/>
      <c r="H31" s="31"/>
      <c r="I31" s="31"/>
      <c r="J31" s="31"/>
      <c r="K31" s="5"/>
      <c r="L31" s="5"/>
    </row>
    <row r="32" spans="1:12" ht="27.75" customHeight="1">
      <c r="A32" s="5"/>
      <c r="B32" s="35" t="s">
        <v>89</v>
      </c>
      <c r="C32" s="35"/>
      <c r="D32" s="35"/>
      <c r="E32" s="35"/>
      <c r="F32" s="35"/>
      <c r="G32" s="35"/>
      <c r="H32" s="35"/>
      <c r="I32" s="35"/>
      <c r="J32" s="35"/>
      <c r="K32" s="5"/>
      <c r="L32" s="5"/>
    </row>
    <row r="33" spans="1:12" ht="27.75" customHeight="1">
      <c r="A33" s="5"/>
      <c r="B33" s="36" t="s">
        <v>90</v>
      </c>
      <c r="C33" s="36"/>
      <c r="D33" s="36"/>
      <c r="E33" s="36"/>
      <c r="F33" s="36"/>
      <c r="G33" s="36"/>
      <c r="H33" s="36"/>
      <c r="I33" s="36"/>
      <c r="J33" s="36"/>
      <c r="K33" s="5"/>
      <c r="L33" s="5"/>
    </row>
    <row r="34" spans="1:12" ht="27.75" customHeight="1">
      <c r="A34" s="5"/>
      <c r="B34" s="35" t="s">
        <v>91</v>
      </c>
      <c r="C34" s="35"/>
      <c r="D34" s="35"/>
      <c r="E34" s="35"/>
      <c r="F34" s="35"/>
      <c r="G34" s="35"/>
      <c r="H34" s="35"/>
      <c r="I34" s="35"/>
      <c r="J34" s="35"/>
      <c r="K34" s="5"/>
      <c r="L34" s="5"/>
    </row>
    <row r="35" spans="1:12" ht="27.75" customHeight="1">
      <c r="A35" s="5"/>
      <c r="B35" s="36" t="s">
        <v>92</v>
      </c>
      <c r="C35" s="36"/>
      <c r="D35" s="36"/>
      <c r="E35" s="36"/>
      <c r="F35" s="36"/>
      <c r="G35" s="36"/>
      <c r="H35" s="36"/>
      <c r="I35" s="36"/>
      <c r="J35" s="36"/>
      <c r="K35" s="5"/>
      <c r="L35" s="5"/>
    </row>
    <row r="36" spans="1:12" ht="27.75" customHeight="1">
      <c r="A36" s="5"/>
      <c r="B36" s="35" t="s">
        <v>93</v>
      </c>
      <c r="C36" s="35"/>
      <c r="D36" s="35"/>
      <c r="E36" s="35"/>
      <c r="F36" s="35"/>
      <c r="G36" s="35"/>
      <c r="H36" s="35"/>
      <c r="I36" s="35"/>
      <c r="J36" s="35"/>
      <c r="K36" s="5"/>
      <c r="L36" s="5"/>
    </row>
    <row r="37" spans="1:12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5.5" customHeight="1">
      <c r="A38" s="5"/>
      <c r="B38" s="37" t="s">
        <v>94</v>
      </c>
      <c r="C38" s="37"/>
      <c r="D38" s="37"/>
      <c r="E38" s="37"/>
      <c r="F38" s="37"/>
      <c r="G38" s="37"/>
      <c r="H38" s="37"/>
      <c r="I38" s="37"/>
      <c r="J38" s="37"/>
      <c r="K38" s="5"/>
      <c r="L38" s="5"/>
    </row>
    <row r="39" spans="1:12" ht="27.75" customHeight="1">
      <c r="A39" s="5"/>
      <c r="B39" s="38" t="s">
        <v>95</v>
      </c>
      <c r="C39" s="38"/>
      <c r="D39" s="39" t="s">
        <v>96</v>
      </c>
      <c r="E39" s="39"/>
      <c r="F39" s="39"/>
      <c r="G39" s="39"/>
      <c r="H39" s="39"/>
      <c r="I39" s="39"/>
      <c r="J39" s="39"/>
      <c r="K39" s="5"/>
      <c r="L39" s="5"/>
    </row>
    <row r="40" spans="1:12" ht="27.75" customHeight="1">
      <c r="A40" s="5"/>
      <c r="B40" s="38" t="s">
        <v>97</v>
      </c>
      <c r="C40" s="38"/>
      <c r="D40" s="39" t="s">
        <v>98</v>
      </c>
      <c r="E40" s="39"/>
      <c r="F40" s="39"/>
      <c r="G40" s="39"/>
      <c r="H40" s="39"/>
      <c r="I40" s="39"/>
      <c r="J40" s="39"/>
      <c r="K40" s="5"/>
      <c r="L40" s="5"/>
    </row>
    <row r="41" spans="1:12" ht="27.75" customHeight="1">
      <c r="A41" s="5"/>
      <c r="B41" s="38" t="s">
        <v>99</v>
      </c>
      <c r="C41" s="38"/>
      <c r="D41" s="39" t="s">
        <v>100</v>
      </c>
      <c r="E41" s="39"/>
      <c r="F41" s="39"/>
      <c r="G41" s="39"/>
      <c r="H41" s="39"/>
      <c r="I41" s="39"/>
      <c r="J41" s="39"/>
      <c r="K41" s="5"/>
      <c r="L41" s="5"/>
    </row>
    <row r="42" spans="1:12" ht="27.75" customHeight="1">
      <c r="A42" s="5"/>
      <c r="B42" s="38" t="s">
        <v>101</v>
      </c>
      <c r="C42" s="38"/>
      <c r="D42" s="39" t="s">
        <v>102</v>
      </c>
      <c r="E42" s="39"/>
      <c r="F42" s="39"/>
      <c r="G42" s="39"/>
      <c r="H42" s="39"/>
      <c r="I42" s="39"/>
      <c r="J42" s="39"/>
      <c r="K42" s="5"/>
      <c r="L42" s="5"/>
    </row>
    <row r="43" spans="1:12" ht="27.75" customHeight="1">
      <c r="A43" s="5"/>
      <c r="B43" s="38" t="s">
        <v>103</v>
      </c>
      <c r="C43" s="38"/>
      <c r="D43" s="39" t="s">
        <v>104</v>
      </c>
      <c r="E43" s="39"/>
      <c r="F43" s="39"/>
      <c r="G43" s="39"/>
      <c r="H43" s="39"/>
      <c r="I43" s="39"/>
      <c r="J43" s="39"/>
      <c r="K43" s="5"/>
      <c r="L43" s="5"/>
    </row>
    <row r="44" spans="1:12" ht="27.75" customHeight="1">
      <c r="A44" s="5"/>
      <c r="B44" s="38" t="s">
        <v>105</v>
      </c>
      <c r="C44" s="38"/>
      <c r="D44" s="39" t="s">
        <v>106</v>
      </c>
      <c r="E44" s="39"/>
      <c r="F44" s="39"/>
      <c r="G44" s="39"/>
      <c r="H44" s="39"/>
      <c r="I44" s="39"/>
      <c r="J44" s="39"/>
      <c r="K44" s="5"/>
      <c r="L44" s="5"/>
    </row>
    <row r="45" spans="1:12" ht="25.5" customHeight="1">
      <c r="A45" s="5"/>
      <c r="B45" s="40" t="s">
        <v>107</v>
      </c>
      <c r="C45" s="40"/>
      <c r="D45" s="40"/>
      <c r="E45" s="40"/>
      <c r="F45" s="40"/>
      <c r="G45" s="40"/>
      <c r="H45" s="40"/>
      <c r="I45" s="40"/>
      <c r="J45" s="40"/>
      <c r="K45" s="5"/>
      <c r="L45" s="5"/>
    </row>
    <row r="46" spans="1:12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5.5" customHeight="1">
      <c r="A47" s="5"/>
      <c r="B47" s="31" t="s">
        <v>108</v>
      </c>
      <c r="C47" s="31"/>
      <c r="D47" s="31"/>
      <c r="E47" s="31"/>
      <c r="F47" s="31"/>
      <c r="G47" s="31"/>
      <c r="H47" s="31"/>
      <c r="I47" s="31"/>
      <c r="J47" s="31"/>
      <c r="K47" s="5"/>
      <c r="L47" s="5"/>
    </row>
    <row r="48" spans="1:12" ht="31.5" customHeight="1">
      <c r="A48" s="5"/>
      <c r="B48" s="41" t="s">
        <v>350</v>
      </c>
      <c r="C48" s="41"/>
      <c r="D48" s="41"/>
      <c r="E48" s="41"/>
      <c r="F48" s="41"/>
      <c r="G48" s="41"/>
      <c r="H48" s="41"/>
      <c r="I48" s="41"/>
      <c r="J48" s="41"/>
      <c r="K48" s="5"/>
      <c r="L48" s="5"/>
    </row>
    <row r="49" spans="1:12" ht="48" customHeight="1">
      <c r="A49" s="5"/>
      <c r="B49" s="1" t="s">
        <v>109</v>
      </c>
      <c r="C49" s="42" t="str">
        <f>IFERROR(IF(VLOOKUP($L$2,계약리스트!$A$2:$AD$10000,10,0)="","",VLOOKUP($L$2,계약리스트!$A$2:$AD$10000,10,0)),"")</f>
        <v>홍길동</v>
      </c>
      <c r="D49" s="42"/>
      <c r="E49" s="42"/>
      <c r="F49" s="8" t="s">
        <v>110</v>
      </c>
      <c r="G49" s="1" t="s">
        <v>111</v>
      </c>
      <c r="H49" s="43" t="str">
        <f>IFERROR(IF(VLOOKUP($L$2,계약리스트!$A$2:$AD$10000,18,0)="","",VLOOKUP($L$2,계약리스트!$A$2:$AD$10000,18,0)),"")</f>
        <v>(주)퀵배달</v>
      </c>
      <c r="I49" s="43"/>
      <c r="J49" s="8" t="s">
        <v>110</v>
      </c>
      <c r="K49" s="5"/>
      <c r="L49" s="5"/>
    </row>
    <row r="50" spans="1:12" ht="24" customHeight="1">
      <c r="A50" s="5"/>
      <c r="B50" s="38" t="s">
        <v>112</v>
      </c>
      <c r="C50" s="38"/>
      <c r="D50" s="38"/>
      <c r="E50" s="38"/>
      <c r="F50" s="41" t="s">
        <v>57</v>
      </c>
      <c r="G50" s="41"/>
      <c r="H50" s="41"/>
      <c r="I50" s="41"/>
      <c r="J50" s="8" t="s">
        <v>110</v>
      </c>
      <c r="K50" s="5"/>
      <c r="L50" s="5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69">
    <mergeCell ref="B47:J47"/>
    <mergeCell ref="B48:J48"/>
    <mergeCell ref="C49:E49"/>
    <mergeCell ref="H49:I49"/>
    <mergeCell ref="B50:E50"/>
    <mergeCell ref="F50:I50"/>
    <mergeCell ref="B43:C43"/>
    <mergeCell ref="D43:J43"/>
    <mergeCell ref="B44:C44"/>
    <mergeCell ref="D44:J44"/>
    <mergeCell ref="B45:J45"/>
    <mergeCell ref="B40:C40"/>
    <mergeCell ref="D40:J40"/>
    <mergeCell ref="B41:C41"/>
    <mergeCell ref="D41:J41"/>
    <mergeCell ref="B42:C42"/>
    <mergeCell ref="D42:J42"/>
    <mergeCell ref="B34:J34"/>
    <mergeCell ref="B35:J35"/>
    <mergeCell ref="B36:J36"/>
    <mergeCell ref="B38:J38"/>
    <mergeCell ref="B39:C39"/>
    <mergeCell ref="D39:J39"/>
    <mergeCell ref="C29:F29"/>
    <mergeCell ref="H29:J29"/>
    <mergeCell ref="B31:J31"/>
    <mergeCell ref="B32:J32"/>
    <mergeCell ref="B33:J33"/>
    <mergeCell ref="C25:J25"/>
    <mergeCell ref="B27:J27"/>
    <mergeCell ref="C28:D28"/>
    <mergeCell ref="F28:G28"/>
    <mergeCell ref="I28:J28"/>
    <mergeCell ref="C23:D23"/>
    <mergeCell ref="F23:G23"/>
    <mergeCell ref="I23:J23"/>
    <mergeCell ref="C24:D24"/>
    <mergeCell ref="F24:J24"/>
    <mergeCell ref="B19:J19"/>
    <mergeCell ref="B21:J21"/>
    <mergeCell ref="C22:D22"/>
    <mergeCell ref="F22:G22"/>
    <mergeCell ref="I22:J22"/>
    <mergeCell ref="C16:D16"/>
    <mergeCell ref="F16:G16"/>
    <mergeCell ref="I16:J16"/>
    <mergeCell ref="C17:J17"/>
    <mergeCell ref="C18:J18"/>
    <mergeCell ref="B12:J12"/>
    <mergeCell ref="B14:J14"/>
    <mergeCell ref="C15:D15"/>
    <mergeCell ref="F15:G15"/>
    <mergeCell ref="I15:J15"/>
    <mergeCell ref="B9:J9"/>
    <mergeCell ref="C10:D10"/>
    <mergeCell ref="F10:G10"/>
    <mergeCell ref="I10:J10"/>
    <mergeCell ref="C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8" type="noConversion"/>
  <printOptions horizontalCentered="1"/>
  <pageMargins left="0.3" right="0.3" top="0.4" bottom="0.4" header="0.511811023622047" footer="0.511811023622047"/>
  <pageSetup paperSize="9" scale="6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9"/>
  <sheetViews>
    <sheetView showGridLines="0" tabSelected="1" view="pageBreakPreview" topLeftCell="A38" zoomScale="115" zoomScaleNormal="100" zoomScaleSheetLayoutView="115" zoomScalePageLayoutView="115" workbookViewId="0">
      <selection activeCell="B62" sqref="B62"/>
    </sheetView>
  </sheetViews>
  <sheetFormatPr defaultColWidth="8.6640625" defaultRowHeight="14.4"/>
  <cols>
    <col min="1" max="1" width="2" customWidth="1"/>
    <col min="2" max="2" width="62.21875" customWidth="1"/>
    <col min="3" max="3" width="1.5546875" customWidth="1"/>
    <col min="4" max="4" width="62.21875" customWidth="1"/>
    <col min="5" max="5" width="2" customWidth="1"/>
  </cols>
  <sheetData>
    <row r="1" spans="2:4" ht="31.5" customHeight="1">
      <c r="B1" s="44" t="s">
        <v>351</v>
      </c>
      <c r="C1" s="44"/>
      <c r="D1" s="44"/>
    </row>
    <row r="3" spans="2:4" ht="14.25" customHeight="1">
      <c r="B3" s="9" t="s">
        <v>113</v>
      </c>
      <c r="D3" s="13" t="s">
        <v>226</v>
      </c>
    </row>
    <row r="4" spans="2:4" ht="14.25" customHeight="1">
      <c r="B4" s="10" t="s">
        <v>114</v>
      </c>
      <c r="D4" s="13" t="s">
        <v>328</v>
      </c>
    </row>
    <row r="5" spans="2:4" ht="14.25" customHeight="1">
      <c r="B5" s="10" t="s">
        <v>352</v>
      </c>
      <c r="D5" s="13" t="s">
        <v>329</v>
      </c>
    </row>
    <row r="6" spans="2:4" ht="14.25" customHeight="1">
      <c r="B6" s="11"/>
      <c r="D6" s="21" t="s">
        <v>227</v>
      </c>
    </row>
    <row r="7" spans="2:4" ht="14.25" customHeight="1">
      <c r="B7" s="9" t="s">
        <v>115</v>
      </c>
      <c r="D7" s="13" t="s">
        <v>330</v>
      </c>
    </row>
    <row r="8" spans="2:4" ht="14.25" customHeight="1">
      <c r="B8" s="12" t="s">
        <v>353</v>
      </c>
      <c r="D8" s="13" t="s">
        <v>331</v>
      </c>
    </row>
    <row r="9" spans="2:4" ht="14.25" customHeight="1">
      <c r="B9" s="13" t="s">
        <v>206</v>
      </c>
      <c r="D9" s="21" t="s">
        <v>228</v>
      </c>
    </row>
    <row r="10" spans="2:4" ht="14.25" customHeight="1">
      <c r="B10" s="12" t="s">
        <v>207</v>
      </c>
      <c r="D10" s="13" t="s">
        <v>332</v>
      </c>
    </row>
    <row r="11" spans="2:4" ht="14.25" customHeight="1">
      <c r="B11" s="13" t="s">
        <v>208</v>
      </c>
      <c r="D11" s="21" t="s">
        <v>229</v>
      </c>
    </row>
    <row r="12" spans="2:4" ht="14.25" customHeight="1">
      <c r="B12" s="12" t="s">
        <v>306</v>
      </c>
      <c r="D12" s="13" t="s">
        <v>333</v>
      </c>
    </row>
    <row r="13" spans="2:4" ht="14.25" customHeight="1">
      <c r="B13" s="12" t="s">
        <v>307</v>
      </c>
      <c r="D13" s="21" t="s">
        <v>230</v>
      </c>
    </row>
    <row r="14" spans="2:4" ht="14.25" customHeight="1">
      <c r="B14" s="13" t="s">
        <v>308</v>
      </c>
      <c r="D14" s="13" t="s">
        <v>334</v>
      </c>
    </row>
    <row r="15" spans="2:4" ht="14.25" customHeight="1">
      <c r="B15" s="12" t="s">
        <v>309</v>
      </c>
    </row>
    <row r="16" spans="2:4" ht="14.25" customHeight="1">
      <c r="B16" s="12" t="s">
        <v>310</v>
      </c>
      <c r="D16" s="9" t="s">
        <v>116</v>
      </c>
    </row>
    <row r="17" spans="2:4" ht="14.25" customHeight="1">
      <c r="B17" s="12" t="s">
        <v>311</v>
      </c>
      <c r="D17" s="21" t="s">
        <v>231</v>
      </c>
    </row>
    <row r="18" spans="2:4" ht="14.25" customHeight="1">
      <c r="B18" s="13" t="s">
        <v>312</v>
      </c>
      <c r="D18" s="13" t="s">
        <v>347</v>
      </c>
    </row>
    <row r="19" spans="2:4" ht="14.25" customHeight="1">
      <c r="B19" s="12" t="s">
        <v>313</v>
      </c>
      <c r="D19" s="21" t="s">
        <v>232</v>
      </c>
    </row>
    <row r="20" spans="2:4" ht="14.25" customHeight="1">
      <c r="B20" s="13" t="s">
        <v>314</v>
      </c>
      <c r="D20" s="10" t="s">
        <v>117</v>
      </c>
    </row>
    <row r="21" spans="2:4" ht="14.25" customHeight="1">
      <c r="B21" s="12" t="s">
        <v>315</v>
      </c>
      <c r="D21" s="21" t="s">
        <v>233</v>
      </c>
    </row>
    <row r="22" spans="2:4" ht="14.25" customHeight="1">
      <c r="B22" s="10" t="s">
        <v>118</v>
      </c>
      <c r="D22" s="10" t="s">
        <v>119</v>
      </c>
    </row>
    <row r="23" spans="2:4" ht="14.25" customHeight="1">
      <c r="B23" s="12" t="s">
        <v>316</v>
      </c>
      <c r="D23" s="21" t="s">
        <v>234</v>
      </c>
    </row>
    <row r="24" spans="2:4" ht="14.25" customHeight="1">
      <c r="B24" s="10"/>
      <c r="D24" s="10" t="s">
        <v>121</v>
      </c>
    </row>
    <row r="25" spans="2:4" ht="14.25" customHeight="1">
      <c r="B25" s="9" t="s">
        <v>120</v>
      </c>
      <c r="D25" s="21" t="s">
        <v>235</v>
      </c>
    </row>
    <row r="26" spans="2:4" ht="14.25" customHeight="1">
      <c r="B26" s="21" t="s">
        <v>209</v>
      </c>
      <c r="D26" s="13" t="s">
        <v>236</v>
      </c>
    </row>
    <row r="27" spans="2:4" ht="14.25" customHeight="1">
      <c r="B27" s="13" t="s">
        <v>210</v>
      </c>
      <c r="D27" s="21" t="s">
        <v>237</v>
      </c>
    </row>
    <row r="28" spans="2:4" ht="14.25" customHeight="1">
      <c r="B28" s="21" t="s">
        <v>211</v>
      </c>
      <c r="D28" s="13" t="s">
        <v>340</v>
      </c>
    </row>
    <row r="29" spans="2:4" ht="14.25" customHeight="1">
      <c r="D29" s="13" t="s">
        <v>341</v>
      </c>
    </row>
    <row r="30" spans="2:4" ht="14.25" customHeight="1">
      <c r="B30" s="9" t="s">
        <v>122</v>
      </c>
    </row>
    <row r="31" spans="2:4" ht="14.25" customHeight="1">
      <c r="B31" s="21" t="s">
        <v>212</v>
      </c>
      <c r="D31" s="9" t="s">
        <v>124</v>
      </c>
    </row>
    <row r="32" spans="2:4" ht="14.25" customHeight="1">
      <c r="B32" s="10" t="s">
        <v>123</v>
      </c>
      <c r="D32" s="21" t="s">
        <v>238</v>
      </c>
    </row>
    <row r="33" spans="2:4" ht="14.25" customHeight="1">
      <c r="B33" s="21" t="s">
        <v>213</v>
      </c>
      <c r="D33" s="13" t="s">
        <v>239</v>
      </c>
    </row>
    <row r="34" spans="2:4" ht="14.25" customHeight="1">
      <c r="B34" s="10" t="s">
        <v>125</v>
      </c>
      <c r="D34" s="21" t="s">
        <v>240</v>
      </c>
    </row>
    <row r="35" spans="2:4" ht="14.25" customHeight="1">
      <c r="B35" s="10"/>
      <c r="D35" s="21" t="s">
        <v>241</v>
      </c>
    </row>
    <row r="36" spans="2:4" ht="14.25" customHeight="1">
      <c r="B36" s="9" t="s">
        <v>126</v>
      </c>
      <c r="D36" s="13" t="s">
        <v>242</v>
      </c>
    </row>
    <row r="37" spans="2:4" ht="14.25" customHeight="1">
      <c r="B37" s="21" t="s">
        <v>214</v>
      </c>
      <c r="D37" s="13" t="s">
        <v>243</v>
      </c>
    </row>
    <row r="38" spans="2:4" ht="14.25" customHeight="1">
      <c r="B38" s="10" t="s">
        <v>127</v>
      </c>
      <c r="D38" s="21" t="s">
        <v>244</v>
      </c>
    </row>
    <row r="39" spans="2:4" ht="14.25" customHeight="1">
      <c r="B39" s="13" t="s">
        <v>128</v>
      </c>
      <c r="D39" s="21" t="s">
        <v>245</v>
      </c>
    </row>
    <row r="40" spans="2:4" ht="14.25" customHeight="1">
      <c r="B40" s="21" t="s">
        <v>215</v>
      </c>
      <c r="D40" s="10" t="s">
        <v>129</v>
      </c>
    </row>
    <row r="41" spans="2:4" ht="14.25" customHeight="1">
      <c r="B41" s="21" t="s">
        <v>216</v>
      </c>
    </row>
    <row r="42" spans="2:4" ht="14.25" customHeight="1">
      <c r="B42" s="10" t="s">
        <v>130</v>
      </c>
      <c r="D42" s="9" t="s">
        <v>132</v>
      </c>
    </row>
    <row r="43" spans="2:4" ht="14.25" customHeight="1">
      <c r="B43" s="10" t="s">
        <v>131</v>
      </c>
      <c r="D43" s="21" t="s">
        <v>246</v>
      </c>
    </row>
    <row r="44" spans="2:4" ht="14.25" customHeight="1">
      <c r="B44" s="10" t="s">
        <v>133</v>
      </c>
      <c r="D44" s="10" t="s">
        <v>134</v>
      </c>
    </row>
    <row r="45" spans="2:4" ht="14.25" customHeight="1">
      <c r="B45" s="21" t="s">
        <v>354</v>
      </c>
      <c r="D45" s="10" t="s">
        <v>136</v>
      </c>
    </row>
    <row r="46" spans="2:4" ht="14.25" customHeight="1">
      <c r="B46" s="10" t="s">
        <v>135</v>
      </c>
      <c r="D46" s="21" t="s">
        <v>247</v>
      </c>
    </row>
    <row r="47" spans="2:4" ht="14.25" customHeight="1">
      <c r="B47" s="21" t="s">
        <v>217</v>
      </c>
      <c r="D47" s="10" t="s">
        <v>138</v>
      </c>
    </row>
    <row r="48" spans="2:4" ht="14.25" customHeight="1">
      <c r="B48" s="10" t="s">
        <v>137</v>
      </c>
      <c r="D48" s="21" t="s">
        <v>249</v>
      </c>
    </row>
    <row r="49" spans="2:4" ht="14.25" customHeight="1">
      <c r="B49" s="10" t="s">
        <v>139</v>
      </c>
      <c r="D49" s="10" t="s">
        <v>248</v>
      </c>
    </row>
    <row r="50" spans="2:4" ht="14.25" customHeight="1">
      <c r="B50" s="21" t="s">
        <v>218</v>
      </c>
      <c r="D50" s="21" t="s">
        <v>250</v>
      </c>
    </row>
    <row r="51" spans="2:4" ht="14.25" customHeight="1">
      <c r="B51" s="10" t="s">
        <v>140</v>
      </c>
      <c r="D51" s="10" t="s">
        <v>141</v>
      </c>
    </row>
    <row r="52" spans="2:4" ht="14.25" customHeight="1">
      <c r="B52" s="21" t="s">
        <v>219</v>
      </c>
      <c r="D52" s="10" t="s">
        <v>143</v>
      </c>
    </row>
    <row r="53" spans="2:4" ht="14.25" customHeight="1">
      <c r="B53" s="10" t="s">
        <v>142</v>
      </c>
      <c r="D53" s="10" t="s">
        <v>144</v>
      </c>
    </row>
    <row r="54" spans="2:4" ht="14.25" customHeight="1">
      <c r="B54" s="21" t="s">
        <v>220</v>
      </c>
      <c r="D54" s="10" t="s">
        <v>146</v>
      </c>
    </row>
    <row r="55" spans="2:4" ht="14.25" customHeight="1">
      <c r="B55" s="10" t="s">
        <v>145</v>
      </c>
      <c r="D55" s="10"/>
    </row>
    <row r="56" spans="2:4" ht="14.25" customHeight="1">
      <c r="D56" s="9" t="s">
        <v>148</v>
      </c>
    </row>
    <row r="57" spans="2:4" ht="14.25" customHeight="1">
      <c r="B57" s="9" t="s">
        <v>147</v>
      </c>
      <c r="D57" s="21" t="s">
        <v>251</v>
      </c>
    </row>
    <row r="58" spans="2:4" ht="14.25" customHeight="1">
      <c r="B58" s="21" t="s">
        <v>221</v>
      </c>
      <c r="D58" s="21" t="s">
        <v>300</v>
      </c>
    </row>
    <row r="59" spans="2:4" ht="14.25" customHeight="1">
      <c r="B59" s="21" t="s">
        <v>222</v>
      </c>
      <c r="D59" s="13" t="s">
        <v>301</v>
      </c>
    </row>
    <row r="60" spans="2:4" ht="14.25" customHeight="1">
      <c r="B60" s="13" t="s">
        <v>223</v>
      </c>
      <c r="D60" s="21" t="s">
        <v>302</v>
      </c>
    </row>
    <row r="61" spans="2:4" ht="14.25" customHeight="1">
      <c r="B61" s="21" t="s">
        <v>224</v>
      </c>
      <c r="D61" s="13" t="s">
        <v>303</v>
      </c>
    </row>
    <row r="62" spans="2:4" ht="14.25" customHeight="1">
      <c r="B62" s="12" t="s">
        <v>252</v>
      </c>
      <c r="D62" s="21" t="s">
        <v>304</v>
      </c>
    </row>
    <row r="63" spans="2:4" ht="14.25" customHeight="1">
      <c r="D63" s="21" t="s">
        <v>305</v>
      </c>
    </row>
    <row r="64" spans="2:4" ht="14.25" customHeight="1">
      <c r="B64" s="26" t="s">
        <v>324</v>
      </c>
    </row>
    <row r="65" spans="2:4" ht="14.25" customHeight="1">
      <c r="B65" s="21" t="s">
        <v>325</v>
      </c>
      <c r="D65" s="9" t="s">
        <v>149</v>
      </c>
    </row>
    <row r="66" spans="2:4" ht="14.25" customHeight="1">
      <c r="B66" s="13" t="s">
        <v>326</v>
      </c>
      <c r="D66" s="21" t="s">
        <v>274</v>
      </c>
    </row>
    <row r="67" spans="2:4" ht="14.25" customHeight="1">
      <c r="B67" s="12" t="s">
        <v>327</v>
      </c>
      <c r="D67" s="13" t="s">
        <v>275</v>
      </c>
    </row>
    <row r="68" spans="2:4" ht="14.25" customHeight="1">
      <c r="B68" s="21" t="s">
        <v>225</v>
      </c>
      <c r="D68" s="21" t="s">
        <v>276</v>
      </c>
    </row>
    <row r="69" spans="2:4" ht="14.25" customHeight="1">
      <c r="B69" s="13" t="s">
        <v>277</v>
      </c>
      <c r="D69" s="13" t="s">
        <v>254</v>
      </c>
    </row>
    <row r="70" spans="2:4" ht="14.25" customHeight="1">
      <c r="B70" s="13" t="s">
        <v>278</v>
      </c>
      <c r="D70" s="21" t="s">
        <v>261</v>
      </c>
    </row>
    <row r="71" spans="2:4" ht="14.25" customHeight="1">
      <c r="B71" s="21" t="s">
        <v>279</v>
      </c>
      <c r="D71" s="21" t="s">
        <v>262</v>
      </c>
    </row>
    <row r="72" spans="2:4" ht="14.25" customHeight="1">
      <c r="B72" s="21" t="s">
        <v>280</v>
      </c>
    </row>
    <row r="73" spans="2:4" ht="14.25" customHeight="1">
      <c r="B73" s="10" t="s">
        <v>151</v>
      </c>
      <c r="D73" s="9" t="s">
        <v>150</v>
      </c>
    </row>
    <row r="74" spans="2:4" ht="14.25" customHeight="1">
      <c r="D74" s="21" t="s">
        <v>263</v>
      </c>
    </row>
    <row r="75" spans="2:4" ht="14.25" customHeight="1">
      <c r="B75" s="9" t="s">
        <v>152</v>
      </c>
      <c r="D75" s="13" t="s">
        <v>264</v>
      </c>
    </row>
    <row r="76" spans="2:4" ht="14.25" customHeight="1">
      <c r="B76" s="21" t="s">
        <v>271</v>
      </c>
      <c r="D76" s="21" t="s">
        <v>265</v>
      </c>
    </row>
    <row r="77" spans="2:4" ht="14.25" customHeight="1">
      <c r="B77" s="21" t="s">
        <v>272</v>
      </c>
      <c r="D77" s="13" t="s">
        <v>266</v>
      </c>
    </row>
    <row r="78" spans="2:4" ht="14.25" customHeight="1">
      <c r="B78" s="13" t="s">
        <v>273</v>
      </c>
      <c r="D78" s="21" t="s">
        <v>281</v>
      </c>
    </row>
    <row r="79" spans="2:4" ht="14.25" customHeight="1">
      <c r="B79" s="21" t="s">
        <v>317</v>
      </c>
      <c r="D79" s="13" t="s">
        <v>282</v>
      </c>
    </row>
    <row r="80" spans="2:4" ht="14.25" customHeight="1">
      <c r="B80" s="13" t="s">
        <v>318</v>
      </c>
      <c r="D80" s="13" t="s">
        <v>283</v>
      </c>
    </row>
    <row r="81" spans="2:4" ht="14.25" customHeight="1">
      <c r="B81" s="12" t="s">
        <v>319</v>
      </c>
      <c r="D81" s="21" t="s">
        <v>284</v>
      </c>
    </row>
    <row r="82" spans="2:4" ht="14.25" customHeight="1">
      <c r="B82" s="12" t="s">
        <v>320</v>
      </c>
      <c r="D82" s="13" t="s">
        <v>285</v>
      </c>
    </row>
    <row r="83" spans="2:4" ht="14.25" customHeight="1">
      <c r="B83" s="12" t="s">
        <v>321</v>
      </c>
      <c r="D83" s="13" t="s">
        <v>286</v>
      </c>
    </row>
    <row r="84" spans="2:4" ht="14.25" customHeight="1">
      <c r="B84" s="21" t="s">
        <v>322</v>
      </c>
      <c r="D84" s="21" t="s">
        <v>287</v>
      </c>
    </row>
    <row r="85" spans="2:4" ht="14.25" customHeight="1">
      <c r="B85" s="13" t="s">
        <v>323</v>
      </c>
      <c r="D85" s="13" t="s">
        <v>288</v>
      </c>
    </row>
    <row r="86" spans="2:4" ht="14.25" customHeight="1">
      <c r="B86" s="10"/>
      <c r="D86" s="13" t="s">
        <v>289</v>
      </c>
    </row>
    <row r="87" spans="2:4" ht="14.25" customHeight="1">
      <c r="B87" s="9" t="s">
        <v>153</v>
      </c>
      <c r="D87" s="21" t="s">
        <v>291</v>
      </c>
    </row>
    <row r="88" spans="2:4" ht="14.25" customHeight="1">
      <c r="B88" s="10" t="s">
        <v>154</v>
      </c>
      <c r="D88" s="13" t="s">
        <v>290</v>
      </c>
    </row>
    <row r="89" spans="2:4" ht="14.25" customHeight="1">
      <c r="B89" s="10" t="s">
        <v>156</v>
      </c>
      <c r="D89" s="10" t="s">
        <v>155</v>
      </c>
    </row>
    <row r="90" spans="2:4" ht="14.25" customHeight="1">
      <c r="B90" s="10" t="s">
        <v>157</v>
      </c>
      <c r="D90" s="10"/>
    </row>
    <row r="91" spans="2:4" ht="14.25" customHeight="1">
      <c r="B91" s="10" t="s">
        <v>159</v>
      </c>
      <c r="D91" s="9" t="s">
        <v>158</v>
      </c>
    </row>
    <row r="92" spans="2:4" ht="14.25" customHeight="1">
      <c r="B92" s="13" t="s">
        <v>342</v>
      </c>
      <c r="D92" s="21" t="s">
        <v>292</v>
      </c>
    </row>
    <row r="93" spans="2:4" ht="14.25" customHeight="1">
      <c r="B93" s="10" t="s">
        <v>160</v>
      </c>
      <c r="D93" s="21" t="s">
        <v>293</v>
      </c>
    </row>
    <row r="94" spans="2:4" ht="14.25" customHeight="1">
      <c r="B94" s="10"/>
      <c r="D94" s="13" t="s">
        <v>294</v>
      </c>
    </row>
    <row r="95" spans="2:4" ht="14.25" customHeight="1">
      <c r="B95" s="9" t="s">
        <v>161</v>
      </c>
      <c r="D95" s="21" t="s">
        <v>295</v>
      </c>
    </row>
    <row r="96" spans="2:4" ht="14.25" customHeight="1">
      <c r="B96" s="21" t="s">
        <v>190</v>
      </c>
      <c r="D96" s="13" t="s">
        <v>296</v>
      </c>
    </row>
    <row r="97" spans="2:4" ht="14.25" customHeight="1">
      <c r="B97" s="13" t="s">
        <v>191</v>
      </c>
    </row>
    <row r="98" spans="2:4" ht="14.25" customHeight="1">
      <c r="B98" s="13" t="s">
        <v>192</v>
      </c>
      <c r="D98" s="9" t="s">
        <v>162</v>
      </c>
    </row>
    <row r="99" spans="2:4" ht="14.25" customHeight="1">
      <c r="B99" s="21" t="s">
        <v>193</v>
      </c>
      <c r="D99" s="21" t="s">
        <v>297</v>
      </c>
    </row>
    <row r="100" spans="2:4" ht="14.25" customHeight="1">
      <c r="B100" s="13" t="s">
        <v>194</v>
      </c>
      <c r="D100" s="13" t="s">
        <v>298</v>
      </c>
    </row>
    <row r="101" spans="2:4" ht="14.25" customHeight="1">
      <c r="B101" s="21" t="s">
        <v>195</v>
      </c>
      <c r="D101" s="21" t="s">
        <v>299</v>
      </c>
    </row>
    <row r="102" spans="2:4" ht="14.25" customHeight="1">
      <c r="B102" s="13" t="s">
        <v>196</v>
      </c>
      <c r="D102" s="21" t="s">
        <v>338</v>
      </c>
    </row>
    <row r="103" spans="2:4" ht="14.25" customHeight="1">
      <c r="B103" s="21" t="s">
        <v>355</v>
      </c>
      <c r="D103" s="13" t="s">
        <v>339</v>
      </c>
    </row>
    <row r="104" spans="2:4" ht="14.25" customHeight="1">
      <c r="B104" s="13" t="s">
        <v>336</v>
      </c>
    </row>
    <row r="105" spans="2:4" ht="14.25" customHeight="1">
      <c r="B105" s="13" t="s">
        <v>337</v>
      </c>
      <c r="D105" s="9" t="s">
        <v>163</v>
      </c>
    </row>
    <row r="106" spans="2:4" ht="14.25" customHeight="1">
      <c r="D106" s="23" t="s">
        <v>204</v>
      </c>
    </row>
    <row r="107" spans="2:4" ht="14.25" customHeight="1">
      <c r="B107" s="9" t="s">
        <v>164</v>
      </c>
      <c r="D107" s="24" t="s">
        <v>205</v>
      </c>
    </row>
    <row r="108" spans="2:4" ht="14.25" customHeight="1">
      <c r="B108" s="21" t="s">
        <v>197</v>
      </c>
      <c r="D108" s="25" t="s">
        <v>183</v>
      </c>
    </row>
    <row r="109" spans="2:4" ht="14.25" customHeight="1">
      <c r="B109" s="13" t="s">
        <v>198</v>
      </c>
      <c r="D109" s="21" t="s">
        <v>184</v>
      </c>
    </row>
    <row r="110" spans="2:4" ht="14.25" customHeight="1">
      <c r="B110" s="21" t="s">
        <v>199</v>
      </c>
      <c r="D110" s="22" t="s">
        <v>185</v>
      </c>
    </row>
    <row r="111" spans="2:4" ht="14.25" customHeight="1">
      <c r="B111" s="13" t="s">
        <v>200</v>
      </c>
      <c r="D111" s="21" t="s">
        <v>203</v>
      </c>
    </row>
    <row r="112" spans="2:4" ht="14.25" customHeight="1">
      <c r="B112" s="21" t="s">
        <v>189</v>
      </c>
      <c r="D112" s="21"/>
    </row>
    <row r="113" spans="2:4" ht="14.25" customHeight="1">
      <c r="B113" s="13" t="s">
        <v>201</v>
      </c>
      <c r="D113" s="9" t="s">
        <v>165</v>
      </c>
    </row>
    <row r="114" spans="2:4" ht="14.25" customHeight="1">
      <c r="B114" s="21" t="s">
        <v>202</v>
      </c>
      <c r="D114" s="21" t="s">
        <v>186</v>
      </c>
    </row>
    <row r="115" spans="2:4" ht="14.25" customHeight="1">
      <c r="B115" s="10" t="s">
        <v>166</v>
      </c>
      <c r="D115" s="13" t="s">
        <v>187</v>
      </c>
    </row>
    <row r="116" spans="2:4" ht="14.25" customHeight="1">
      <c r="B116" s="10"/>
      <c r="D116" s="21" t="s">
        <v>188</v>
      </c>
    </row>
    <row r="117" spans="2:4" ht="14.25" customHeight="1">
      <c r="B117" s="9" t="s">
        <v>168</v>
      </c>
      <c r="D117" s="10" t="s">
        <v>167</v>
      </c>
    </row>
    <row r="118" spans="2:4" ht="14.25" customHeight="1">
      <c r="B118" s="10" t="s">
        <v>169</v>
      </c>
      <c r="D118" s="10"/>
    </row>
    <row r="119" spans="2:4" ht="14.25" customHeight="1">
      <c r="B119" s="12" t="s">
        <v>343</v>
      </c>
      <c r="D119" s="9" t="s">
        <v>170</v>
      </c>
    </row>
    <row r="120" spans="2:4" ht="14.25" customHeight="1">
      <c r="B120" s="13" t="s">
        <v>344</v>
      </c>
      <c r="D120" s="10" t="s">
        <v>171</v>
      </c>
    </row>
    <row r="121" spans="2:4" ht="14.25" customHeight="1">
      <c r="B121" s="13" t="s">
        <v>346</v>
      </c>
    </row>
    <row r="122" spans="2:4" ht="14.25" customHeight="1">
      <c r="B122" s="13" t="s">
        <v>345</v>
      </c>
      <c r="D122" s="9" t="s">
        <v>172</v>
      </c>
    </row>
    <row r="123" spans="2:4" ht="14.25" customHeight="1">
      <c r="D123" s="10" t="s">
        <v>173</v>
      </c>
    </row>
    <row r="124" spans="2:4" ht="14.25" customHeight="1">
      <c r="B124" s="9" t="s">
        <v>175</v>
      </c>
      <c r="D124" s="10" t="s">
        <v>174</v>
      </c>
    </row>
    <row r="125" spans="2:4" ht="14.25" customHeight="1">
      <c r="B125" s="21" t="s">
        <v>255</v>
      </c>
      <c r="D125" s="16"/>
    </row>
    <row r="126" spans="2:4" ht="14.25" customHeight="1">
      <c r="B126" s="13" t="s">
        <v>256</v>
      </c>
      <c r="C126" s="14"/>
      <c r="D126" s="9" t="s">
        <v>176</v>
      </c>
    </row>
    <row r="127" spans="2:4" ht="14.25" customHeight="1">
      <c r="B127" s="21" t="s">
        <v>257</v>
      </c>
      <c r="C127" s="15"/>
      <c r="D127" s="13" t="s">
        <v>179</v>
      </c>
    </row>
    <row r="128" spans="2:4" ht="14.25" customHeight="1">
      <c r="B128" s="21" t="s">
        <v>258</v>
      </c>
      <c r="D128" s="13" t="s">
        <v>180</v>
      </c>
    </row>
    <row r="129" spans="2:4" ht="14.25" customHeight="1">
      <c r="B129" s="13" t="s">
        <v>259</v>
      </c>
      <c r="D129" s="13" t="s">
        <v>181</v>
      </c>
    </row>
    <row r="130" spans="2:4" ht="14.25" customHeight="1">
      <c r="D130" s="21" t="s">
        <v>267</v>
      </c>
    </row>
    <row r="131" spans="2:4" ht="14.25" customHeight="1">
      <c r="B131" s="9" t="s">
        <v>177</v>
      </c>
      <c r="D131" s="21" t="s">
        <v>268</v>
      </c>
    </row>
    <row r="132" spans="2:4" ht="14.25" customHeight="1">
      <c r="B132" s="21" t="s">
        <v>260</v>
      </c>
      <c r="D132" s="21" t="s">
        <v>269</v>
      </c>
    </row>
    <row r="133" spans="2:4">
      <c r="B133" s="13" t="s">
        <v>335</v>
      </c>
      <c r="D133" s="21" t="s">
        <v>270</v>
      </c>
    </row>
    <row r="134" spans="2:4">
      <c r="B134" s="21" t="s">
        <v>253</v>
      </c>
      <c r="D134" s="13" t="s">
        <v>182</v>
      </c>
    </row>
    <row r="135" spans="2:4" ht="13.5" customHeight="1"/>
    <row r="136" spans="2:4">
      <c r="B136" s="17" t="s">
        <v>178</v>
      </c>
      <c r="C136" s="17"/>
      <c r="D136" s="17"/>
    </row>
    <row r="137" spans="2:4">
      <c r="B137" s="18" t="str">
        <f>"계약자             "&amp;계약서!C10&amp;"                       서명 또는 인"</f>
        <v>계약자             홍길동                       서명 또는 인</v>
      </c>
      <c r="D137" s="18" t="str">
        <f>"연대보증인                 "&amp;계약서!C15&amp;"                 서명 또는 인"</f>
        <v>연대보증인                 (주)퀵배달                 서명 또는 인</v>
      </c>
    </row>
    <row r="138" spans="2:4" ht="14.25" customHeight="1"/>
    <row r="139" spans="2:4" ht="14.25" customHeight="1"/>
    <row r="140" spans="2:4" s="19" customFormat="1" ht="14.25" customHeight="1">
      <c r="B140" s="18"/>
      <c r="C140" s="20"/>
      <c r="D140" s="18"/>
    </row>
    <row r="141" spans="2:4" ht="14.25" customHeight="1">
      <c r="D141" s="10"/>
    </row>
    <row r="142" spans="2:4" ht="14.25" customHeight="1">
      <c r="D142" s="10"/>
    </row>
    <row r="143" spans="2:4" ht="14.25" customHeight="1">
      <c r="D143" s="10"/>
    </row>
    <row r="144" spans="2:4" ht="14.25" customHeight="1">
      <c r="D144" s="10"/>
    </row>
    <row r="145" spans="4:4" ht="14.25" customHeight="1">
      <c r="D145" s="10"/>
    </row>
    <row r="146" spans="4:4" ht="14.25" customHeight="1"/>
    <row r="147" spans="4:4" ht="14.25" customHeight="1">
      <c r="D147" s="16"/>
    </row>
    <row r="148" spans="4:4" ht="14.25" customHeight="1">
      <c r="D148" s="10"/>
    </row>
    <row r="149" spans="4:4" ht="14.25" customHeight="1">
      <c r="D149" s="10"/>
    </row>
    <row r="150" spans="4:4" ht="48" customHeight="1">
      <c r="D150" s="10"/>
    </row>
    <row r="151" spans="4:4" ht="31.5" customHeight="1">
      <c r="D151" s="10"/>
    </row>
    <row r="153" spans="4:4" ht="21.75" customHeight="1">
      <c r="D153" s="16"/>
    </row>
    <row r="154" spans="4:4" ht="15.75" customHeight="1">
      <c r="D154" s="10"/>
    </row>
    <row r="155" spans="4:4" ht="31.5" customHeight="1">
      <c r="D155" s="10"/>
    </row>
    <row r="156" spans="4:4" ht="31.5" customHeight="1">
      <c r="D156" s="10"/>
    </row>
    <row r="157" spans="4:4">
      <c r="D157" s="10"/>
    </row>
    <row r="158" spans="4:4" ht="21.75" customHeight="1">
      <c r="D158" s="10"/>
    </row>
    <row r="159" spans="4:4" ht="31.5" customHeight="1">
      <c r="D159" s="10"/>
    </row>
    <row r="160" spans="4:4" ht="31.5" customHeight="1">
      <c r="D160" s="10"/>
    </row>
    <row r="161" spans="4:4" ht="31.5" customHeight="1">
      <c r="D161" s="10"/>
    </row>
    <row r="163" spans="4:4" ht="21.75" customHeight="1"/>
    <row r="164" spans="4:4" ht="31.5" customHeight="1"/>
    <row r="165" spans="4:4" ht="31.5" customHeight="1">
      <c r="D165" s="14"/>
    </row>
    <row r="166" spans="4:4" ht="31.5" customHeight="1">
      <c r="D166" s="15"/>
    </row>
    <row r="167" spans="4:4" ht="15.75" customHeight="1"/>
    <row r="169" spans="4:4" ht="21.75" customHeight="1"/>
    <row r="170" spans="4:4" ht="31.5" customHeight="1"/>
    <row r="171" spans="4:4" ht="31.5" customHeight="1"/>
    <row r="173" spans="4:4" ht="21.75" customHeight="1"/>
    <row r="174" spans="4:4" ht="15.75" customHeight="1"/>
    <row r="176" spans="4:4" ht="21.75" customHeight="1"/>
    <row r="177" ht="31.5" customHeight="1"/>
    <row r="181" ht="21.75" customHeight="1"/>
    <row r="182" ht="15.75" customHeight="1"/>
    <row r="183" ht="15.75" customHeight="1"/>
    <row r="184" ht="15.75" customHeight="1"/>
    <row r="185" ht="15.75" customHeight="1"/>
    <row r="187" ht="21.75" customHeight="1"/>
    <row r="188" ht="48" customHeight="1"/>
    <row r="189" ht="48" customHeight="1"/>
    <row r="190" ht="48" customHeight="1"/>
    <row r="191" ht="31.5" customHeight="1"/>
    <row r="192" ht="31.5" customHeight="1"/>
    <row r="193" ht="31.5" customHeight="1"/>
    <row r="194" ht="31.5" customHeight="1"/>
    <row r="195" ht="15.75" customHeight="1"/>
    <row r="198" ht="21.75" customHeight="1"/>
    <row r="199" ht="31.5" customHeight="1"/>
  </sheetData>
  <mergeCells count="1">
    <mergeCell ref="B1:D1"/>
  </mergeCells>
  <phoneticPr fontId="38" type="noConversion"/>
  <pageMargins left="0.3" right="0.3" top="0.4" bottom="0.4" header="0.511811023622047" footer="0.511811023622047"/>
  <pageSetup paperSize="9" scale="76" fitToHeight="0" orientation="portrait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2026-04-29T02:58:05Z</cp:lastPrinted>
  <dcterms:created xsi:type="dcterms:W3CDTF">2026-04-23T08:36:35Z</dcterms:created>
  <dcterms:modified xsi:type="dcterms:W3CDTF">2026-04-29T04:38:15Z</dcterms:modified>
  <dc:language>en-US</dc:language>
</cp:coreProperties>
</file>