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owlsy\Downloads\이륜차_계약서_작업\"/>
    </mc:Choice>
  </mc:AlternateContent>
  <xr:revisionPtr revIDLastSave="0" documentId="13_ncr:1_{9AAB4B23-948F-44B0-8C5C-71C665B2BF60}" xr6:coauthVersionLast="47" xr6:coauthVersionMax="47" xr10:uidLastSave="{00000000-0000-0000-0000-000000000000}"/>
  <bookViews>
    <workbookView xWindow="-108" yWindow="-108" windowWidth="30936" windowHeight="16776" tabRatio="500" activeTab="1" xr2:uid="{00000000-000D-0000-FFFF-FFFF00000000}"/>
  </bookViews>
  <sheets>
    <sheet name="계약리스트" sheetId="1" r:id="rId1"/>
    <sheet name="계약서" sheetId="2" r:id="rId2"/>
    <sheet name="이용약관" sheetId="3" r:id="rId3"/>
    <sheet name="별지_구상금" sheetId="4" r:id="rId4"/>
  </sheets>
  <definedNames>
    <definedName name="_xlnm.Print_Area" localSheetId="1">계약서!$A$1:$K$56</definedName>
    <definedName name="_xlnm.Print_Area" localSheetId="3">별지_구상금!$A$1:$I$41</definedName>
    <definedName name="_xlnm.Print_Area" localSheetId="2">이용약관!$A$1:$D$153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 i="2" l="1"/>
  <c r="C23" i="2"/>
  <c r="I22" i="2"/>
  <c r="F22" i="2"/>
  <c r="C22" i="2"/>
  <c r="I21" i="2"/>
  <c r="F21" i="2"/>
  <c r="C21" i="2"/>
  <c r="C17" i="2"/>
  <c r="I16" i="2"/>
  <c r="F16" i="2"/>
  <c r="C16" i="2"/>
  <c r="D153" i="3" s="1"/>
  <c r="F12" i="2"/>
  <c r="C12" i="2"/>
  <c r="I11" i="2"/>
  <c r="F11" i="2"/>
  <c r="C11" i="2"/>
  <c r="B153" i="3" s="1"/>
  <c r="I7" i="2"/>
  <c r="F7" i="2"/>
  <c r="C7" i="2"/>
  <c r="I6" i="2"/>
  <c r="F6" i="2"/>
  <c r="C6" i="2"/>
  <c r="AB2" i="1"/>
  <c r="C39" i="4"/>
  <c r="C37" i="4" l="1"/>
  <c r="C52" i="2"/>
  <c r="H52" i="2"/>
</calcChain>
</file>

<file path=xl/sharedStrings.xml><?xml version="1.0" encoding="utf-8"?>
<sst xmlns="http://schemas.openxmlformats.org/spreadsheetml/2006/main" count="467" uniqueCount="427">
  <si>
    <t>구상금 관련 특약 확인서</t>
  </si>
  <si>
    <t>본 별지는 이륜차 할부판매 계약(B2B)에 부속되며 본 계약서 본문과 동일한 효력을 가집니다.</t>
  </si>
  <si>
    <t>본인(계약자 및 연대보증인)은 본 계약과 관련하여 발생할 수 있는 "구상금"의 책임 범위, 변제 기한, 미변제 시 회사의 조치 사항에 대하여 별도로 충분히 설명 듣고 이해하였으며, 아래 내용 전부에 동의합니다.</t>
  </si>
  <si>
    <t>제1조  구상금의 정의</t>
  </si>
  <si>
    <t>"구상금"이란 본 계약 차량의 운행 중 발생한 사고로 보험사 또는 제3자가 회사에 청구하는 금액 일체를 말하며, 원금·지연이자·소송비용·변호사비 등 회사가 그와 관련하여 지출한 모든 비용을 포함한다.</t>
  </si>
  <si>
    <t>제2조  구상금이 발생하는 주요 사유</t>
  </si>
  <si>
    <t>다음 각 호에 해당하는 사고로 회사가 구상금을 청구받는 경우 그 책임은 전적으로 계약자에게 있다.</t>
  </si>
  <si>
    <t>①</t>
  </si>
  <si>
    <t>운행자성</t>
  </si>
  <si>
    <t>회사는 차량 소유자이나 자동차손해배상보장법상 운행자가 아니다. 운행자성은 전적으로 계약자(배달대행사)에게 있으며, 보험사가 회사에 청구하는 구상금은 계약자가 전액 부담한다.</t>
  </si>
  <si>
    <t>②</t>
  </si>
  <si>
    <t>사고 미고지 위반</t>
  </si>
  <si>
    <t>사고 발생 시 즉시 회사에 고지하지 아니하거나 지연·허위 고지로 발생하는 미보장 손해와 회사에 청구되는 구상금 일체를 계약자가 부담한다.</t>
  </si>
  <si>
    <t>③</t>
  </si>
  <si>
    <t>사용자(라이더) 관리 책임</t>
  </si>
  <si>
    <t>계약자가 사용자(라이더)의 신원·면허·보험 적합성·음주여부 등 운행자격 관리를 해태하여 발생한 사고·손해·구상금은 계약자가 전적으로 책임진다.</t>
  </si>
  <si>
    <t>④</t>
  </si>
  <si>
    <t>보험 부적합자 운전</t>
  </si>
  <si>
    <t>가입된 보험의 보장범위에 적합하지 않은 자가 본 차량을 운행하여 발생한 사고·손해·구상금은 회사의 신원·자격 확인 여부와 관계없이 계약자가 책임진다.</t>
  </si>
  <si>
    <t>⑤</t>
  </si>
  <si>
    <t>12대 중과실·면책사고</t>
  </si>
  <si>
    <t>신호위반·중앙선침범 등 12대 중과실 또는 보험약관상 면책사항에 해당하는 사고로 발생한 구상금은 계약자가 전액 부담한다.</t>
  </si>
  <si>
    <t>⑥</t>
  </si>
  <si>
    <t>무면허·음주·약물 운전</t>
  </si>
  <si>
    <t>무면허·음주·약물 영향 하의 운전 및 운전자 자격 미충족자의 운행으로 발생한 사고·구상금은 계약자가 전적으로 책임진다.</t>
  </si>
  <si>
    <t>⑦</t>
  </si>
  <si>
    <t>보험 보장 한도 초과</t>
  </si>
  <si>
    <t>대물배상 한도 초과분·대인배상Ⅱ 한도 초과분 등 보험사 보장 한도를 초과하는 손해는 계약자가 전액 부담한다.</t>
  </si>
  <si>
    <t>⑧</t>
  </si>
  <si>
    <t>기타 보험약관상 면책사유</t>
  </si>
  <si>
    <t>운전자 범위 위반·사고 후 도주·고의 사고·유상운송 부적합 보험·차량 무단 양도·전대·무보험 운행 등 보험약관상 면책사유에 해당하는 일체의 손해를 계약자가 전적으로 책임진다.</t>
  </si>
  <si>
    <t>제3조  구상금의 변제 기한</t>
  </si>
  <si>
    <t>회사가 보험사 또는 제3자로부터 구상금을 청구받았다는 사실을 계약자에게 통보한 날로부터 7일 이내에, 계약자는 구상금 전액 및 회사가 지출한 변호사비·소송비 일체를 회사에 변제하여야 한다.</t>
  </si>
  <si>
    <t>제4조  미변제 시 즉시 처리</t>
  </si>
  <si>
    <t>제3조의 변제 기한 내에 계약자가 구상금을 변제하지 않는 경우 본 계약은 사전 통지·최고 없이 해지되며, 회사는 다음 각 호의 조치를 동시에 또는 순차적으로 취할 수 있다.</t>
  </si>
  <si>
    <t>차량 즉시 회수</t>
  </si>
  <si>
    <t>회수에 소요된 일체의 비용(출장비·운송비·원상복구비 포함)은 계약자가 부담한다.</t>
  </si>
  <si>
    <t>보증금 전액 미반환</t>
  </si>
  <si>
    <t>계약자의 귀책으로 본 계약이 해지되는 경우 보증금은 반환되지 아니한다.</t>
  </si>
  <si>
    <t>위약금·손해배상금 청구</t>
  </si>
  <si>
    <t>위약금은 [잔여기간 총 할부금 × 20%]로 산정하며, 기납부 보증금은 이와 별도로 계약 위반에 대한 위약벌로서 회사에 귀속되어 반환하지 않는다.</t>
  </si>
  <si>
    <t>연 15% 지연손해금</t>
  </si>
  <si>
    <t>미변제 금액에 대하여 연 15%의 지연손해금을 변제일까지 가산한다.</t>
  </si>
  <si>
    <t>신용정보 등록·채권추심</t>
  </si>
  <si>
    <t>계약자에게 통지한 후 관련 법령이 정하는 절차에 따라 신용정보회사·신용정보집중기관에 채무불이행 사실을 등록하거나 채권추심 전문기관에 추심을 위임할 수 있다.</t>
  </si>
  <si>
    <t>계열사 계약 동시 해지</t>
  </si>
  <si>
    <t>회사 또는 계열사(포어스바이크 유한회사 포함)와 체결한 다른 이륜차 계약도 동시 해지하고 차량을 일괄 회수할 수 있다.</t>
  </si>
  <si>
    <t>민·형사상 법적 조치</t>
  </si>
  <si>
    <t>계약자 및 연대보증인에 대하여 민·형사상 모든 법적 조치를 취할 수 있다.</t>
  </si>
  <si>
    <t>본인(계약자·연대보증인)은 위 특약 내용(제1조 ~ 제4조) 전부를 충분히 설명 듣고 이해하였으며, 본 특약에 동의함을 확인합니다.</t>
  </si>
  <si>
    <t>계약자</t>
  </si>
  <si>
    <t>(인)</t>
  </si>
  <si>
    <t>연대보증인</t>
  </si>
  <si>
    <t>공급자</t>
  </si>
  <si>
    <t>한국모터사이클리스 유한회사</t>
  </si>
  <si>
    <t>계약번호</t>
  </si>
  <si>
    <t>출고일자</t>
  </si>
  <si>
    <t>차종</t>
  </si>
  <si>
    <t>차대번호</t>
  </si>
  <si>
    <t>차량번호</t>
  </si>
  <si>
    <t>색상</t>
  </si>
  <si>
    <t>정비여부</t>
  </si>
  <si>
    <t>일사용료</t>
  </si>
  <si>
    <t>사용일수</t>
  </si>
  <si>
    <t>보증금</t>
  </si>
  <si>
    <t>사업장 업체명</t>
  </si>
  <si>
    <t>사업자번호</t>
  </si>
  <si>
    <t>대표자명</t>
  </si>
  <si>
    <t>업체주소</t>
  </si>
  <si>
    <t>사업장 연락처</t>
  </si>
  <si>
    <t>사업장 이메일</t>
  </si>
  <si>
    <t>대표자 주민번호</t>
  </si>
  <si>
    <t>대표자 연락처</t>
  </si>
  <si>
    <t>대표자 주소</t>
  </si>
  <si>
    <t>계약유형</t>
  </si>
  <si>
    <t>상품유형</t>
  </si>
  <si>
    <t>납입방법</t>
  </si>
  <si>
    <t>납입계좌</t>
  </si>
  <si>
    <t>요금결제일</t>
  </si>
  <si>
    <t>사업자유형</t>
  </si>
  <si>
    <t>법인등록번호</t>
  </si>
  <si>
    <t>계산서 발행 주기</t>
  </si>
  <si>
    <t>2026-04-24</t>
  </si>
  <si>
    <t>UHR150</t>
  </si>
  <si>
    <t>LWMTDKH95THJ00467</t>
  </si>
  <si>
    <t>1나88370</t>
  </si>
  <si>
    <t>화이트</t>
  </si>
  <si>
    <t>비포함</t>
  </si>
  <si>
    <t>중앙 오토바이 가수점</t>
  </si>
  <si>
    <t>737-55-00719</t>
  </si>
  <si>
    <t>안종식</t>
  </si>
  <si>
    <t>경기도 오산시 가장로 763, 1층 5,6호(가수동)</t>
  </si>
  <si>
    <t>010-5813-7336</t>
  </si>
  <si>
    <t>jungang@example.com</t>
  </si>
  <si>
    <t>820530-1046518</t>
  </si>
  <si>
    <t>경기도 오산시 궐동로 77, 1층(궐동)</t>
  </si>
  <si>
    <t>할부판매</t>
  </si>
  <si>
    <t>인수형</t>
  </si>
  <si>
    <t>계좌이체</t>
  </si>
  <si>
    <t>기업은행 929-028075-04-011 포어스바이크(유)</t>
  </si>
  <si>
    <t>월2회(15일,말일)</t>
  </si>
  <si>
    <t>개인사업자</t>
  </si>
  <si>
    <t>계약번호입력→</t>
  </si>
  <si>
    <t>이륜차 할부판매 계약서</t>
  </si>
  <si>
    <t>■ 차량 정보</t>
  </si>
  <si>
    <t>계약일자</t>
  </si>
  <si>
    <t>※ 본 계약은 계약자가 본인 명의로 직접 보험에 가입하는 상품이며, 회사는 출고 당시 외에는 보험 가입 여부를 확인할 수 없으므로,
운전 사고 시 발생하는 모든 손해·구상금은 계약자가 전적으로 책임집니다.</t>
  </si>
  <si>
    <t>■ 계약자</t>
  </si>
  <si>
    <t>업체명</t>
  </si>
  <si>
    <t>연락처</t>
  </si>
  <si>
    <t>※ 제출서류: 사업자등록증 사본, 대표자 신분증 사본</t>
  </si>
  <si>
    <t>■ 연대보증인</t>
  </si>
  <si>
    <t>성명</t>
  </si>
  <si>
    <t>주민등록번호</t>
  </si>
  <si>
    <t>주소</t>
  </si>
  <si>
    <t>※ 법인사업자의 경우 법인대표 개인 | 제출서류: 신분증 사본 | 보증 기한: 2년 | 보증 한도: 전체 이용료의 130%</t>
  </si>
  <si>
    <t>■ 계약 조건</t>
  </si>
  <si>
    <t>할부 기간</t>
  </si>
  <si>
    <t>일납입 할부금
(VAT포함)</t>
  </si>
  <si>
    <t>청구시작일</t>
  </si>
  <si>
    <t>■ 회사 정보</t>
  </si>
  <si>
    <t>상호</t>
  </si>
  <si>
    <t>647-86-03800</t>
  </si>
  <si>
    <t>대표이사</t>
  </si>
  <si>
    <t>김현수</t>
  </si>
  <si>
    <t>경기도 수원시 권선구 입북로59번길 15</t>
  </si>
  <si>
    <t>고객센터</t>
  </si>
  <si>
    <t>031-296-7845</t>
  </si>
  <si>
    <t>⚠ 주요 확인사항 (서명 전 필독)</t>
  </si>
  <si>
    <t>회사는 본 차량의 소유자이나 자동차손해배상보장법상 "운행자"가 아니며, 운행자성(운행지배·운행이익)은 전적으로 계약자에게 있습니다. 따라서 운행 중 발생하는 모든 인적·물적 손해의 운행자 책임은 계약자가 부담합니다.</t>
  </si>
  <si>
    <t>사고 즉시 고지 의무</t>
  </si>
  <si>
    <t>계약자(배달대행사)는 본 차량을 운행하는 사용자(라이더)의 신원·면허·보험 적합성·음주여부 등 운행자격을 직접 관리할 의무가 있습니다. 회사는 사용자의 신원·자격을 사전에 확인할 의무가 없으며, 사용자가 일으킨 사고·손해·보험사 구상금은 사용자의 행위라 하더라도 관리·감독을 해태한 계약자가 전적으로 책임집니다(가입된 보험 보장범위 부적합자 운전, 무면허, 음주, 12대 중과실 등 면책사고 포함).</t>
  </si>
  <si>
    <t>신호위반·중앙선침범·무면허·음주운전 등 12대 중과실 또는 보험약관상 면책사항(고의·약물·범죄·운행자 범위 외 운전·도난중 운행 등)에 해당하는 사고로 회사에 보험사 구상금이 청구되는 경우, 계약자는 통보 후 7일 이내에 전액 변제하여야 합니다.</t>
  </si>
  <si>
    <t>구상금</t>
  </si>
  <si>
    <t>본 약관상 "구상금"이란 본 계약 차량 운행 중 발생한 사고로 보험사 또는 제3자가 회사에 청구하는 금액 일체를 말합니다. 운행자성·사고 미고지·사용자(라이더) 관리 책임·보험 부적합자 운전·12대 중과실·면책사고·보험사 보장 한도 초과 손해 등 어떠한 사유로든 회사에 구상금이 청구되는 경우, 계약자는 통보일로부터 7일 이내에 구상금 전액 및 회사가 그와 관련하여 지출한 변호사비·소송비 일체를 회사에 변제하여야 합니다.</t>
  </si>
  <si>
    <t>미변제 시 즉시 처리</t>
  </si>
  <si>
    <r>
      <rPr>
        <b/>
        <sz val="8"/>
        <color rgb="FFC00000"/>
        <rFont val="맑은 고딕"/>
        <family val="3"/>
        <charset val="129"/>
      </rPr>
      <t xml:space="preserve">위 구상금 또는 본 계약상 모든 채무를 기한 내 변제하지 않는 경우 본 계약은 사전 통지·최고 없이 해지되며, 회사는 (1) 차량을 즉시 임의 회수하고 회수에 소요된 일체의 비용(출장비·운송비·원상복구비 포함)을 계약자에게 청구하며, (2) 보증금은 </t>
    </r>
    <r>
      <rPr>
        <b/>
        <u/>
        <sz val="8"/>
        <color rgb="FFFF0000"/>
        <rFont val="맑은 고딕"/>
        <family val="3"/>
        <charset val="129"/>
      </rPr>
      <t>계약자의 귀책으로 본 계약이 해지되는 경우</t>
    </r>
    <r>
      <rPr>
        <b/>
        <sz val="8"/>
        <color rgb="FFC00000"/>
        <rFont val="맑은 고딕"/>
        <family val="3"/>
        <charset val="129"/>
      </rPr>
      <t xml:space="preserve"> 반환하지 않고, (3) 위약금[잔여기간 총 할부금 × 20%] 및 손해배상금을 별도 청구하며, (4) 미변제 금액에 대하여 연 15%의 지연손해금을 변제일까지 가산하고, (5) 계약자에게 통지한 후 관련 법령이 정하는 절차에 따라 신용정보회사·신용정보집중기관에 채무불이행 사실을 등록하거나 채권추심 전문기관에 추심을 위임할 수 있으며, (6) 회사 또는 회사의 계열사(포어스바이크 유한회사 포함)와 체결한 다른 이륜차 계약도 동시에 해지하고 해당 차량들도 일괄 회수할 수 있고, (7) 계약자 및 연대보증인에 대하여 민·형사상 모든 법적 조치를 취할 수 있습니다.</t>
    </r>
  </si>
  <si>
    <t>계열사 미납 교차 적용</t>
  </si>
  <si>
    <t>계약자가 회사 또는 회사의 계열사(포어스바이크 유한회사 포함)와 체결한 모든 이륜차 계약은 미수금 발생 시 상호 영향을 미칩니다. 포어스바이크에서 발생한 미수금은 본 계약에, 본 계약에서 발생한 미수금은 포어스바이크 계약에 동일하게 작용하며, 미수금이 7일 이상 지속되는 경우 어느 회사든 자사 계약을 해지하고 차량을 즉시 회수할 수 있습니다. 본 조 적용을 위하여 계약자는 회사와 포어스바이크 간 미수금·계약·결제 관련 정보 공유에 동의합니다. 공유 항목은 사업자등록번호, 미수금 금액·발생일, 연대보증인 성명·연락처에 한하며, 보유기간은 미수금 변제일까지로 합니다.</t>
  </si>
  <si>
    <t>보증금 처리</t>
  </si>
  <si>
    <t>계약 취소·중도 해지 시 보증금은 반환되지 않으며, 위약금 및 손해배상금은 별도로 청구됩니다.</t>
  </si>
  <si>
    <t>수납 방식 및 계산서</t>
  </si>
  <si>
    <t>본 계약 모든 대금은 수납대행사 포어스바이크(유) 명의 계좌로 직접 입금되며, 타 계좌 입금 시 수납이 확인되지 않을 수 있습니다. 세금계산서는 한국모터사이클리스 유한회사 명의로 발행되며, 발행 주기는 결제 주기와 동일합니다(월1회 결제 → 월1회 발행, 월2회 결제 → 월2회 발행).</t>
  </si>
  <si>
    <t>■ 개인(신용)정보 수집·이용, 금융거래정보 제공, 업무위탁 동의</t>
  </si>
  <si>
    <t>수집·이용 목적</t>
  </si>
  <si>
    <t>거래관계 설정·유지, 상품 제공, 법령상 의무이행, 분쟁처리, 차량 분실 방지, 사고 대응, 보험사고 처리, 채권 관리 등 계약 이행 전반</t>
  </si>
  <si>
    <t>수집 항목</t>
  </si>
  <si>
    <t>사업장 상호·사업자번호·주소·연락처·이메일, 대표자 성명·주민등록번호·휴대전화번호·주소, 거래계좌 정보, 차량 위치정보(FMS 수집 포함)</t>
  </si>
  <si>
    <t>보유·이용 기간</t>
  </si>
  <si>
    <t>수집 목적 달성 후 파기. 단, 전자상거래법 등 관련 법령에 따라 계약·결제 기록 5년, 불량이용자 재가입 방지 기록 해지 후 1년 보존</t>
  </si>
  <si>
    <t>금융거래정보 제공</t>
  </si>
  <si>
    <t>신용카드·자동이체 등록·해지 시까지 회사 및 결제대행사에 거래정보 제공 (금융실명법에 따라 동의)</t>
  </si>
  <si>
    <t>자동이체 동의</t>
  </si>
  <si>
    <t>매월 발생하는 할부금, 보증금, 위약금, 과태료, 범칙금, 보험사 구상금 등을 신용카드 자동승인 또는 계좌 자동이체로 출금 거래 신청</t>
  </si>
  <si>
    <t>업무위탁 내역</t>
  </si>
  <si>
    <t xml:space="preserve">상기 "개인(신용)정보 수집·이용·제공 동의", "금융거래정보 제공 동의", "업무위탁 동의"에 대하여       □ 동의안함       □ 전부 동의함 </t>
  </si>
  <si>
    <t>■ 계약 체결</t>
  </si>
  <si>
    <t>본인은 본 이륜차 할부판매 계약서와 이용약관의 내용을 전부 설명 듣고 확인하였으며, 본 계약에 따른 권리·의무와 운행자성·보험 가입 관리·사고 고지·면책사고 책임 등 제반 사항에 이의 없이 동의합니다.</t>
  </si>
  <si>
    <t>한국모터사이클리스 (유)</t>
  </si>
  <si>
    <t>■ 자동이체 신청 정보</t>
  </si>
  <si>
    <t>신용카드사명</t>
  </si>
  <si>
    <t>카드번호</t>
  </si>
  <si>
    <t>유효기간</t>
  </si>
  <si>
    <t>은행명</t>
  </si>
  <si>
    <t>계좌번호</t>
  </si>
  <si>
    <t>예금주명</t>
  </si>
  <si>
    <t>이륜차 할부판매 계약 이용약관</t>
  </si>
  <si>
    <t>제1조 (목적)</t>
  </si>
  <si>
    <t>제8조 (지연손해금 및 처리 지체 위약금)</t>
  </si>
  <si>
    <t xml:space="preserve">이 약관은 한국모터사이클리스 유한회사(이하 "회사")와 본 계약을 체결한 계약자 간의 이륜차 할부판매에 </t>
  </si>
  <si>
    <t>① 계약자가 계약상 약정된 채무를 기한 내 이행하지 않는 경우 위약금이 발생하며, 위약금 발생 시 회사</t>
  </si>
  <si>
    <t>관한 권리·의무를 규정함을 목적으로 한다.</t>
  </si>
  <si>
    <t>청구일로부터 7일 이내에 지급한다.</t>
  </si>
  <si>
    <t>② "지연손해금"이란, 계약자가 할부금·해지위약금·수리비·과태료 등 회사에 지급할 금액의 납부를 지체한</t>
  </si>
  <si>
    <t>제2조 (용어의 정의)</t>
  </si>
  <si>
    <t>경우 발생하는 금원을 말하며, 다음 산식에 따라 산정한다.</t>
  </si>
  <si>
    <t xml:space="preserve">① "이륜차 할부판매 계약"이란, 회사가 계약자의 요청에 따라 이륜차를 취득하여 일정 기간 사용하게 하고 </t>
  </si>
  <si>
    <t>[지연손해금 = 연체금액 × 경과일수 × 연 15%]</t>
  </si>
  <si>
    <t>그 대가를 정기적으로 지급받는 계약을 말한다.</t>
  </si>
  <si>
    <t>③ "처리 지체 위약금"이란, 할부금 완납 후 명의이전·사용폐지 등 처리절차의 지체로 회사에 발생하는</t>
  </si>
  <si>
    <t>② "이륜차"란, 회사가 본 계약서에 특정한 이륜차로서 인도 시 부착된 부속품·장착물을 포함한다.</t>
  </si>
  <si>
    <t>비용 및 위약을 보전하는 금원을 말하며, 다음 각 호를 합산하여 산정한다.</t>
  </si>
  <si>
    <t>③ "계약기간"이란, 계약자가 본 계약에 따라 이륜차를 인도받아 사용하는 기간을 말한다.</t>
  </si>
  <si>
    <t>1. 정액 처리비: [1만원 × 지체일수] (회사 행정처리·관리 비용)</t>
  </si>
  <si>
    <t>④ "보증금"이란, 할부금 등 본 계약상 채무이행을 담보하기 위해 계약자가 회사에 납부하는 금원을 말하</t>
  </si>
  <si>
    <t>2. 실비: 회사가 실제 부담한 사용폐지·이전등록 신고지연 과태료, 자동차세 등 명의 유지로 부과된</t>
  </si>
  <si>
    <t>며, 계약기간 만료 및 모든 채무 이행 완료 시 반환한다.</t>
  </si>
  <si>
    <t>제세공과금 일체.</t>
  </si>
  <si>
    <t>⑤ "계약자"는 본 계약 1면에 "계약자"로 기재된 사업장을 말하며, 본 계약상 모든 채무를 부담한다.</t>
  </si>
  <si>
    <t>⑥ "연대보증인"이란, 본 계약 1면에 기재되어 계약자와 연대하여 모든 채무를 부담하는 자를 말한다.</t>
  </si>
  <si>
    <t>제9조 (연대보증인의 책임)</t>
  </si>
  <si>
    <t>⑦ "사용자"란, 계약자가 지정·관리하는 자로서 실제로 이륜차를 운행하는 자를 말한다.</t>
  </si>
  <si>
    <t>① 연대보증인은 할부금 지급채무를 포함하여 계약자가 회사에 부담하는 일체의 채무를 보증하며, 계약</t>
  </si>
  <si>
    <t>⑧ "보험 적합 운전자"란, 본 계약 차량에 가입된 보험의 보장범위(운전자 범위·연령·유상운송 적합</t>
  </si>
  <si>
    <t>자와 연대하여 그 채무를 이행한다.</t>
  </si>
  <si>
    <t>여부 등)에 부합하는 자를 말한다.</t>
  </si>
  <si>
    <t>② 계약자가 회사 동의 없이 본 계약상 채무를 제3자에게 인수·승계시킨 경우에도 연대보증인은 채무가</t>
  </si>
  <si>
    <t>⑨ "위약금"이란, 계약자의 귀책사유로 주문 취소 또는 중도 해지 시 회사에 지급하여야 하는 금액을 말한</t>
  </si>
  <si>
    <t>전액 변제될 때까지 보증채무를 부담한다.</t>
  </si>
  <si>
    <t>다.</t>
  </si>
  <si>
    <t>③ 연대보증인은 계약자의 미변제 채무가 남아있는 경우 계약자의 채무를 회사보다 먼저 변제 받을 권리</t>
  </si>
  <si>
    <t>⑩ "구상금"이란, 본 계약 차량 운행 중 발생한 사고로 인해 보험사가 회사에 청구한 금액 일체를 말한다.</t>
  </si>
  <si>
    <t>를 행사할 수 없다.</t>
  </si>
  <si>
    <t>⑪ "미수선처리"란, 사고 발생 시 계약자가 차량을 수리하지 아니하고 임의로 수리비 전부 또는 일부 금액</t>
  </si>
  <si>
    <t>④ 할부금·운전자 범위 변경 등 일부 계약 내용 변경 시 연대보증인이 별도 서명·날인하지 않더라도 동의</t>
  </si>
  <si>
    <t>을 현금으로 지급받는 행위를 말한다.</t>
  </si>
  <si>
    <t>한 것으로 본다. 변경 내용이 연대보증인에게 불리한 경우 계약자는 즉시 통지하여야 하며, 14일 이내 이의</t>
  </si>
  <si>
    <t>⑫ "플랫폼 일차감 프로그램"이란, 계약자가 가맹중인 배달플랫폼 본사와 회사 간의 제휴계약이 체결되어</t>
  </si>
  <si>
    <t>제기 시 회사는 새 보증인의 추가·교체를 요구할 수 있다.</t>
  </si>
  <si>
    <t>있는 경우 해당 플랫폼사의 페이를 통해 할부금·과태료 등 납부가 가능한 전산 시스템을 말한다.</t>
  </si>
  <si>
    <t>⑤ 계약자가 법인인 경우 본 계약 1면에 기재된 법인대표가 연대보증인이 된다. 개인사업자의 경우 사업</t>
  </si>
  <si>
    <t>자 본인이 채무자이므로 별도의 연대보증인을 두지 않는다.</t>
  </si>
  <si>
    <t>제10조 (보험계약의 체결 및 관리)</t>
  </si>
  <si>
    <t>제3조 (서류 제출 및 이륜차 인도)</t>
  </si>
  <si>
    <t>① 본 계약 차량의 보험은 사용자(라이더)가 본인 명의로 직접 가입하며, 회사는 보험계약의 당사자가 아</t>
  </si>
  <si>
    <t>① 계약자는 본 계약 체결에 필요한 서류를 회사에 제출하여야 하며, 보완 요구에도 성실히 응한다.</t>
  </si>
  <si>
    <t>니다. 회사는 보험료를 부담하지 않는다.</t>
  </si>
  <si>
    <t>제출된 서류는 어떠한 경우에도 반환하지 않는다.</t>
  </si>
  <si>
    <t>② 본 차량이 유상운송 목적으로 사용되는 점을 고려하여 사용자는 유상운송 용도에 적합한 자동차보험에</t>
  </si>
  <si>
    <t>② 회사는 청구시작일부터 회사가 지정한 장소에 이륜차를 인도하며, 해당 날짜부터 계약이 개시된다. 인</t>
  </si>
  <si>
    <t>가입하여야 한다. 부적합 보험 가입, 보장 한도 부족, 본인 명의가 아닌 보험 가입 또는 보험사 면책 등의</t>
  </si>
  <si>
    <t>도 이후에는 계약자는 이륜차의 하자·결함을 이유로 할부금 지급의무를 거부할 수 없다.</t>
  </si>
  <si>
    <t>사유로 보험처리가 불가하거나 보험금으로 충당되지 않는 손해(회사에 대한 구상금 청구 포함)는 전적으로</t>
  </si>
  <si>
    <t>③ 출고 당일 단순 변심에 의한 취소 시, 계약자는 차량 회수 비용 일체 및 위약금 10만 원을 회사에 지급</t>
  </si>
  <si>
    <t>계약자가 부담한다.</t>
  </si>
  <si>
    <t>한다.</t>
  </si>
  <si>
    <t>③ 계약자는 사용자의 보험 가입 여부 및 유상운송 적합성을 사전에 확인할 의무가 있으며, 본 계약 기간</t>
  </si>
  <si>
    <t>중 보험 갱신·해지·내용 변경을 관리·감독한다. 계약자는 회사에 사용자의 보험가입증명서를 제출하여야</t>
  </si>
  <si>
    <t>제4조 (소유권 유보 및 이전)</t>
  </si>
  <si>
    <t>하며, 변경 시 즉시 회사에 통지한다.</t>
  </si>
  <si>
    <t>① 본 계약에 따른 이륜차의 소유권은 계약자가 모든 채무를 전액 이행할 때까지 회사에 유보된다.</t>
  </si>
  <si>
    <t>④ 계약 종료 후 무보험 상태에서 운행하여 발생한 사고는 계약자가 전적으로 책임지며 회사는 민사상</t>
  </si>
  <si>
    <t>② 인수형 계약의 경우, 계약자가 모든 채무를 완전히 이행한 때 회사는 회사의 내부 행정 절차에 따라 이</t>
  </si>
  <si>
    <t>책임을 지지 않는다.</t>
  </si>
  <si>
    <t>륜차의 소유권을 계약자에게 이전한다.</t>
  </si>
  <si>
    <t>③ 반납형 계약의 경우 이륜차의 소유권은 계약 종료 후에도 회사에 귀속된다.</t>
  </si>
  <si>
    <t>④ 인수형 계약이라 하더라도 계약기간 만료 및 약정 금액의 완납 전에는 계약자는 이륜차의 소유권을 주</t>
  </si>
  <si>
    <t>제11조 (운행자성 및 운행지배)</t>
  </si>
  <si>
    <t>장할 수 없다.</t>
  </si>
  <si>
    <t>① 본 계약 차량의 소유권은 회사에 있으나, 회사는 자동차손해배상보장법 제3조에서 정한 "자기를 위하여</t>
  </si>
  <si>
    <t>자동차를 운행하는 자"(이하 "운행자")에 해당하지 않는다. 회사는 본 계약 차량에 대한 운행지배 및 운행</t>
  </si>
  <si>
    <t>제5조 (보증금 및 계약금)</t>
  </si>
  <si>
    <t>이익을 갖지 않는다.</t>
  </si>
  <si>
    <t>① 계약자는 계약 체결 시 회사가 지정하는 수납대행사(포어스바이크 유한회사) 계좌로 보증금을 지급한</t>
  </si>
  <si>
    <t>② 본 계약 차량의 운행자는 계약자이며, 운행 중 발생하는 모든 인적·물적 손해에 대한 운행자 책임은 전</t>
  </si>
  <si>
    <t>다. 사전 동의를 받아 보증금 지급이 지연된 경우 회사는 최대 7일의 유예기간을 둘 수 있다.</t>
  </si>
  <si>
    <t>적으로 계약자가 부담한다. 계약자가 사용자에게 차량을 운행하게 한 경우에도 운행자성은 여전히 계약</t>
  </si>
  <si>
    <t>② 전항의 유예기간 내 미지급 시 본 계약은 사전 통지·최고 없이 해지될 수 있으며, 계약자는 즉시 이륜차</t>
  </si>
  <si>
    <t>자에게 있다.</t>
  </si>
  <si>
    <t>를 반환함과 동시에 (1) 인도일부터 반환일까지 일할 사용료, (2) 감가손실액, (3) 차량 등록비·번호판·보험</t>
  </si>
  <si>
    <t>③ 제3자가 회사를 상대로 운행자 책임을 청구하는 경우 계약자는 자신의 비용·책임으로 회사를 면책시켜</t>
  </si>
  <si>
    <t>료 등 회사가 이미 지출한 부대비용 일체를 배상한다.</t>
  </si>
  <si>
    <t>야 하며, 회사가 부득이 배상한 경우 그 금액·관련 비용 일체를 즉시 회사에 상환하여야 한다.</t>
  </si>
  <si>
    <t>③ 보증금은 계약기간 만료 및 모든 채무 이행 완료 시 반환한다. 다만, 미납 과태료·수리비·구상금 등이 확</t>
  </si>
  <si>
    <t>④ 계약자가 본 계약 차량을 사용자에게 운행하게 한 경우에도 운행자성은 여전히 계약자에게 있으며, 사</t>
  </si>
  <si>
    <t>인될 수 있어 만료일로부터 1개월 경과 후 반환한다.</t>
  </si>
  <si>
    <t>용자가 일으킨 사고·손해·구상금은 사용자의 행위라 하더라도 관리·감독을 해태한 계약자가 전적으로 책</t>
  </si>
  <si>
    <t>④ 미납 과태료·범칙금은 보증금에서 공제하고 잔액을 반환하며, 초과분은 계약자가 추가 납부한다.</t>
  </si>
  <si>
    <t>임진다.</t>
  </si>
  <si>
    <t>⑤ 계약이 중도 해지된 경우 보증금은 반환하지 않으며, 위약금 및 손해배상금은 별도로 청구한다.</t>
  </si>
  <si>
    <t>제12조 (사고 발생 시 고지 의무)</t>
  </si>
  <si>
    <t>제6조 (할부금 및 결제)</t>
  </si>
  <si>
    <t>① 회사는 본 계약 차량의 운행자가 아니므로 사고 발생 사실을 직접 인지할 수 없다. 따라서 본 조의 고지</t>
  </si>
  <si>
    <t xml:space="preserve">① 계약자는 공휴일과 무관하게 정해진 납부기한에 회사가 지정하는 수납대행사(포어스바이크 유한회사) </t>
  </si>
  <si>
    <t>의무는 본 계약상 계약자의 핵심 의무에 해당한다.</t>
  </si>
  <si>
    <t>계좌로 할부금 등 모든 비용을 직접 납부한다. 타 계좌 입금분은 수납이 확인되지 아니할 수 있다.</t>
  </si>
  <si>
    <t>② 다음 사유 발생 시 계약자는 사용자로부터 통보받은 즉시 회사에 고지하여야 한다: 인적·물적 손해사고,</t>
  </si>
  <si>
    <t>② 매도인 가격 인상, 정부 정책, 보험사 단가 변경 등 불가피한 사정으로 할부금이 변동될 경우 회사는 계</t>
  </si>
  <si>
    <t>단독사고·차량 파손, 도난·멸실·분실, 보험사 접수 필요 사건, 무면허·음주·약물·범죄 목적 운전 등 면책사유</t>
  </si>
  <si>
    <t>약자에게 개별 통지하며, 계약자는 출고 이전까지 계약을 취소할 수 있다.</t>
  </si>
  <si>
    <t>해당 운행 사실 인지.</t>
  </si>
  <si>
    <t>③ 이륜차 도난·멸실·훼손 등으로 운행이 불가능한 사유가 발생하더라도 계약자는 할부금 지급의무를 거부</t>
  </si>
  <si>
    <t>③ 고지에는 사고 일시·장소·경위, 운전자 신원·면허·음주 여부, 상대방 정보, 보험사 접수번호, 차량상태가</t>
  </si>
  <si>
    <t>할 수 없다.</t>
  </si>
  <si>
    <t>포함된다.</t>
  </si>
  <si>
    <t>④ 계약자가 가맹중인 배달플랫폼 본사와 회사 간의 제휴계약이 체결되어 있는 경우, 해당 배달플랫폼사의</t>
  </si>
  <si>
    <t>④ 계약자가 고지 의무를 위반(미고지·지연 고지·허위 고지)하는 경우 다음 책임을 부담한다: (1) 보험사 면</t>
  </si>
  <si>
    <t>페이를 통하여 할부금·과태료 등의 납부가 가능하다. 본 프로그램을 이용하는 계약자는 과태료·범칙금 등의</t>
  </si>
  <si>
    <t>책으로 인한 미보장 손해, (2) 추가 발생 구상금·과태료·소송비용·변호사비, (3) 회사가 사고를 알지 못한 상</t>
  </si>
  <si>
    <t>일회성 차감에 동의한다. 단, 다음 각 호에 해당하는 경우 플랫폼 일차감 프로그램은 즉시 중단되며, 본 조</t>
  </si>
  <si>
    <t>태에서 차량 처분·계약 갱신·보험 정산을 진행함으로써 발생한 손해 일체.</t>
  </si>
  <si>
    <t>제1항·2항·3항에 따라 결제방법이 즉시 변경된다.</t>
  </si>
  <si>
    <t>⑤ 위 책임 부담과 별도로 회사는 본 계약을 즉시 해지하고 차량을 회수할 수 있다. 보증금은 반환하지 아</t>
  </si>
  <si>
    <t>1. 계약자와 배달플랫폼사 간의 가맹계약이 종료된 경우</t>
  </si>
  <si>
    <t>니하며, 위약금 및 손해배상금은 별도로 청구한다.</t>
  </si>
  <si>
    <t>2. 배달플랫폼 본사와 회사 간의 제휴계약이 종료된 경우</t>
  </si>
  <si>
    <t xml:space="preserve">3. 배달플랫폼사의 페이가 72시간 연속으로 회사가 요청하는 금액만큼 회사 계좌로 출금되지 아니한 </t>
  </si>
  <si>
    <t>제13조 (보험 면책사고 및 구상금)</t>
  </si>
  <si>
    <t>경우</t>
  </si>
  <si>
    <t>① 보험사가 면책하거나 회사에 구상금을 청구하는 사고로서 다음 각 호에 해당하는 경우, 그 손해 일체는</t>
  </si>
  <si>
    <t>계약자가 부담한다: (1) 고의·범죄·도난·무단이용 중 사고, (2) 무면허·음주·약물·운전자 자격 미충족자 운</t>
  </si>
  <si>
    <t>제7조 (사용자의 자격 및 관리·감독 의무)</t>
  </si>
  <si>
    <t>전, (3) 12대 중과실 사고, (4) 운전자 범위 위반, (5) 경기·시범·연습용 등 비일상적 사용, (6) 그 밖의 보</t>
  </si>
  <si>
    <t>① 본 계약 차량은 보험 적합 운전자만이 운행할 수 있으며, 계약자는 사용자의 자격을 관리·감독할 의</t>
  </si>
  <si>
    <t>험약관상 면책사항, (7) 가입된 보험의 보장범위에 적합하지 않은 운전 또는 보장 한도 초과분.</t>
  </si>
  <si>
    <t>무를 부담한다.</t>
  </si>
  <si>
    <t>② 회사가 본 조 사유와 관련하여 다음 각 호의 지출을 한 경우, 회사는 그 사실을 계약자에게 통보하며, 계</t>
  </si>
  <si>
    <t>② 보험 적합 운전자가 아닌 자가 운행하여 발생한 모든 사고·손해·구상금은 회사의 라이더 신원·자격</t>
  </si>
  <si>
    <t>약자는 통보 후 7일 이내에 그 금액 및 관련 비용(변호사비·소송비 등) 일체를 회사에 변제한다: (1) 보험사</t>
  </si>
  <si>
    <t>확인 여부와 관계없이 계약자가 전적으로 책임진다.</t>
  </si>
  <si>
    <t>가 회사에 청구한 구상금, (2) 회사가 제3자에게 직접 지급한 손해배상금</t>
  </si>
  <si>
    <t>③ 회사는 사용자의 신원·자격·보험 적합성을 사전에 확인할 의무를 부담하지 않는다.</t>
  </si>
  <si>
    <t xml:space="preserve">③ 7일 이내 미변제 시 본 계약은 사전 통지·최고 없이 해지될 수 있으며 회사는 계약된 모든 차량을 즉시 </t>
  </si>
  <si>
    <t>회수한다. 보증금은 반환하지 않으며, 위약금 및 손해배상금은 별도로 청구한다.</t>
  </si>
  <si>
    <t>제14조 (사고 처리 및 미수선처리 금지)</t>
  </si>
  <si>
    <t>제22조 (계약의 해지)</t>
  </si>
  <si>
    <t>① 사고 발생 시 계약자는 사용자가 회사가 지정하는 수리센터로 입고하여 수리를 진행하게 하며, 관계 법</t>
  </si>
  <si>
    <t>① 계약자는 해지 예정일 최소 10일 전에 회사에 사전 통지한다.</t>
  </si>
  <si>
    <t>령 및 보험계약상의 절차에 따라 사고를 처리한다.</t>
  </si>
  <si>
    <t>② 회사의 중대한 귀책사유가 아닌 경우 계약자는 위약금을 회사에 지급한다.</t>
  </si>
  <si>
    <t>② 할부 기간 중 미수선처리는 불가하다.</t>
  </si>
  <si>
    <t>③ 계약자는 해지일까지 회사가 지정한 장소에 이륜차를 반환하며, 관련 비용은 계약자가 부담한다.</t>
  </si>
  <si>
    <t>④ 최종 해지일은 이륜차가 회사에 반환된 날을 기준으로 하며, 계약자는 회사의 평가·정산 절차에 성실히</t>
  </si>
  <si>
    <t>제15조 (계약자 및 사용자의 책임)</t>
  </si>
  <si>
    <t>협조하여야 한다.</t>
  </si>
  <si>
    <t>① 계약자는 선량한 관리자의 주의로 이륜차를 유지·관리하며, 사용자의 채용·해고·교육·관리·운행 자격(보</t>
  </si>
  <si>
    <t>⑤ 다음 각 호에 해당하는 경우 계약자는 사전 통지·최고 없이 기한이익을 상실하며, 회사는 본 계약을 해</t>
  </si>
  <si>
    <t>험 적합성·면허·음주 등) 확인을 직접 수행한다. 사용자가 일으킨 사고·손해·과태료·구상금은 관리 해태 여부 불</t>
  </si>
  <si>
    <t>지하고 차량 인도를 청구할 수 있다: (1) 이륜차 무단 양도·전대 또는 보험 인정 사용자 이외의 자에게 사</t>
  </si>
  <si>
    <t>문 계약자가 전적으로 책임진다.</t>
  </si>
  <si>
    <t>용, (2) 보험 적합 운전자가 아닌 자의 운전 사실 발견, (3) 정해진 납부기한에 할부금 미납 및 7일 이상 지</t>
  </si>
  <si>
    <t>② 계약자는 계약기간 중 임의로 부착물을 추가하거나 이륜차 구조를 변경할 수 없다.</t>
  </si>
  <si>
    <t>체, (4) 통지받은 수리비·과태료·구상금 등을 정당한 사유 없이 7일 이내 미납, (5) 무면허·음주운전 등 운전</t>
  </si>
  <si>
    <t>③ 이륜차 소유권은 회사에 있으며, 계약자는 사용수익권·운행이익권을 가진다. 계약 해지 시 즉시 운행을</t>
  </si>
  <si>
    <t>자 귀책 배상금 청구 후 7일 이내 미납, (6) 제3자 담보 제공 등 회사 소유권 침해 또는 차량 규격·성능·표지</t>
  </si>
  <si>
    <t>중단하고 이륜차를 반환한다.</t>
  </si>
  <si>
    <t xml:space="preserve">의 무단 변경·훼손, (7) 위치정보 장치 훼손·은닉, (8) 보험사 구상금 통보 후 7일 이내 미변제, (9) 사고 발생  </t>
  </si>
  <si>
    <t>④ 제3자가 이륜차에 대해 권리를 주장하거나 강제집행 등으로 회사 소유권을 침해할 위험이 있는 경우,</t>
  </si>
  <si>
    <t>시 고지 의무 위반.</t>
  </si>
  <si>
    <t>계약자는 회사의 소유임을 주장·입증하고 즉시 회사에 통지한다.</t>
  </si>
  <si>
    <t>⑤ 계약자는 인도일부터 반환일까지 이륜차의 도난·멸실·훼손에 대한 책임을 부담하며, 지체 없이 회사에</t>
  </si>
  <si>
    <t>제23조 (이륜차 반환 및 계약만료 후 처리)</t>
  </si>
  <si>
    <t>통보한 후 자신의 비용으로 다음 각 호 중 하나를 5일 이내에 이행한다. (1) 원상복구 수리, (2) 동일 차종</t>
  </si>
  <si>
    <t>① 본 계약이 해지되는 경우 계약자는 즉시 회사가 지정한 장소로 이륜차를 반환한다.</t>
  </si>
  <si>
    <t>·색상·연식 등 구성이 동일한 차량으로 교체(교체차량은 회사 소유로 본 계약상 이륜차로 간주), (3) 인수형</t>
  </si>
  <si>
    <t>② 계약자가 반환을 지연·거부하는 경우 회사는 이륜차를 임의로 회수할 수 있으며, 계약자는 회사의 적법</t>
  </si>
  <si>
    <t>계약의 경우 잔여 할부금 100%를 5일 내 지급하여 계약 종료, 반납형 계약의 경우 (1)·(2) 중 선택. 차량 대</t>
  </si>
  <si>
    <t>한 회수에 대해 이의를 제기할 수 없다. 회수 비용 일체는 계약자가 부담한다.</t>
  </si>
  <si>
    <t>체 시 발생하는 실비(취득세·인지세·번호판 발급비 등)는 변경건별로 즉시 납부한다.</t>
  </si>
  <si>
    <t>③ 계약자가 이륜차 반환을 지연한 경우, 해지일부터 최종 반환일까지 제8조에 따른 처리 지체 위약금을</t>
  </si>
  <si>
    <t>⑥ 이륜차의 등록·유지·사용·등록말소·폐차 등과 관련하여 할부금에 포함되지 않은 비용 및 제세공과금(과</t>
  </si>
  <si>
    <t>회사에 지급한다.</t>
  </si>
  <si>
    <t>태료·범칙금·벌과금 등)은 전적으로 계약자가 부담한다.</t>
  </si>
  <si>
    <t>④ 계약자는 계약만료일 이후 이륜차를 운행하여서는 아니 되며, 만료 후 임의 운행으로 발생하는 사고에</t>
  </si>
  <si>
    <t>회사는 민사상 책임을 지지 않는다.</t>
  </si>
  <si>
    <t>제16조 (계약의 이관 및 승계)</t>
  </si>
  <si>
    <t>⑤ 인수형 계약: (1) 명의 이전 시 보험가입증명서·신분증 제출, (2) 사용폐지 시 만료일 익일에 번호판 등기</t>
  </si>
  <si>
    <t>① 계약자는 회사의 사전 승인 없이 본 계약상 권리·의무를 제3자에게 승계할 수 없다.</t>
  </si>
  <si>
    <t>발송 중 하나를 선택한다. 반납형 계약: 만료일 익일에 이륜차를 반환한다. 회사는 수리비를 보증금에서</t>
  </si>
  <si>
    <t>② 계약자가 제3자에게 승계하고자 하는 경우 인적사항·신용상태·영업상황 등 필요 정보를 제공하며, 회사</t>
  </si>
  <si>
    <t>차감 후 잔액을 지급하며, 수리비가 보증금을 초과하는 경우 차액을 계약자가 납부한다.</t>
  </si>
  <si>
    <t>는 심사기준에 부합하지 않으면 거절할 수 있다.</t>
  </si>
  <si>
    <t>⑥ 인수형 계약에서 명의이전 시 취·등록세는 계약자가 부담하며 신고는 회사가 대행한다.</t>
  </si>
  <si>
    <t>③ 회사의 승인 없이 계약자가 제3자에게 넘긴 경우, 계약자는 할부금 및 기타 채무 지급의무를 계속 이행</t>
  </si>
  <si>
    <t>⑦ 인수형 계약에 미납금이 있는 경우 만료일까지 전액 완납되어야 한다. D+3일 미납 시 차량 회수,</t>
  </si>
  <si>
    <t>D+15일 미완납 시 기한이익을 상실하며, 회사는 차량을 처분하여 미납금·연체이자·회수 및 처분비용에</t>
  </si>
  <si>
    <t>④ 계약이관을 위해서는 할부금·수리비·위약금·과태료 등 일체의 미납금이 없어야 한다. 승계받을 제3자가</t>
  </si>
  <si>
    <t>충당할 수 있다. 충당 후 부족분은 계약자에게 청구한다.</t>
  </si>
  <si>
    <t>계약이관서에 서명함으로써 절차는 완료된 것으로 본다.</t>
  </si>
  <si>
    <t>⑧ 명의이전·폐지·반납 서류는 만료일 익일까지 완료한다. 지체 시 계약자는 제8조 처리 지체 위약금</t>
  </si>
  <si>
    <t>및 실비를 회사에 납부한다.</t>
  </si>
  <si>
    <t>제17조 (차량 위치정보 등 제공 동의)</t>
  </si>
  <si>
    <t>① 본 차량에는 도난·멸실·분실 위험 방지를 위해 위치정보 수집 장치가 부착되어 있으며, 계약자는 이를</t>
  </si>
  <si>
    <t>제24조 (변제충당 및 계열사 미납 교차)</t>
  </si>
  <si>
    <t>인지하고 동의한다.</t>
  </si>
  <si>
    <t>① 계약자가 납입한 금액이 납입일 현재 채무 전액을 충당하기에 부족한 경우, 회사는 납기일 기준으로</t>
  </si>
  <si>
    <t>② 계약자는 사용자가 운행되는 전 기간에 대하여 위치정보 수집·이용·제공의 적법성을 확보할 책임을 부</t>
  </si>
  <si>
    <t>먼저 도래한 채무액부터 우선 충당한다.</t>
  </si>
  <si>
    <t>담하며, 이와 관련하여 제3자로부터 회사에 제기되는 일체의 청구·손해·과태료에 대해 계약자가 전적으로</t>
  </si>
  <si>
    <t>② 연체이자가 있는 경우 연체이자, 지연손해금, 위약금, 원금의 순으로 충당한다.</t>
  </si>
  <si>
    <t>책임진다.</t>
  </si>
  <si>
    <t>③ 계약자가 회사 또는 회사의 계열사(포어스바이크 유한회사 포함)와 체결한 모든 이륜차 계약은 미수금</t>
  </si>
  <si>
    <t>이 양방향으로 작용한다. 즉, 계열사 계약에서 발생한 미수금은 본 계약에, 본 계약에서 발생한 미수금은</t>
  </si>
  <si>
    <t>계열사 계약에 동일하게 작용하여, 미수금이 7일 이상 지속되는 경우 어느 회사든 자사 계약을 해지하고</t>
  </si>
  <si>
    <t xml:space="preserve"> 차량을 즉시 회수할 수 있다.</t>
  </si>
  <si>
    <t>제18조 (금지행위)</t>
  </si>
  <si>
    <t>계약자는 다음 행위를 하여서는 아니 된다: (1) 이륜차의 무단 양도·전대 등 본 계약상 권리를 제3자에게 양</t>
  </si>
  <si>
    <t>도, (2) 가입된 보험의 보장범위에 적합하지 않은 사용자에게 운행하게 하거나 본 계약 차량을 보험 부적</t>
  </si>
  <si>
    <t>제25조 (세금계산서 발급)</t>
  </si>
  <si>
    <t>합 용도로 운행하게 하는 행위, (3) 이륜차 규격·성능·기능의 임의 변경 또는 번호판 훼손, (4) 이륜차를 제</t>
  </si>
  <si>
    <t>① 세금계산서는 본 계약서에 명시된 사업자등록번호를 기준으로 회사 명의로 발행한다.</t>
  </si>
  <si>
    <t>3자에게 담보 제공 등 회사 소유권 침해 행위, (5) 이륜차 부착 표지 또는 위치정보 수집 장치의 훼손·은닉·</t>
  </si>
  <si>
    <t>② 발행 대상이 변경되는 경우 계약자는 익월 5일까지 회사에 통지한다.</t>
  </si>
  <si>
    <t>위치 변경 등 본래의 효용을 해하는 행위.</t>
  </si>
  <si>
    <t>③ 세금계산서 또는 현금영수증 발행에 영향을 미치는 사항에 변경이 발생한 경우 즉시 회사에 통지하며,</t>
  </si>
  <si>
    <t xml:space="preserve"> 통지의무 해태로 발생하는 불이익은 계약자가 부담한다.</t>
  </si>
  <si>
    <t>제19조 (제3자에 대한 면책)</t>
  </si>
  <si>
    <t>① 계약 기간 종료·해지 여부와 무관하게, 이륜차 인수일부터 반환일까지 제3자가 회사를 상대로 인적·물</t>
  </si>
  <si>
    <t>제26조 (준거법 및 관할)</t>
  </si>
  <si>
    <t>적 손해배상을 청구하는 경우 계약자는 자신의 비용·책임으로 회사를 면책시킨다.</t>
  </si>
  <si>
    <t>본 계약은 대한민국 법률에 따라 해석·적용하며, 본 계약과 관련하여 분쟁이 발생하는 경우 수원지방법원</t>
  </si>
  <si>
    <t>② 회사가 소유자라는 이유로 직접 손해배상한 경우 계약자는 회사가 지급한 금액과 관련 제비용을 즉시</t>
  </si>
  <si>
    <t>을 전속 관할 법원으로 한다.</t>
  </si>
  <si>
    <t>상환한다.</t>
  </si>
  <si>
    <t>③ 회사가 제3자 청구에 방어를 한 경우 계약자는 방어 관련 지출된 소송비용 등 일체를 부담한다.</t>
  </si>
  <si>
    <t>제27조 (차량 평가 및 감가 기준)</t>
  </si>
  <si>
    <t>계약 만료·해지로 이륜차가 회사에 반환된 경우, 회사는 다음 기준에 따라 감가액을 산정한다: (1) 커버류</t>
  </si>
  <si>
    <t>제20조 (해지위약금 등의 부과방법)</t>
  </si>
  <si>
    <t>교체·수리 필요 시 부위당 4%, (2) 차대 교체·수리 필요 시 부위당 6%, (3) 도장·판금 작업 필요 시 30~50만</t>
  </si>
  <si>
    <t>원 범위. 실제 수리비가 본 기준을 초과하는 경우 실비를 기준으로 청구할 수 있다.</t>
  </si>
  <si>
    <t>② 반환된 이륜차·부착물·키 부속품 일체에 파손이 있는 경우 계약자는 원상복구 수리비를 회사 청구일로</t>
  </si>
  <si>
    <t>제28조 (제조사 A/S 및 차량 하자)</t>
  </si>
  <si>
    <t>부터 7일 이내에 지급한다.</t>
  </si>
  <si>
    <t>① 할부계약 개시일 당시 신차를 인수받았거나 본 계약 차량이 제조사 보증기간 내에 있는 경우 차량</t>
  </si>
  <si>
    <t>하자 발생 시 제조사의 A/S 정책에 따르며, 처리 과정에서 발생하는 비용 및 손해는 회사가 책임지지 아니</t>
  </si>
  <si>
    <t>제21조 (과태료·범칙금·제세공과금)</t>
  </si>
  <si>
    <t>하고 이로 인하여 계약자의 할부금 지급의무에는 영향을 미치지 않는다.</t>
  </si>
  <si>
    <t>① 계약자가 본 계약 차량의 운행과 관련하여 과태료·범칙금 등을 부과받은 경우, 회사는 그 사실을 계약</t>
  </si>
  <si>
    <t>② 계약자는 A/S 처리를 사유로 차량의 교체 또는 반납을 요구할 수 없다.</t>
  </si>
  <si>
    <t>자에게 안내하며, 계약자는 즉시 납부하여야 한다.</t>
  </si>
  <si>
    <t>② 계약만기일까지 미납된 과태료·범칙금 등이 있는 경우, 회사는 해당 금액을 보증금에서 공제한 후 잔액</t>
  </si>
  <si>
    <t>제29조 (약관의 변경)</t>
  </si>
  <si>
    <t>을 반환한다. 미납금이 보증금을 초과하는 경우 계약자는 그 차액을 추가 납부하여야 한다.</t>
  </si>
  <si>
    <t>① 회사는 본 약관을 변경할 수 있으며, 변경된 약관을 기존 계약에 소급 적용하는 경우 그 내용을 서면</t>
  </si>
  <si>
    <t>③ 계약만료 후 이륜차의 명의이전에 따른 취·등록세 등 제세공과금은 계약자가 부담한다.</t>
  </si>
  <si>
    <t>으로 작성하여 적용 예정일로부터 14일 이전까지 계약자에게 통지한다.</t>
  </si>
  <si>
    <t>② 계약자가 적용 예정일까지 이의를 제기하지 않는 경우, 변경된 약관을 승인한 것으로 본다.</t>
  </si>
  <si>
    <t>이용약관의 내용에 대해서 설명을 듣고 확인하였습니다.</t>
  </si>
  <si>
    <t>① 위약금은 잔여기간 동안 회사가 입는 손해에 대한 배상액으로 [잔여기간 총 할부금 × 20%]로 정하며,</t>
    <phoneticPr fontId="20" type="noConversion"/>
  </si>
  <si>
    <t>기납부 보증금은 이와 별도로 계약 위반에 대한 위약벌로서 회사에 귀속되어 반환하지 않는다. 계약자는</t>
    <phoneticPr fontId="20" type="noConversion"/>
  </si>
  <si>
    <r>
      <rPr>
        <sz val="8"/>
        <rFont val="맑은 고딕"/>
        <family val="3"/>
        <charset val="129"/>
      </rPr>
      <t>위약금을 계약 해지일까지 회사에 지급하여야 한다.</t>
    </r>
    <phoneticPr fontId="20" type="noConversion"/>
  </si>
  <si>
    <t>④ 본 조 적용을 위하여 계약자는 회사와 계열사 간 미수금·계약·결제 관련 정보 공유에 동의한다. 공유</t>
    <phoneticPr fontId="20" type="noConversion"/>
  </si>
  <si>
    <t>항목은 사업자등록번호, 미수금 금액·발생일, 연대보증인 성명·연락처에 한하며, 보유기간은 미수금 변제</t>
    <phoneticPr fontId="20" type="noConversion"/>
  </si>
  <si>
    <t>일까지로 한다.</t>
    <phoneticPr fontId="20" type="noConversion"/>
  </si>
  <si>
    <t>③ 계약자는 위치정보 장치를 임의로 변경·제거·훼손할 수 없으며, 회사는 채무불이행, 계약 해지, 회수 절</t>
    <phoneticPr fontId="20" type="noConversion"/>
  </si>
  <si>
    <t>차, 보험 처리 등 본 계약 이행·관리에 필요한 범위 내에서만 위치정보를 활용한다.</t>
    <phoneticPr fontId="20" type="noConversion"/>
  </si>
  <si>
    <t>회사는 운행자가 아니므로 사고 발생 사실을 직접 인지할 수 없습니다. 사고(인적·물적 손해, 단독사고, 차량 파손, 도난, 멸실 등 일체) 발생 시 계약자는 즉시 회사에 고지하여야 하며, 미고지·지연 고지로 발생하는 모든 손해(보험 미보장 손해, 구상금·과태료, 소송비용·변호사비, 그 밖에 미고지·지연 고지로 인하여 회사가 입은 손해 일체)는 계약자가 전적으로 책임지며 회사는 본 계약을 즉시 해지하고 차량을 회수할 수 있습니다.</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</si>
</sst>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font>
      <sz val="11"/>
      <color theme="1"/>
      <name val="Calibri"/>
      <family val="2"/>
      <charset val="1"/>
    </font>
    <font>
      <sz val="10"/>
      <color rgb="FF000000"/>
      <name val="맑은 고딕"/>
      <family val="3"/>
      <charset val="129"/>
    </font>
    <font>
      <sz val="10"/>
      <name val="맑은 고딕"/>
      <family val="3"/>
      <charset val="129"/>
    </font>
    <font>
      <b/>
      <sz val="12"/>
      <color rgb="FFC00000"/>
      <name val="맑은 고딕"/>
      <family val="3"/>
      <charset val="129"/>
    </font>
    <font>
      <b/>
      <sz val="11"/>
      <color rgb="FFC00000"/>
      <name val="맑은 고딕"/>
      <family val="3"/>
      <charset val="129"/>
    </font>
    <font>
      <b/>
      <sz val="9"/>
      <color rgb="FFC00000"/>
      <name val="맑은 고딕"/>
      <family val="3"/>
      <charset val="129"/>
    </font>
    <font>
      <b/>
      <sz val="9"/>
      <color rgb="FF1F3864"/>
      <name val="맑은 고딕"/>
      <family val="3"/>
      <charset val="129"/>
    </font>
    <font>
      <sz val="8"/>
      <color rgb="FF2B2B2B"/>
      <name val="DejaVu Sans"/>
      <family val="2"/>
    </font>
    <font>
      <sz val="8"/>
      <color rgb="FF2B2B2B"/>
      <name val="DejaVu Sans"/>
      <family val="3"/>
      <charset val="129"/>
    </font>
    <font>
      <sz val="8"/>
      <color rgb="FF2B2B2B"/>
      <name val="맑은 고딕"/>
      <family val="3"/>
      <charset val="129"/>
    </font>
    <font>
      <sz val="8"/>
      <color theme="1"/>
      <name val="맑은 고딕"/>
      <family val="3"/>
      <charset val="129"/>
    </font>
    <font>
      <sz val="8"/>
      <color rgb="FF2B2B2B"/>
      <name val="DejaVu Sans"/>
      <family val="1"/>
      <charset val="129"/>
    </font>
    <font>
      <sz val="8"/>
      <color theme="1"/>
      <name val="DejaVu Sans"/>
      <family val="3"/>
      <charset val="129"/>
    </font>
    <font>
      <b/>
      <sz val="10"/>
      <color rgb="FF1F3864"/>
      <name val="DejaVu Sans"/>
      <family val="2"/>
      <charset val="1"/>
    </font>
    <font>
      <sz val="10"/>
      <name val="DejaVu Sans"/>
      <family val="2"/>
      <charset val="1"/>
    </font>
    <font>
      <sz val="10"/>
      <color theme="1"/>
      <name val="Calibri"/>
      <family val="2"/>
      <charset val="1"/>
    </font>
    <font>
      <sz val="10"/>
      <color rgb="FF111111"/>
      <name val="맑은 고딕"/>
      <family val="3"/>
      <charset val="129"/>
    </font>
    <font>
      <b/>
      <sz val="11"/>
      <color rgb="FF0F172A"/>
      <name val="맑은 고딕"/>
      <family val="3"/>
      <charset val="129"/>
    </font>
    <font>
      <b/>
      <sz val="10"/>
      <color rgb="FF991B1B"/>
      <name val="맑은 고딕"/>
      <family val="3"/>
      <charset val="129"/>
    </font>
    <font>
      <b/>
      <sz val="11"/>
      <color rgb="FF111111"/>
      <name val="맑은 고딕"/>
      <family val="3"/>
      <charset val="129"/>
    </font>
    <font>
      <sz val="8"/>
      <name val="돋움"/>
      <family val="3"/>
      <charset val="129"/>
    </font>
    <font>
      <sz val="8"/>
      <color rgb="FF2B2B2B"/>
      <name val="DejaVu Sans"/>
      <family val="1"/>
    </font>
    <font>
      <b/>
      <sz val="9"/>
      <color rgb="FF1F4E89"/>
      <name val="맑은 고딕"/>
      <family val="3"/>
      <charset val="129"/>
    </font>
    <font>
      <b/>
      <sz val="14"/>
      <color rgb="FFFFFFFF"/>
      <name val="맑은 고딕"/>
      <family val="3"/>
      <charset val="129"/>
    </font>
    <font>
      <sz val="8"/>
      <color rgb="FF2B2B2B"/>
      <name val="맑은 고딕"/>
      <family val="1"/>
      <charset val="129"/>
    </font>
    <font>
      <sz val="8"/>
      <color rgb="FF2B2B2B"/>
      <name val="DejaVu Sans"/>
      <family val="2"/>
      <charset val="129"/>
    </font>
    <font>
      <sz val="9"/>
      <color rgb="FF000000"/>
      <name val="맑은 고딕"/>
      <family val="3"/>
      <charset val="129"/>
    </font>
    <font>
      <sz val="8"/>
      <color theme="1"/>
      <name val="맑은 고딕"/>
      <family val="1"/>
      <charset val="129"/>
    </font>
    <font>
      <b/>
      <sz val="9"/>
      <color rgb="FFFFFFFF"/>
      <name val="맑은 고딕"/>
      <family val="3"/>
      <charset val="129"/>
    </font>
    <font>
      <sz val="10"/>
      <color rgb="FF000000"/>
      <name val="맑은 고딕"/>
      <family val="3"/>
      <charset val="129"/>
    </font>
    <font>
      <i/>
      <sz val="8"/>
      <color rgb="FF808080"/>
      <name val="맑은 고딕"/>
      <family val="3"/>
      <charset val="129"/>
    </font>
    <font>
      <b/>
      <sz val="18"/>
      <color rgb="FFFFFFFF"/>
      <name val="맑은 고딕"/>
      <family val="3"/>
      <charset val="129"/>
    </font>
    <font>
      <b/>
      <sz val="10"/>
      <color rgb="FF1F4E89"/>
      <name val="맑은 고딕"/>
      <family val="3"/>
      <charset val="129"/>
    </font>
    <font>
      <b/>
      <sz val="9"/>
      <color rgb="FF1F3864"/>
      <name val="맑은 고딕"/>
      <family val="3"/>
      <charset val="129"/>
    </font>
    <font>
      <b/>
      <sz val="11"/>
      <color rgb="FFFFFFFF"/>
      <name val="맑은 고딕"/>
      <family val="3"/>
      <charset val="129"/>
    </font>
    <font>
      <b/>
      <sz val="9"/>
      <color rgb="FFC00000"/>
      <name val="맑은 고딕"/>
      <family val="3"/>
      <charset val="129"/>
    </font>
    <font>
      <b/>
      <sz val="8"/>
      <color rgb="FFC00000"/>
      <name val="맑은 고딕"/>
      <family val="3"/>
      <charset val="129"/>
    </font>
    <font>
      <i/>
      <sz val="8"/>
      <color rgb="FF595959"/>
      <name val="맑은 고딕"/>
      <family val="3"/>
      <charset val="129"/>
    </font>
    <font>
      <sz val="8"/>
      <color rgb="FF404040"/>
      <name val="맑은 고딕"/>
      <family val="3"/>
      <charset val="129"/>
    </font>
    <font>
      <sz val="9"/>
      <color rgb="FF000000"/>
      <name val="맑은 고딕"/>
      <family val="3"/>
      <charset val="129"/>
    </font>
    <font>
      <b/>
      <sz val="9"/>
      <color rgb="FF1F4E89"/>
      <name val="맑은 고딕"/>
      <family val="3"/>
      <charset val="129"/>
    </font>
    <font>
      <sz val="8"/>
      <color rgb="FF2B2B2B"/>
      <name val="맑은 고딕"/>
      <family val="3"/>
      <charset val="129"/>
    </font>
    <font>
      <b/>
      <sz val="20"/>
      <color rgb="FF0F172A"/>
      <name val="맑은 고딕"/>
      <family val="3"/>
      <charset val="129"/>
    </font>
    <font>
      <i/>
      <sz val="10"/>
      <color rgb="FF6B7280"/>
      <name val="맑은 고딕"/>
      <family val="3"/>
      <charset val="129"/>
    </font>
    <font>
      <sz val="10"/>
      <color rgb="FF111111"/>
      <name val="맑은 고딕"/>
      <family val="3"/>
      <charset val="129"/>
    </font>
    <font>
      <b/>
      <sz val="12"/>
      <color rgb="FF0F172A"/>
      <name val="맑은 고딕"/>
      <family val="3"/>
      <charset val="129"/>
    </font>
    <font>
      <b/>
      <sz val="10"/>
      <color rgb="FF991B1B"/>
      <name val="맑은 고딕"/>
      <family val="3"/>
      <charset val="129"/>
    </font>
    <font>
      <sz val="9.5"/>
      <color rgb="FF111111"/>
      <name val="맑은 고딕"/>
      <family val="3"/>
      <charset val="129"/>
    </font>
    <font>
      <b/>
      <sz val="10"/>
      <color rgb="FF111111"/>
      <name val="맑은 고딕"/>
      <family val="3"/>
      <charset val="129"/>
    </font>
    <font>
      <sz val="11"/>
      <color rgb="FF111111"/>
      <name val="맑은 고딕"/>
      <family val="3"/>
      <charset val="129"/>
    </font>
    <font>
      <b/>
      <sz val="11"/>
      <color rgb="FF111111"/>
      <name val="맑은 고딕"/>
      <family val="3"/>
      <charset val="129"/>
    </font>
    <font>
      <b/>
      <sz val="10"/>
      <name val="맑은 고딕"/>
      <family val="3"/>
      <charset val="129"/>
    </font>
    <font>
      <sz val="8"/>
      <name val="맑은 고딕"/>
      <family val="3"/>
      <charset val="129"/>
    </font>
    <font>
      <sz val="11"/>
      <name val="Calibri"/>
      <family val="2"/>
      <charset val="1"/>
    </font>
    <font>
      <sz val="9.5"/>
      <name val="맑은 고딕"/>
      <family val="3"/>
      <charset val="129"/>
    </font>
    <font>
      <b/>
      <sz val="8"/>
      <color rgb="FFC00000"/>
      <name val="맑은 고딕"/>
      <family val="3"/>
      <charset val="129"/>
    </font>
    <font>
      <sz val="8"/>
      <color rgb="FF404040"/>
      <name val="맑은 고딕"/>
      <family val="3"/>
      <charset val="129"/>
    </font>
    <font>
      <b/>
      <u/>
      <sz val="8"/>
      <color rgb="FFFF0000"/>
      <name val="맑은 고딕"/>
      <family val="3"/>
      <charset val="129"/>
    </font>
    <font>
      <b/>
      <sz val="8"/>
      <name val="맑은 고딕"/>
      <family val="3"/>
      <charset val="129"/>
    </font>
    <font>
      <b/>
      <sz val="11"/>
      <color rgb="FFC00000"/>
      <name val="Calibri"/>
      <family val="2"/>
      <charset val="1"/>
    </font>
  </fonts>
  <fills count="16">
    <fill>
      <patternFill patternType="none"/>
    </fill>
    <fill>
      <patternFill patternType="gray125"/>
    </fill>
    <fill>
      <patternFill patternType="solid">
        <fgColor rgb="FF1F4E89"/>
        <bgColor rgb="FF1F3864"/>
      </patternFill>
    </fill>
    <fill>
      <patternFill patternType="solid">
        <fgColor rgb="FF0E2E5C"/>
        <bgColor rgb="FF1F3864"/>
      </patternFill>
    </fill>
    <fill>
      <patternFill patternType="solid">
        <fgColor rgb="FFFFF2CC"/>
        <bgColor rgb="FFFFF4E3"/>
      </patternFill>
    </fill>
    <fill>
      <patternFill patternType="solid">
        <fgColor rgb="FFFFFFFF"/>
        <bgColor rgb="FFF9FAFB"/>
      </patternFill>
    </fill>
    <fill>
      <patternFill patternType="solid">
        <fgColor rgb="FFE8EEF7"/>
        <bgColor rgb="FFEAF0F8"/>
      </patternFill>
    </fill>
    <fill>
      <patternFill patternType="solid">
        <fgColor rgb="FFFBE5E5"/>
        <bgColor rgb="FFFFF4E3"/>
      </patternFill>
    </fill>
    <fill>
      <patternFill patternType="solid">
        <fgColor rgb="FFFFF4E3"/>
        <bgColor rgb="FFFFF2CC"/>
      </patternFill>
    </fill>
    <fill>
      <patternFill patternType="solid">
        <fgColor rgb="FFB22222"/>
        <bgColor rgb="FF991B1B"/>
      </patternFill>
    </fill>
    <fill>
      <patternFill patternType="solid">
        <fgColor rgb="FFF7F9FC"/>
        <bgColor rgb="FFF9FAFB"/>
      </patternFill>
    </fill>
    <fill>
      <patternFill patternType="solid">
        <fgColor rgb="FFEAF0F8"/>
        <bgColor rgb="FFE8EEF7"/>
      </patternFill>
    </fill>
    <fill>
      <patternFill patternType="solid">
        <fgColor rgb="FFF9FAFB"/>
        <bgColor rgb="FFF7F9FC"/>
      </patternFill>
    </fill>
    <fill>
      <patternFill patternType="solid">
        <fgColor rgb="FFE8EEF7"/>
        <bgColor rgb="FFF7F9FC"/>
      </patternFill>
    </fill>
    <fill>
      <patternFill patternType="solid">
        <fgColor rgb="FF1F3864"/>
        <bgColor rgb="FF2B2B2B"/>
      </patternFill>
    </fill>
    <fill>
      <patternFill patternType="solid">
        <fgColor rgb="FFFFFFFF"/>
        <bgColor rgb="FFF7F9FC"/>
      </patternFill>
    </fill>
  </fills>
  <borders count="21">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right/>
      <top/>
      <bottom style="medium">
        <color rgb="FF111111"/>
      </bottom>
      <diagonal/>
    </border>
    <border>
      <left/>
      <right/>
      <top/>
      <bottom style="thin">
        <color rgb="FFD1D5DB"/>
      </bottom>
      <diagonal/>
    </border>
    <border>
      <left/>
      <right/>
      <top style="medium">
        <color rgb="FF111111"/>
      </top>
      <bottom/>
      <diagonal/>
    </border>
    <border>
      <left/>
      <right/>
      <top/>
      <bottom style="thin">
        <color rgb="FF11111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rgb="FFBFBFBF"/>
      </right>
      <top style="thin">
        <color theme="0" tint="-0.249977111117893"/>
      </top>
      <bottom style="thin">
        <color rgb="FFBFBFBF"/>
      </bottom>
      <diagonal/>
    </border>
    <border>
      <left/>
      <right style="thin">
        <color rgb="FFBFBFBF"/>
      </right>
      <top style="thin">
        <color theme="0" tint="-0.249977111117893"/>
      </top>
      <bottom style="thin">
        <color rgb="FFBFBFBF"/>
      </bottom>
      <diagonal/>
    </border>
    <border>
      <left style="thin">
        <color rgb="FFBFBFBF"/>
      </left>
      <right style="thin">
        <color rgb="FFBFBFBF"/>
      </right>
      <top style="thin">
        <color theme="0" tint="-0.249977111117893"/>
      </top>
      <bottom style="thin">
        <color rgb="FFBFBFBF"/>
      </bottom>
      <diagonal/>
    </border>
    <border>
      <left/>
      <right/>
      <top style="thin">
        <color theme="0" tint="-0.249977111117893"/>
      </top>
      <bottom style="thin">
        <color rgb="FFBFBFBF"/>
      </bottom>
      <diagonal/>
    </border>
    <border>
      <left style="thin">
        <color theme="0" tint="-0.249977111117893"/>
      </left>
      <right style="thin">
        <color rgb="FFBFBFBF"/>
      </right>
      <top style="thin">
        <color rgb="FFBFBFBF"/>
      </top>
      <bottom style="thin">
        <color rgb="FFBFBFBF"/>
      </bottom>
      <diagonal/>
    </border>
    <border>
      <left/>
      <right/>
      <top style="thin">
        <color rgb="FFBFBFBF"/>
      </top>
      <bottom style="thin">
        <color theme="0" tint="-0.249977111117893"/>
      </bottom>
      <diagonal/>
    </border>
    <border>
      <left/>
      <right style="thin">
        <color theme="0" tint="-0.249977111117893"/>
      </right>
      <top style="thin">
        <color rgb="FFBFBFBF"/>
      </top>
      <bottom style="thin">
        <color theme="0" tint="-0.249977111117893"/>
      </bottom>
      <diagonal/>
    </border>
    <border>
      <left style="thin">
        <color theme="0" tint="-0.249977111117893"/>
      </left>
      <right style="thin">
        <color theme="0" tint="-0.249977111117893"/>
      </right>
      <top style="thin">
        <color rgb="FFBFBFBF"/>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top/>
      <bottom/>
      <diagonal/>
    </border>
  </borders>
  <cellStyleXfs count="1">
    <xf numFmtId="0" fontId="0" fillId="0" borderId="20"/>
  </cellStyleXfs>
  <cellXfs count="103">
    <xf numFmtId="0" fontId="0" fillId="0" borderId="0" xfId="0" applyBorder="1"/>
    <xf numFmtId="0" fontId="1" fillId="0" borderId="1" xfId="0" applyFont="1" applyBorder="1" applyAlignment="1">
      <alignment horizontal="left" vertical="center" wrapText="1" indent="1"/>
    </xf>
    <xf numFmtId="0" fontId="0" fillId="0" borderId="0" xfId="0" applyBorder="1" applyAlignment="1">
      <alignment horizontal="center"/>
    </xf>
    <xf numFmtId="0" fontId="2" fillId="0" borderId="0" xfId="0" applyFont="1" applyBorder="1"/>
    <xf numFmtId="0" fontId="2" fillId="0" borderId="0" xfId="0" applyFont="1" applyBorder="1" applyAlignment="1">
      <alignment horizontal="center"/>
    </xf>
    <xf numFmtId="0" fontId="3" fillId="4" borderId="1" xfId="0" applyFont="1" applyFill="1" applyBorder="1" applyAlignment="1">
      <alignment horizontal="center" vertical="center" wrapText="1"/>
    </xf>
    <xf numFmtId="0" fontId="7" fillId="0" borderId="0" xfId="0" applyFont="1" applyBorder="1" applyAlignment="1">
      <alignment horizontal="left" vertical="top" wrapText="1" indent="1"/>
    </xf>
    <xf numFmtId="0" fontId="9" fillId="0" borderId="0" xfId="0" applyFont="1" applyBorder="1" applyAlignment="1">
      <alignment horizontal="left" vertical="top" wrapText="1" indent="1"/>
    </xf>
    <xf numFmtId="0" fontId="10" fillId="0" borderId="0" xfId="0" applyFont="1" applyBorder="1" applyAlignment="1">
      <alignment horizontal="left" vertical="top" wrapText="1" indent="1"/>
    </xf>
    <xf numFmtId="0" fontId="11" fillId="0" borderId="0" xfId="0" applyFont="1" applyBorder="1" applyAlignment="1">
      <alignment horizontal="left" vertical="top" wrapText="1" indent="1"/>
    </xf>
    <xf numFmtId="0" fontId="8" fillId="0" borderId="0" xfId="0" applyFont="1" applyBorder="1" applyAlignment="1">
      <alignment horizontal="left" vertical="top" wrapText="1" indent="1"/>
    </xf>
    <xf numFmtId="0" fontId="13" fillId="0" borderId="0" xfId="0" applyFont="1" applyBorder="1" applyAlignment="1">
      <alignment horizontal="left" vertical="center" indent="1"/>
    </xf>
    <xf numFmtId="0" fontId="14" fillId="0" borderId="0" xfId="0" applyFont="1" applyBorder="1" applyAlignment="1">
      <alignment horizontal="left" vertical="center" indent="1"/>
    </xf>
    <xf numFmtId="0" fontId="5" fillId="0" borderId="0" xfId="0" applyFont="1" applyBorder="1" applyAlignment="1">
      <alignment horizontal="left" vertical="center" wrapText="1" indent="1"/>
    </xf>
    <xf numFmtId="0" fontId="15" fillId="0" borderId="0" xfId="0" applyFont="1" applyBorder="1"/>
    <xf numFmtId="0" fontId="17" fillId="0" borderId="0" xfId="0" applyFont="1" applyBorder="1" applyAlignment="1">
      <alignment horizontal="center" vertical="top"/>
    </xf>
    <xf numFmtId="0" fontId="18" fillId="0" borderId="0" xfId="0" applyFont="1" applyBorder="1" applyAlignment="1">
      <alignment horizontal="left" vertical="top" wrapText="1"/>
    </xf>
    <xf numFmtId="0" fontId="0" fillId="0" borderId="7" xfId="0" applyBorder="1"/>
    <xf numFmtId="0" fontId="19" fillId="0" borderId="0" xfId="0" applyFont="1" applyBorder="1" applyAlignment="1">
      <alignment horizontal="right" vertical="center"/>
    </xf>
    <xf numFmtId="0" fontId="21" fillId="0" borderId="0" xfId="0" applyFont="1" applyBorder="1" applyAlignment="1">
      <alignment horizontal="left" vertical="top" wrapText="1" indent="1"/>
    </xf>
    <xf numFmtId="0" fontId="12" fillId="0" borderId="0" xfId="0" applyFont="1" applyBorder="1" applyAlignment="1">
      <alignment horizontal="left" vertical="top" wrapText="1" indent="1"/>
    </xf>
    <xf numFmtId="0" fontId="24" fillId="0" borderId="0" xfId="0" applyFont="1" applyBorder="1" applyAlignment="1">
      <alignment horizontal="left" vertical="top" wrapText="1" indent="1"/>
    </xf>
    <xf numFmtId="0" fontId="25" fillId="0" borderId="0" xfId="0" applyFont="1" applyBorder="1" applyAlignment="1">
      <alignment horizontal="left" vertical="top" wrapText="1" indent="1"/>
    </xf>
    <xf numFmtId="0" fontId="22" fillId="6" borderId="0" xfId="0" applyFont="1" applyFill="1" applyBorder="1" applyAlignment="1">
      <alignment horizontal="left" vertical="center" wrapText="1" indent="1"/>
    </xf>
    <xf numFmtId="0" fontId="0" fillId="0" borderId="7" xfId="0" applyBorder="1" applyAlignment="1">
      <alignment horizontal="center"/>
    </xf>
    <xf numFmtId="0" fontId="6" fillId="15" borderId="1" xfId="0" applyFont="1" applyFill="1" applyBorder="1" applyAlignment="1">
      <alignment horizontal="center" vertical="center" wrapText="1"/>
    </xf>
    <xf numFmtId="0" fontId="28" fillId="2" borderId="1" xfId="0" applyFont="1" applyFill="1" applyBorder="1" applyAlignment="1">
      <alignment horizontal="center" vertical="center" wrapText="1"/>
    </xf>
    <xf numFmtId="0" fontId="29" fillId="0" borderId="1" xfId="0" applyFont="1" applyBorder="1" applyAlignment="1">
      <alignment horizontal="left" vertical="center" wrapText="1" indent="1"/>
    </xf>
    <xf numFmtId="0" fontId="30" fillId="0" borderId="0" xfId="0" applyFont="1" applyBorder="1" applyAlignment="1">
      <alignment horizontal="center" vertical="center" wrapText="1"/>
    </xf>
    <xf numFmtId="0" fontId="33" fillId="6" borderId="1" xfId="0" applyFont="1" applyFill="1" applyBorder="1" applyAlignment="1">
      <alignment horizontal="center" vertical="center" wrapText="1"/>
    </xf>
    <xf numFmtId="0" fontId="33" fillId="11" borderId="1" xfId="0" applyFont="1" applyFill="1" applyBorder="1" applyAlignment="1">
      <alignment horizontal="center" vertical="center" wrapText="1"/>
    </xf>
    <xf numFmtId="0" fontId="33" fillId="6" borderId="9" xfId="0" applyFont="1" applyFill="1" applyBorder="1" applyAlignment="1">
      <alignment horizontal="center" vertical="center" wrapText="1"/>
    </xf>
    <xf numFmtId="0" fontId="33" fillId="11" borderId="0" xfId="0" applyFont="1" applyFill="1" applyBorder="1" applyAlignment="1">
      <alignment horizontal="left" vertical="center" wrapText="1" indent="1"/>
    </xf>
    <xf numFmtId="0" fontId="40" fillId="6" borderId="0" xfId="0" applyFont="1" applyFill="1" applyBorder="1" applyAlignment="1">
      <alignment horizontal="left" vertical="center" wrapText="1" indent="1"/>
    </xf>
    <xf numFmtId="0" fontId="40" fillId="13" borderId="0" xfId="0" applyFont="1" applyFill="1" applyBorder="1" applyAlignment="1">
      <alignment horizontal="left" vertical="center" wrapText="1" indent="1"/>
    </xf>
    <xf numFmtId="0" fontId="46" fillId="0" borderId="0" xfId="0" applyFont="1" applyBorder="1" applyAlignment="1">
      <alignment horizontal="left" vertical="top" wrapText="1"/>
    </xf>
    <xf numFmtId="0" fontId="48" fillId="0" borderId="0" xfId="0" applyFont="1" applyBorder="1" applyAlignment="1">
      <alignment horizontal="center" vertical="center" shrinkToFit="1"/>
    </xf>
    <xf numFmtId="0" fontId="9" fillId="0" borderId="0" xfId="0" applyFont="1" applyBorder="1" applyAlignment="1">
      <alignment horizontal="left" vertical="top" wrapText="1" indent="1" shrinkToFit="1"/>
    </xf>
    <xf numFmtId="0" fontId="41" fillId="0" borderId="0" xfId="0" applyFont="1" applyBorder="1" applyAlignment="1">
      <alignment horizontal="left" vertical="top" wrapText="1" indent="1" shrinkToFit="1"/>
    </xf>
    <xf numFmtId="0" fontId="10" fillId="0" borderId="0" xfId="0" applyFont="1" applyBorder="1" applyAlignment="1">
      <alignment horizontal="left" vertical="top" wrapText="1" indent="1" shrinkToFit="1"/>
    </xf>
    <xf numFmtId="0" fontId="27" fillId="0" borderId="0" xfId="0" applyFont="1" applyBorder="1" applyAlignment="1">
      <alignment horizontal="left" vertical="top" wrapText="1" indent="1" shrinkToFit="1"/>
    </xf>
    <xf numFmtId="0" fontId="51" fillId="0" borderId="0" xfId="0" applyFont="1" applyBorder="1" applyAlignment="1">
      <alignment vertical="center"/>
    </xf>
    <xf numFmtId="0" fontId="52" fillId="0" borderId="0" xfId="0" applyFont="1" applyBorder="1" applyAlignment="1">
      <alignment horizontal="left" vertical="top" wrapText="1" indent="1" shrinkToFit="1"/>
    </xf>
    <xf numFmtId="0" fontId="58" fillId="0" borderId="0" xfId="0" applyFont="1" applyBorder="1" applyAlignment="1">
      <alignment horizontal="left" vertical="top" wrapText="1" indent="1" shrinkToFit="1"/>
    </xf>
    <xf numFmtId="0" fontId="23" fillId="14" borderId="20" xfId="0" applyFont="1" applyFill="1" applyAlignment="1">
      <alignment horizontal="center" vertical="center" wrapText="1" shrinkToFit="1"/>
    </xf>
    <xf numFmtId="0" fontId="0" fillId="0" borderId="0" xfId="0" applyBorder="1"/>
    <xf numFmtId="0" fontId="4" fillId="5" borderId="20" xfId="0" applyFont="1" applyFill="1" applyAlignment="1">
      <alignment horizontal="center" vertical="center" wrapText="1"/>
    </xf>
    <xf numFmtId="0" fontId="55" fillId="7" borderId="1" xfId="0" applyFont="1" applyFill="1" applyBorder="1" applyAlignment="1">
      <alignment horizontal="left" vertical="center" wrapText="1" indent="1"/>
    </xf>
    <xf numFmtId="0" fontId="0" fillId="0" borderId="4" xfId="0" applyBorder="1"/>
    <xf numFmtId="0" fontId="0" fillId="0" borderId="3" xfId="0" applyBorder="1"/>
    <xf numFmtId="0" fontId="1" fillId="0" borderId="9" xfId="0" applyFont="1" applyBorder="1" applyAlignment="1">
      <alignment horizontal="center" vertical="center" wrapText="1"/>
    </xf>
    <xf numFmtId="0" fontId="0" fillId="0" borderId="18" xfId="0" applyBorder="1"/>
    <xf numFmtId="0" fontId="38" fillId="10" borderId="1" xfId="0" applyFont="1" applyFill="1" applyBorder="1" applyAlignment="1">
      <alignment horizontal="left" vertical="center" wrapText="1" indent="1"/>
    </xf>
    <xf numFmtId="0" fontId="1" fillId="5" borderId="1" xfId="0" applyFont="1" applyFill="1" applyBorder="1" applyAlignment="1">
      <alignment horizontal="left" vertical="center" wrapText="1" indent="1"/>
    </xf>
    <xf numFmtId="0" fontId="34" fillId="2" borderId="20" xfId="0" applyFont="1" applyFill="1" applyAlignment="1">
      <alignment horizontal="center" vertical="center" wrapText="1"/>
    </xf>
    <xf numFmtId="0" fontId="0" fillId="0" borderId="0" xfId="0" applyBorder="1" applyAlignment="1">
      <alignment horizontal="center"/>
    </xf>
    <xf numFmtId="0" fontId="35" fillId="7" borderId="1" xfId="0" applyFont="1" applyFill="1" applyBorder="1" applyAlignment="1">
      <alignment horizontal="center" vertical="center" wrapText="1"/>
    </xf>
    <xf numFmtId="0" fontId="36" fillId="7" borderId="1" xfId="0" applyFont="1" applyFill="1" applyBorder="1" applyAlignment="1">
      <alignment horizontal="left" vertical="center" wrapText="1" indent="1"/>
    </xf>
    <xf numFmtId="0" fontId="33" fillId="10" borderId="17" xfId="0" applyFont="1" applyFill="1" applyBorder="1" applyAlignment="1">
      <alignment horizontal="center" vertical="center" wrapText="1"/>
    </xf>
    <xf numFmtId="0" fontId="0" fillId="0" borderId="15" xfId="0" applyBorder="1"/>
    <xf numFmtId="0" fontId="0" fillId="0" borderId="16" xfId="0" applyBorder="1"/>
    <xf numFmtId="0" fontId="33" fillId="10" borderId="14" xfId="0" applyFont="1" applyFill="1" applyBorder="1" applyAlignment="1">
      <alignment horizontal="center" vertical="center" wrapText="1"/>
    </xf>
    <xf numFmtId="0" fontId="29" fillId="5" borderId="1" xfId="0" applyFont="1" applyFill="1" applyBorder="1" applyAlignment="1">
      <alignment horizontal="left" vertical="center" wrapText="1" indent="1"/>
    </xf>
    <xf numFmtId="0" fontId="36" fillId="7" borderId="1" xfId="0" applyFont="1" applyFill="1" applyBorder="1" applyAlignment="1">
      <alignment horizontal="center" vertical="center" wrapText="1"/>
    </xf>
    <xf numFmtId="0" fontId="38" fillId="10" borderId="12" xfId="0" applyFont="1" applyFill="1" applyBorder="1" applyAlignment="1">
      <alignment horizontal="left" vertical="center" wrapText="1" indent="1"/>
    </xf>
    <xf numFmtId="0" fontId="0" fillId="0" borderId="13" xfId="0" applyBorder="1"/>
    <xf numFmtId="0" fontId="0" fillId="0" borderId="11" xfId="0" applyBorder="1"/>
    <xf numFmtId="0" fontId="33" fillId="8" borderId="1" xfId="0" applyFont="1" applyFill="1" applyBorder="1" applyAlignment="1">
      <alignment horizontal="center" vertical="center" wrapText="1"/>
    </xf>
    <xf numFmtId="0" fontId="34" fillId="2" borderId="2" xfId="0" applyFont="1" applyFill="1" applyBorder="1" applyAlignment="1">
      <alignment horizontal="center" vertical="center" wrapText="1"/>
    </xf>
    <xf numFmtId="0" fontId="0" fillId="0" borderId="2" xfId="0" applyBorder="1"/>
    <xf numFmtId="0" fontId="5" fillId="7" borderId="1" xfId="0" applyFont="1" applyFill="1" applyBorder="1" applyAlignment="1">
      <alignment horizontal="center" vertical="center" wrapText="1"/>
    </xf>
    <xf numFmtId="0" fontId="59" fillId="0" borderId="4" xfId="0" applyFont="1" applyBorder="1"/>
    <xf numFmtId="0" fontId="59" fillId="0" borderId="3" xfId="0" applyFont="1" applyBorder="1"/>
    <xf numFmtId="0" fontId="31" fillId="3" borderId="20" xfId="0" applyFont="1" applyFill="1" applyAlignment="1">
      <alignment horizontal="center" vertical="center" wrapText="1"/>
    </xf>
    <xf numFmtId="0" fontId="38" fillId="8" borderId="1" xfId="0" applyFont="1" applyFill="1" applyBorder="1" applyAlignment="1">
      <alignment horizontal="left" vertical="center" wrapText="1" indent="1"/>
    </xf>
    <xf numFmtId="0" fontId="32" fillId="5" borderId="20" xfId="0" applyFont="1" applyFill="1" applyAlignment="1">
      <alignment horizontal="left" vertical="center" wrapText="1" indent="1"/>
    </xf>
    <xf numFmtId="0" fontId="33" fillId="5" borderId="20" xfId="0" applyFont="1" applyFill="1" applyAlignment="1">
      <alignment horizontal="right" vertical="center" wrapText="1"/>
    </xf>
    <xf numFmtId="0" fontId="39" fillId="15" borderId="1" xfId="0" applyFont="1" applyFill="1" applyBorder="1" applyAlignment="1">
      <alignment horizontal="center" vertical="center" wrapText="1"/>
    </xf>
    <xf numFmtId="0" fontId="56" fillId="8" borderId="1" xfId="0" applyFont="1" applyFill="1" applyBorder="1" applyAlignment="1">
      <alignment horizontal="left" vertical="center" wrapText="1" indent="1"/>
    </xf>
    <xf numFmtId="0" fontId="26" fillId="15" borderId="1" xfId="0" applyFont="1" applyFill="1" applyBorder="1" applyAlignment="1">
      <alignment horizontal="center" vertical="center" wrapText="1"/>
    </xf>
    <xf numFmtId="0" fontId="34" fillId="2" borderId="9" xfId="0" applyFont="1" applyFill="1" applyBorder="1" applyAlignment="1">
      <alignment horizontal="center" vertical="center" wrapText="1"/>
    </xf>
    <xf numFmtId="0" fontId="0" fillId="0" borderId="19" xfId="0" applyBorder="1"/>
    <xf numFmtId="0" fontId="33" fillId="10" borderId="10" xfId="0" applyFont="1" applyFill="1" applyBorder="1" applyAlignment="1">
      <alignment horizontal="center" vertical="center" wrapText="1"/>
    </xf>
    <xf numFmtId="0" fontId="29" fillId="15" borderId="1" xfId="0" applyFont="1" applyFill="1" applyBorder="1" applyAlignment="1">
      <alignment horizontal="center" vertical="center" wrapText="1"/>
    </xf>
    <xf numFmtId="0" fontId="2" fillId="0" borderId="20" xfId="0" applyFont="1"/>
    <xf numFmtId="0" fontId="37" fillId="8" borderId="1" xfId="0" applyFont="1" applyFill="1" applyBorder="1" applyAlignment="1">
      <alignment horizontal="left" vertical="center" wrapText="1" indent="1"/>
    </xf>
    <xf numFmtId="0" fontId="34" fillId="9" borderId="20" xfId="0" applyFont="1" applyFill="1" applyAlignment="1">
      <alignment horizontal="center" vertical="center" wrapText="1"/>
    </xf>
    <xf numFmtId="0" fontId="42" fillId="0" borderId="20" xfId="0" applyFont="1" applyAlignment="1">
      <alignment horizontal="left" vertical="center"/>
    </xf>
    <xf numFmtId="0" fontId="47" fillId="0" borderId="20" xfId="0" applyFont="1" applyAlignment="1">
      <alignment horizontal="left" vertical="top" wrapText="1"/>
    </xf>
    <xf numFmtId="0" fontId="49" fillId="0" borderId="8" xfId="0" applyFont="1" applyBorder="1" applyAlignment="1">
      <alignment horizontal="center" vertical="center"/>
    </xf>
    <xf numFmtId="0" fontId="0" fillId="0" borderId="8" xfId="0" applyBorder="1"/>
    <xf numFmtId="0" fontId="16" fillId="0" borderId="20" xfId="0" applyFont="1" applyAlignment="1">
      <alignment horizontal="left" vertical="top" wrapText="1" indent="1"/>
    </xf>
    <xf numFmtId="0" fontId="54" fillId="0" borderId="20" xfId="0" applyFont="1" applyAlignment="1">
      <alignment horizontal="left" vertical="top" wrapText="1"/>
    </xf>
    <xf numFmtId="0" fontId="45" fillId="0" borderId="6" xfId="0" applyFont="1" applyBorder="1" applyAlignment="1">
      <alignment horizontal="left"/>
    </xf>
    <xf numFmtId="0" fontId="0" fillId="0" borderId="6" xfId="0" applyBorder="1"/>
    <xf numFmtId="0" fontId="2" fillId="12" borderId="20" xfId="0" applyFont="1" applyFill="1" applyAlignment="1">
      <alignment horizontal="left" vertical="center" wrapText="1" indent="1"/>
    </xf>
    <xf numFmtId="0" fontId="43" fillId="0" borderId="5" xfId="0" applyFont="1" applyBorder="1" applyAlignment="1">
      <alignment horizontal="left" vertical="center"/>
    </xf>
    <xf numFmtId="0" fontId="0" fillId="0" borderId="5" xfId="0" applyBorder="1"/>
    <xf numFmtId="0" fontId="44" fillId="0" borderId="20" xfId="0" applyFont="1" applyAlignment="1">
      <alignment horizontal="left" vertical="top" wrapText="1" indent="1"/>
    </xf>
    <xf numFmtId="0" fontId="53" fillId="0" borderId="0" xfId="0" applyFont="1" applyBorder="1"/>
    <xf numFmtId="0" fontId="50" fillId="0" borderId="8" xfId="0" applyFont="1" applyBorder="1" applyAlignment="1">
      <alignment horizontal="center" vertical="center"/>
    </xf>
    <xf numFmtId="0" fontId="2" fillId="0" borderId="20" xfId="0" applyFont="1" applyAlignment="1">
      <alignment horizontal="left" vertical="top" wrapText="1" indent="1"/>
    </xf>
    <xf numFmtId="0" fontId="2" fillId="0" borderId="20" xfId="0" applyFont="1" applyAlignment="1">
      <alignment horizontal="left" vertical="center" wrapText="1"/>
    </xf>
  </cellXfs>
  <cellStyles count="1">
    <cellStyle name="표준"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111111"/>
      <rgbColor rgb="FF808000"/>
      <rgbColor rgb="FF800080"/>
      <rgbColor rgb="FF008080"/>
      <rgbColor rgb="FFBFBFBF"/>
      <rgbColor rgb="FF808080"/>
      <rgbColor rgb="FF9999FF"/>
      <rgbColor rgb="FFB22222"/>
      <rgbColor rgb="FFFFF2CC"/>
      <rgbColor rgb="FFEAF0F8"/>
      <rgbColor rgb="FF660066"/>
      <rgbColor rgb="FFFF8080"/>
      <rgbColor rgb="FF1F4E89"/>
      <rgbColor rgb="FFD1D5DB"/>
      <rgbColor rgb="FF000080"/>
      <rgbColor rgb="FFFF00FF"/>
      <rgbColor rgb="FFFFFF00"/>
      <rgbColor rgb="FF00FFFF"/>
      <rgbColor rgb="FF800080"/>
      <rgbColor rgb="FF800000"/>
      <rgbColor rgb="FF008080"/>
      <rgbColor rgb="FF0000FF"/>
      <rgbColor rgb="FF00CCFF"/>
      <rgbColor rgb="FFE8EEF7"/>
      <rgbColor rgb="FFF7F9FC"/>
      <rgbColor rgb="FFFFF4E3"/>
      <rgbColor rgb="FFF9FAFB"/>
      <rgbColor rgb="FFFF99CC"/>
      <rgbColor rgb="FFCC99FF"/>
      <rgbColor rgb="FFFBE5E5"/>
      <rgbColor rgb="FF3366FF"/>
      <rgbColor rgb="FF33CCCC"/>
      <rgbColor rgb="FF99CC00"/>
      <rgbColor rgb="FFFFCC00"/>
      <rgbColor rgb="FFFF9900"/>
      <rgbColor rgb="FFFF6600"/>
      <rgbColor rgb="FF6B7280"/>
      <rgbColor rgb="FF969696"/>
      <rgbColor rgb="FF0E2E5C"/>
      <rgbColor rgb="FF339966"/>
      <rgbColor rgb="FF0F172A"/>
      <rgbColor rgb="FF404040"/>
      <rgbColor rgb="FF991B1B"/>
      <rgbColor rgb="FF595959"/>
      <rgbColor rgb="FF1F3864"/>
      <rgbColor rgb="FF2B2B2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
  <sheetViews>
    <sheetView view="pageBreakPre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cols>
    <col min="1" max="25" width="18" customWidth="1"/>
    <col min="26" max="26" width="14" customWidth="1"/>
    <col min="27" max="27" width="18" customWidth="1"/>
    <col min="28" max="28" width="22" customWidth="1"/>
  </cols>
  <sheetData>
    <row r="1" spans="1:28" ht="30" customHeight="1">
      <c r="A1" s="26" t="s">
        <v>55</v>
      </c>
      <c r="B1" s="26" t="s">
        <v>56</v>
      </c>
      <c r="C1" s="26" t="s">
        <v>57</v>
      </c>
      <c r="D1" s="26" t="s">
        <v>58</v>
      </c>
      <c r="E1" s="26" t="s">
        <v>59</v>
      </c>
      <c r="F1" s="26" t="s">
        <v>60</v>
      </c>
      <c r="G1" s="26" t="s">
        <v>61</v>
      </c>
      <c r="H1" s="26"/>
      <c r="I1" s="26" t="s">
        <v>62</v>
      </c>
      <c r="J1" s="26" t="s">
        <v>63</v>
      </c>
      <c r="K1" s="26" t="s">
        <v>64</v>
      </c>
      <c r="L1" s="26" t="s">
        <v>65</v>
      </c>
      <c r="M1" s="26" t="s">
        <v>66</v>
      </c>
      <c r="N1" s="26" t="s">
        <v>67</v>
      </c>
      <c r="O1" s="26" t="s">
        <v>68</v>
      </c>
      <c r="P1" s="26" t="s">
        <v>69</v>
      </c>
      <c r="Q1" s="26" t="s">
        <v>70</v>
      </c>
      <c r="R1" s="26" t="s">
        <v>71</v>
      </c>
      <c r="S1" s="26" t="s">
        <v>72</v>
      </c>
      <c r="T1" s="26" t="s">
        <v>73</v>
      </c>
      <c r="U1" s="26" t="s">
        <v>74</v>
      </c>
      <c r="V1" s="26" t="s">
        <v>75</v>
      </c>
      <c r="W1" s="26" t="s">
        <v>76</v>
      </c>
      <c r="X1" s="26" t="s">
        <v>77</v>
      </c>
      <c r="Y1" s="26" t="s">
        <v>78</v>
      </c>
      <c r="Z1" s="26" t="s">
        <v>79</v>
      </c>
      <c r="AA1" s="26" t="s">
        <v>80</v>
      </c>
      <c r="AB1" s="26" t="s">
        <v>81</v>
      </c>
    </row>
    <row r="2" spans="1:28" ht="46.5" customHeight="1">
      <c r="A2" s="1">
        <v>1</v>
      </c>
      <c r="B2" s="1" t="s">
        <v>82</v>
      </c>
      <c r="C2" s="1" t="s">
        <v>83</v>
      </c>
      <c r="D2" s="1" t="s">
        <v>84</v>
      </c>
      <c r="E2" s="1" t="s">
        <v>85</v>
      </c>
      <c r="F2" s="27" t="s">
        <v>86</v>
      </c>
      <c r="G2" s="27" t="s">
        <v>87</v>
      </c>
      <c r="H2" s="27"/>
      <c r="I2" s="1">
        <v>26400</v>
      </c>
      <c r="J2" s="1">
        <v>365</v>
      </c>
      <c r="K2" s="1">
        <v>300000</v>
      </c>
      <c r="L2" s="27" t="s">
        <v>88</v>
      </c>
      <c r="M2" s="1" t="s">
        <v>89</v>
      </c>
      <c r="N2" s="27" t="s">
        <v>90</v>
      </c>
      <c r="O2" s="27" t="s">
        <v>91</v>
      </c>
      <c r="P2" s="1" t="s">
        <v>92</v>
      </c>
      <c r="Q2" s="1" t="s">
        <v>93</v>
      </c>
      <c r="R2" s="1" t="s">
        <v>94</v>
      </c>
      <c r="S2" s="1" t="s">
        <v>92</v>
      </c>
      <c r="T2" s="27" t="s">
        <v>95</v>
      </c>
      <c r="U2" s="27" t="s">
        <v>96</v>
      </c>
      <c r="V2" s="27" t="s">
        <v>97</v>
      </c>
      <c r="W2" s="27" t="s">
        <v>98</v>
      </c>
      <c r="X2" s="27" t="s">
        <v>99</v>
      </c>
      <c r="Y2" s="27" t="s">
        <v>100</v>
      </c>
      <c r="Z2" s="27" t="s">
        <v>101</v>
      </c>
      <c r="AA2" s="1"/>
      <c r="AB2" s="1" t="str">
        <f>IF(Y2="월2회(15일,말일)","월2회 (15일·말일)",IF(Y2="","","월1회 (말일)"))</f>
        <v>월2회 (15일·말일)</v>
      </c>
    </row>
  </sheetData>
  <phoneticPr fontId="20" type="noConversion"/>
  <dataValidations count="1">
    <dataValidation type="list" allowBlank="1" errorTitle="사업자유형 선택" error="개인사업자 또는 법인만 선택" sqref="Z2:Z1002" xr:uid="{00000000-0002-0000-0000-000000000000}">
      <formula1>"개인사업자,법인"</formula1>
      <formula2>0</formula2>
    </dataValidation>
  </dataValidation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110"/>
  <sheetViews>
    <sheetView tabSelected="1" view="pageBreakPreview" topLeftCell="A26" zoomScale="115" zoomScaleNormal="100" zoomScaleSheetLayoutView="115" workbookViewId="0">
      <selection activeCell="B30" sqref="B30:J30"/>
    </sheetView>
  </sheetViews>
  <sheetFormatPr defaultColWidth="8.6640625" defaultRowHeight="14.4"/>
  <cols>
    <col min="1" max="1" width="1.5546875" customWidth="1"/>
    <col min="2" max="2" width="13" customWidth="1"/>
    <col min="3" max="3" width="10" customWidth="1"/>
    <col min="4" max="4" width="19.5546875" customWidth="1"/>
    <col min="5" max="5" width="11" style="2" customWidth="1"/>
    <col min="6" max="6" width="16" customWidth="1"/>
    <col min="7" max="7" width="10" customWidth="1"/>
    <col min="8" max="8" width="16" customWidth="1"/>
    <col min="9" max="9" width="10" customWidth="1"/>
    <col min="10" max="10" width="14" customWidth="1"/>
    <col min="11" max="11" width="1.5546875" customWidth="1"/>
    <col min="12" max="12" width="6" customWidth="1"/>
  </cols>
  <sheetData>
    <row r="1" spans="1:12" ht="7.5" customHeight="1">
      <c r="A1" s="3"/>
      <c r="B1" s="3"/>
      <c r="C1" s="3"/>
      <c r="D1" s="3"/>
      <c r="E1" s="4"/>
      <c r="F1" s="3"/>
      <c r="G1" s="3"/>
      <c r="H1" s="3"/>
      <c r="I1" s="3"/>
      <c r="J1" s="3"/>
      <c r="K1" s="3"/>
      <c r="L1" s="28" t="s">
        <v>102</v>
      </c>
    </row>
    <row r="2" spans="1:12" ht="48" customHeight="1">
      <c r="A2" s="3"/>
      <c r="B2" s="73" t="s">
        <v>103</v>
      </c>
      <c r="C2" s="45"/>
      <c r="D2" s="45"/>
      <c r="E2" s="55"/>
      <c r="F2" s="45"/>
      <c r="G2" s="45"/>
      <c r="H2" s="45"/>
      <c r="I2" s="45"/>
      <c r="J2" s="45"/>
      <c r="K2" s="3"/>
      <c r="L2" s="5">
        <v>1</v>
      </c>
    </row>
    <row r="3" spans="1:12" ht="24" customHeight="1">
      <c r="A3" s="3"/>
      <c r="B3" s="75" t="s">
        <v>54</v>
      </c>
      <c r="C3" s="45"/>
      <c r="D3" s="45"/>
      <c r="E3" s="55"/>
      <c r="F3" s="76"/>
      <c r="G3" s="45"/>
      <c r="H3" s="45"/>
      <c r="I3" s="46"/>
      <c r="J3" s="45"/>
      <c r="K3" s="3"/>
      <c r="L3" s="3"/>
    </row>
    <row r="4" spans="1:12" ht="7.5" customHeight="1">
      <c r="A4" s="3"/>
      <c r="B4" s="3"/>
      <c r="C4" s="3"/>
      <c r="D4" s="3"/>
      <c r="E4" s="4"/>
      <c r="F4" s="3"/>
      <c r="G4" s="3"/>
      <c r="H4" s="3"/>
      <c r="I4" s="3"/>
      <c r="J4" s="3"/>
      <c r="K4" s="3"/>
      <c r="L4" s="3"/>
    </row>
    <row r="5" spans="1:12" ht="25.5" customHeight="1">
      <c r="A5" s="3"/>
      <c r="B5" s="54" t="s">
        <v>104</v>
      </c>
      <c r="C5" s="45"/>
      <c r="D5" s="45"/>
      <c r="E5" s="55"/>
      <c r="F5" s="45"/>
      <c r="G5" s="45"/>
      <c r="H5" s="45"/>
      <c r="I5" s="45"/>
      <c r="J5" s="45"/>
      <c r="K5" s="3"/>
      <c r="L5" s="3"/>
    </row>
    <row r="6" spans="1:12" ht="21.75" customHeight="1">
      <c r="A6" s="3"/>
      <c r="B6" s="29" t="s">
        <v>57</v>
      </c>
      <c r="C6" s="53" t="str">
        <f>IFERROR(IF(VLOOKUP($L$2,계약리스트!$A$2:$AD$10000,3,0)="","",VLOOKUP($L$2,계약리스트!$A$2:$AD$10000,3,0)),"")</f>
        <v>UHR150</v>
      </c>
      <c r="D6" s="49"/>
      <c r="E6" s="29" t="s">
        <v>59</v>
      </c>
      <c r="F6" s="53" t="str">
        <f>IFERROR(IF(VLOOKUP($L$2,계약리스트!$A$2:$AD$10000,5,0)="","",VLOOKUP($L$2,계약리스트!$A$2:$AD$10000,5,0)),"")</f>
        <v>1나88370</v>
      </c>
      <c r="G6" s="49"/>
      <c r="H6" s="29" t="s">
        <v>60</v>
      </c>
      <c r="I6" s="53" t="str">
        <f>IFERROR(IF(VLOOKUP($L$2,계약리스트!$A$2:$AD$10000,6,0)="","",VLOOKUP($L$2,계약리스트!$A$2:$AD$10000,6,0)),"")</f>
        <v>화이트</v>
      </c>
      <c r="J6" s="49"/>
      <c r="K6" s="3"/>
      <c r="L6" s="3"/>
    </row>
    <row r="7" spans="1:12" ht="21.75" customHeight="1">
      <c r="A7" s="3"/>
      <c r="B7" s="29" t="s">
        <v>58</v>
      </c>
      <c r="C7" s="53" t="str">
        <f>IFERROR(IF(VLOOKUP($L$2,계약리스트!$A$2:$AD$10000,4,0)="","",VLOOKUP($L$2,계약리스트!$A$2:$AD$10000,4,0)),"")</f>
        <v>LWMTDKH95THJ00467</v>
      </c>
      <c r="D7" s="49"/>
      <c r="E7" s="29" t="s">
        <v>61</v>
      </c>
      <c r="F7" s="53" t="str">
        <f>IFERROR(IF(VLOOKUP($L$2,계약리스트!$A$2:$AD$10000,7,0)="","",VLOOKUP($L$2,계약리스트!$A$2:$AD$10000,7,0)),"")</f>
        <v>비포함</v>
      </c>
      <c r="G7" s="49"/>
      <c r="H7" s="29" t="s">
        <v>105</v>
      </c>
      <c r="I7" s="53" t="str">
        <f>IFERROR(IF(VLOOKUP($L$2,계약리스트!$A$2:$AD$10000,2,0)="","",VLOOKUP($L$2,계약리스트!$A$2:$AD$10000,2,0)),"")</f>
        <v>2026-04-24</v>
      </c>
      <c r="J7" s="49"/>
      <c r="K7" s="3"/>
      <c r="L7" s="3"/>
    </row>
    <row r="8" spans="1:12" ht="25.5" customHeight="1">
      <c r="A8" s="3"/>
      <c r="B8" s="63" t="s">
        <v>106</v>
      </c>
      <c r="C8" s="48"/>
      <c r="D8" s="48"/>
      <c r="E8" s="48"/>
      <c r="F8" s="48"/>
      <c r="G8" s="48"/>
      <c r="H8" s="48"/>
      <c r="I8" s="48"/>
      <c r="J8" s="49"/>
      <c r="K8" s="3"/>
      <c r="L8" s="3"/>
    </row>
    <row r="9" spans="1:12" ht="7.5" customHeight="1">
      <c r="A9" s="3"/>
      <c r="B9" s="3"/>
      <c r="C9" s="3"/>
      <c r="D9" s="3"/>
      <c r="E9" s="4"/>
      <c r="F9" s="3"/>
      <c r="G9" s="3"/>
      <c r="H9" s="3"/>
      <c r="I9" s="3"/>
      <c r="J9" s="3"/>
      <c r="K9" s="3"/>
      <c r="L9" s="3"/>
    </row>
    <row r="10" spans="1:12" ht="25.5" customHeight="1">
      <c r="A10" s="3"/>
      <c r="B10" s="54" t="s">
        <v>107</v>
      </c>
      <c r="C10" s="45"/>
      <c r="D10" s="45"/>
      <c r="E10" s="55"/>
      <c r="F10" s="45"/>
      <c r="G10" s="45"/>
      <c r="H10" s="45"/>
      <c r="I10" s="45"/>
      <c r="J10" s="45"/>
      <c r="K10" s="3"/>
      <c r="L10" s="3"/>
    </row>
    <row r="11" spans="1:12" ht="21.75" customHeight="1">
      <c r="A11" s="3"/>
      <c r="B11" s="29" t="s">
        <v>108</v>
      </c>
      <c r="C11" s="53" t="str">
        <f>IFERROR(IF(VLOOKUP($L$2,계약리스트!$A$2:$AD$10000,12,0)="","",VLOOKUP($L$2,계약리스트!$A$2:$AD$10000,12,0)),"")</f>
        <v>중앙 오토바이 가수점</v>
      </c>
      <c r="D11" s="49"/>
      <c r="E11" s="29" t="s">
        <v>66</v>
      </c>
      <c r="F11" s="53" t="str">
        <f>IFERROR(IF(VLOOKUP($L$2,계약리스트!$A$2:$AD$10000,13,0)="","",VLOOKUP($L$2,계약리스트!$A$2:$AD$10000,13,0)),"")</f>
        <v>737-55-00719</v>
      </c>
      <c r="G11" s="49"/>
      <c r="H11" s="29" t="s">
        <v>67</v>
      </c>
      <c r="I11" s="53" t="str">
        <f>IFERROR(IF(VLOOKUP($L$2,계약리스트!$A$2:$AD$10000,14,0)="","",VLOOKUP($L$2,계약리스트!$A$2:$AD$10000,14,0)),"")</f>
        <v>안종식</v>
      </c>
      <c r="J11" s="49"/>
      <c r="K11" s="3"/>
      <c r="L11" s="3"/>
    </row>
    <row r="12" spans="1:12" ht="21.75" customHeight="1">
      <c r="A12" s="3"/>
      <c r="B12" s="29" t="s">
        <v>109</v>
      </c>
      <c r="C12" s="53" t="str">
        <f>IFERROR(IF(VLOOKUP($L$2,계약리스트!$A$2:$AD$10000,16,0)="","",VLOOKUP($L$2,계약리스트!$A$2:$AD$10000,16,0)),"")</f>
        <v>010-5813-7336</v>
      </c>
      <c r="D12" s="49"/>
      <c r="E12" s="29" t="s">
        <v>68</v>
      </c>
      <c r="F12" s="62" t="str">
        <f>IFERROR(IF(VLOOKUP($L$2,계약리스트!$A$2:$AD$10000,15,0)="","",VLOOKUP($L$2,계약리스트!$A$2:$AD$10000,15,0)),"")</f>
        <v>경기도 오산시 가장로 763, 1층 5,6호(가수동)</v>
      </c>
      <c r="G12" s="48"/>
      <c r="H12" s="48"/>
      <c r="I12" s="48"/>
      <c r="J12" s="49"/>
      <c r="K12" s="3"/>
      <c r="L12" s="3"/>
    </row>
    <row r="13" spans="1:12" ht="19.5" customHeight="1">
      <c r="A13" s="3"/>
      <c r="B13" s="85" t="s">
        <v>110</v>
      </c>
      <c r="C13" s="48"/>
      <c r="D13" s="48"/>
      <c r="E13" s="48"/>
      <c r="F13" s="48"/>
      <c r="G13" s="48"/>
      <c r="H13" s="48"/>
      <c r="I13" s="48"/>
      <c r="J13" s="49"/>
      <c r="K13" s="3"/>
      <c r="L13" s="3"/>
    </row>
    <row r="14" spans="1:12" ht="7.5" customHeight="1">
      <c r="A14" s="3"/>
      <c r="B14" s="3"/>
      <c r="C14" s="3"/>
      <c r="D14" s="3"/>
      <c r="E14" s="4"/>
      <c r="F14" s="3"/>
      <c r="G14" s="3"/>
      <c r="H14" s="3"/>
      <c r="I14" s="3"/>
      <c r="J14" s="3"/>
      <c r="K14" s="3"/>
      <c r="L14" s="3"/>
    </row>
    <row r="15" spans="1:12" ht="25.5" customHeight="1">
      <c r="A15" s="3"/>
      <c r="B15" s="54" t="s">
        <v>111</v>
      </c>
      <c r="C15" s="45"/>
      <c r="D15" s="45"/>
      <c r="E15" s="55"/>
      <c r="F15" s="45"/>
      <c r="G15" s="45"/>
      <c r="H15" s="45"/>
      <c r="I15" s="45"/>
      <c r="J15" s="45"/>
      <c r="K15" s="3"/>
      <c r="L15" s="3"/>
    </row>
    <row r="16" spans="1:12" ht="21.75" customHeight="1">
      <c r="A16" s="3"/>
      <c r="B16" s="29" t="s">
        <v>112</v>
      </c>
      <c r="C16" s="53" t="str">
        <f>IFERROR(IF(VLOOKUP($L$2,계약리스트!$A$2:$AD$10000,14,0)="","",VLOOKUP($L$2,계약리스트!$A$2:$AD$10000,14,0)),"")</f>
        <v>안종식</v>
      </c>
      <c r="D16" s="49"/>
      <c r="E16" s="29" t="s">
        <v>113</v>
      </c>
      <c r="F16" s="53" t="str">
        <f>IFERROR(IF(VLOOKUP($L$2,계약리스트!$A$2:$AD$10000,18,0)="","",VLOOKUP($L$2,계약리스트!$A$2:$AD$10000,18,0)),"")</f>
        <v>820530-1046518</v>
      </c>
      <c r="G16" s="49"/>
      <c r="H16" s="29" t="s">
        <v>109</v>
      </c>
      <c r="I16" s="53" t="str">
        <f>IFERROR(IF(VLOOKUP($L$2,계약리스트!$A$2:$AD$10000,19,0)="","",VLOOKUP($L$2,계약리스트!$A$2:$AD$10000,19,0)),"")</f>
        <v>010-5813-7336</v>
      </c>
      <c r="J16" s="49"/>
      <c r="K16" s="3"/>
      <c r="L16" s="3"/>
    </row>
    <row r="17" spans="1:12" ht="21.75" customHeight="1">
      <c r="A17" s="3"/>
      <c r="B17" s="29" t="s">
        <v>114</v>
      </c>
      <c r="C17" s="62" t="str">
        <f>IFERROR(IF(VLOOKUP($L$2,계약리스트!$A$2:$AD$10000,20,0)="","",VLOOKUP($L$2,계약리스트!$A$2:$AD$10000,20,0)),"")</f>
        <v>경기도 오산시 궐동로 77, 1층(궐동)</v>
      </c>
      <c r="D17" s="48"/>
      <c r="E17" s="48"/>
      <c r="F17" s="48"/>
      <c r="G17" s="48"/>
      <c r="H17" s="48"/>
      <c r="I17" s="48"/>
      <c r="J17" s="49"/>
      <c r="K17" s="3"/>
      <c r="L17" s="3"/>
    </row>
    <row r="18" spans="1:12" ht="19.5" customHeight="1">
      <c r="A18" s="3"/>
      <c r="B18" s="85" t="s">
        <v>115</v>
      </c>
      <c r="C18" s="48"/>
      <c r="D18" s="48"/>
      <c r="E18" s="48"/>
      <c r="F18" s="48"/>
      <c r="G18" s="48"/>
      <c r="H18" s="48"/>
      <c r="I18" s="48"/>
      <c r="J18" s="49"/>
      <c r="K18" s="3"/>
      <c r="L18" s="3"/>
    </row>
    <row r="19" spans="1:12" ht="7.5" customHeight="1">
      <c r="A19" s="3"/>
      <c r="B19" s="3"/>
      <c r="C19" s="3"/>
      <c r="D19" s="3"/>
      <c r="E19" s="4"/>
      <c r="F19" s="3"/>
      <c r="G19" s="3"/>
      <c r="H19" s="3"/>
      <c r="I19" s="3"/>
      <c r="J19" s="3"/>
      <c r="K19" s="3"/>
      <c r="L19" s="3"/>
    </row>
    <row r="20" spans="1:12" ht="25.5" customHeight="1">
      <c r="A20" s="3"/>
      <c r="B20" s="68" t="s">
        <v>116</v>
      </c>
      <c r="C20" s="69"/>
      <c r="D20" s="69"/>
      <c r="E20" s="69"/>
      <c r="F20" s="69"/>
      <c r="G20" s="69"/>
      <c r="H20" s="69"/>
      <c r="I20" s="69"/>
      <c r="J20" s="69"/>
      <c r="K20" s="3"/>
      <c r="L20" s="3"/>
    </row>
    <row r="21" spans="1:12" ht="27.6" customHeight="1">
      <c r="A21" s="3"/>
      <c r="B21" s="29" t="s">
        <v>74</v>
      </c>
      <c r="C21" s="53" t="str">
        <f>IFERROR(IF(VLOOKUP($L$2,계약리스트!$A$2:$AD$10000,21,0)="","",VLOOKUP($L$2,계약리스트!$A$2:$AD$10000,21,0)),"")</f>
        <v>할부판매</v>
      </c>
      <c r="D21" s="49"/>
      <c r="E21" s="29" t="s">
        <v>75</v>
      </c>
      <c r="F21" s="53" t="str">
        <f>IFERROR(IF(VLOOKUP($L$2,계약리스트!$A$2:$AD$10000,22,0)="","",VLOOKUP($L$2,계약리스트!$A$2:$AD$10000,22,0)),"")</f>
        <v>인수형</v>
      </c>
      <c r="G21" s="49"/>
      <c r="H21" s="29" t="s">
        <v>117</v>
      </c>
      <c r="I21" s="53" t="str">
        <f>IFERROR(VLOOKUP($L$2,계약리스트!$A$2:$AD$10000,10,0)&amp;"일","")</f>
        <v>365일</v>
      </c>
      <c r="J21" s="49"/>
      <c r="K21" s="3"/>
      <c r="L21" s="3"/>
    </row>
    <row r="22" spans="1:12" ht="27.6" customHeight="1">
      <c r="A22" s="3"/>
      <c r="B22" s="29" t="s">
        <v>118</v>
      </c>
      <c r="C22" s="53" t="str">
        <f>IFERROR(TEXT(VLOOKUP($L$2,계약리스트!$A$2:$AD$10000,9,0),"#,##0")&amp;" 원","")</f>
        <v>26,400 원</v>
      </c>
      <c r="D22" s="49"/>
      <c r="E22" s="29" t="s">
        <v>64</v>
      </c>
      <c r="F22" s="53" t="str">
        <f>IFERROR(TEXT(VLOOKUP($L$2,계약리스트!$A$2:$AD$10000,11,0),"#,##0")&amp;" 원","")</f>
        <v>300,000 원</v>
      </c>
      <c r="G22" s="49"/>
      <c r="H22" s="29" t="s">
        <v>78</v>
      </c>
      <c r="I22" s="53" t="str">
        <f>IFERROR(IF(VLOOKUP($L$2,계약리스트!$A$2:$AD$10000,25,0)="","",VLOOKUP($L$2,계약리스트!$A$2:$AD$10000,25,0)),"")</f>
        <v>월2회(15일,말일)</v>
      </c>
      <c r="J22" s="49"/>
      <c r="K22" s="3"/>
      <c r="L22" s="3"/>
    </row>
    <row r="23" spans="1:12" ht="27.6" customHeight="1">
      <c r="A23" s="3"/>
      <c r="B23" s="29" t="s">
        <v>76</v>
      </c>
      <c r="C23" s="53" t="str">
        <f>IFERROR(IF(VLOOKUP($L$2,계약리스트!$A$2:$AD$10000,23,0)="","",VLOOKUP($L$2,계약리스트!$A$2:$AD$10000,23,0)),"")</f>
        <v>계좌이체</v>
      </c>
      <c r="D23" s="49"/>
      <c r="E23" s="29" t="s">
        <v>119</v>
      </c>
      <c r="F23" s="62" t="str">
        <f>TEXT(_xlfn.XLOOKUP(L2,계약리스트!A:A,계약리스트!B:B),"yyyy년 mm월 dd일")</f>
        <v>2026년 04월 24일</v>
      </c>
      <c r="G23" s="48"/>
      <c r="H23" s="48"/>
      <c r="I23" s="48"/>
      <c r="J23" s="49"/>
      <c r="K23" s="3"/>
      <c r="L23" s="3"/>
    </row>
    <row r="24" spans="1:12" ht="27.6" customHeight="1">
      <c r="A24" s="3"/>
      <c r="B24" s="29" t="s">
        <v>77</v>
      </c>
      <c r="C24" s="62" t="s">
        <v>99</v>
      </c>
      <c r="D24" s="48"/>
      <c r="E24" s="48"/>
      <c r="F24" s="48"/>
      <c r="G24" s="48"/>
      <c r="H24" s="48"/>
      <c r="I24" s="48"/>
      <c r="J24" s="49"/>
      <c r="K24" s="3"/>
      <c r="L24" s="3"/>
    </row>
    <row r="25" spans="1:12" ht="7.5" customHeight="1">
      <c r="A25" s="3"/>
      <c r="B25" s="3"/>
      <c r="C25" s="3"/>
      <c r="D25" s="3"/>
      <c r="E25" s="4"/>
      <c r="F25" s="3"/>
      <c r="G25" s="3"/>
      <c r="H25" s="3"/>
      <c r="I25" s="3"/>
      <c r="J25" s="3"/>
      <c r="K25" s="3"/>
      <c r="L25" s="3"/>
    </row>
    <row r="26" spans="1:12" ht="25.5" customHeight="1">
      <c r="A26" s="3"/>
      <c r="B26" s="54" t="s">
        <v>120</v>
      </c>
      <c r="C26" s="45"/>
      <c r="D26" s="45"/>
      <c r="E26" s="55"/>
      <c r="F26" s="45"/>
      <c r="G26" s="45"/>
      <c r="H26" s="45"/>
      <c r="I26" s="45"/>
      <c r="J26" s="45"/>
      <c r="K26" s="3"/>
      <c r="L26" s="3"/>
    </row>
    <row r="27" spans="1:12" ht="21.75" customHeight="1">
      <c r="A27" s="3"/>
      <c r="B27" s="29" t="s">
        <v>121</v>
      </c>
      <c r="C27" s="62" t="s">
        <v>54</v>
      </c>
      <c r="D27" s="49"/>
      <c r="E27" s="29" t="s">
        <v>66</v>
      </c>
      <c r="F27" s="53" t="s">
        <v>122</v>
      </c>
      <c r="G27" s="49"/>
      <c r="H27" s="29" t="s">
        <v>123</v>
      </c>
      <c r="I27" s="62" t="s">
        <v>124</v>
      </c>
      <c r="J27" s="49"/>
      <c r="K27" s="3"/>
      <c r="L27" s="3"/>
    </row>
    <row r="28" spans="1:12" ht="21.75" customHeight="1">
      <c r="A28" s="3"/>
      <c r="B28" s="29" t="s">
        <v>114</v>
      </c>
      <c r="C28" s="62" t="s">
        <v>125</v>
      </c>
      <c r="D28" s="48"/>
      <c r="E28" s="48"/>
      <c r="F28" s="49"/>
      <c r="G28" s="29" t="s">
        <v>126</v>
      </c>
      <c r="H28" s="53" t="s">
        <v>127</v>
      </c>
      <c r="I28" s="48"/>
      <c r="J28" s="49"/>
      <c r="K28" s="3"/>
      <c r="L28" s="3"/>
    </row>
    <row r="29" spans="1:12" ht="7.5" customHeight="1">
      <c r="A29" s="3"/>
      <c r="B29" s="3"/>
      <c r="C29" s="3"/>
      <c r="D29" s="3"/>
      <c r="E29" s="4"/>
      <c r="F29" s="3"/>
      <c r="G29" s="3"/>
      <c r="H29" s="3"/>
      <c r="I29" s="3"/>
      <c r="J29" s="3"/>
      <c r="K29" s="3"/>
      <c r="L29" s="3"/>
    </row>
    <row r="30" spans="1:12" ht="25.5" customHeight="1">
      <c r="A30" s="3"/>
      <c r="B30" s="86" t="s">
        <v>128</v>
      </c>
      <c r="C30" s="45"/>
      <c r="D30" s="45"/>
      <c r="E30" s="55"/>
      <c r="F30" s="45"/>
      <c r="G30" s="45"/>
      <c r="H30" s="45"/>
      <c r="I30" s="45"/>
      <c r="J30" s="45"/>
      <c r="K30" s="3"/>
      <c r="L30" s="3"/>
    </row>
    <row r="31" spans="1:12" ht="31.5" customHeight="1">
      <c r="A31" s="3"/>
      <c r="B31" s="56" t="s">
        <v>8</v>
      </c>
      <c r="C31" s="49"/>
      <c r="D31" s="57" t="s">
        <v>129</v>
      </c>
      <c r="E31" s="48"/>
      <c r="F31" s="48"/>
      <c r="G31" s="48"/>
      <c r="H31" s="48"/>
      <c r="I31" s="48"/>
      <c r="J31" s="49"/>
      <c r="K31" s="3"/>
      <c r="L31" s="3"/>
    </row>
    <row r="32" spans="1:12" ht="57" customHeight="1">
      <c r="A32" s="3"/>
      <c r="B32" s="56" t="s">
        <v>130</v>
      </c>
      <c r="C32" s="49"/>
      <c r="D32" s="57" t="s">
        <v>426</v>
      </c>
      <c r="E32" s="71"/>
      <c r="F32" s="71"/>
      <c r="G32" s="71"/>
      <c r="H32" s="71"/>
      <c r="I32" s="71"/>
      <c r="J32" s="72"/>
      <c r="K32" s="3"/>
      <c r="L32" s="3"/>
    </row>
    <row r="33" spans="1:12" ht="37.799999999999997" customHeight="1">
      <c r="A33" s="3"/>
      <c r="B33" s="56" t="s">
        <v>14</v>
      </c>
      <c r="C33" s="49"/>
      <c r="D33" s="57" t="s">
        <v>131</v>
      </c>
      <c r="E33" s="48"/>
      <c r="F33" s="48"/>
      <c r="G33" s="48"/>
      <c r="H33" s="48"/>
      <c r="I33" s="48"/>
      <c r="J33" s="49"/>
      <c r="K33" s="3"/>
      <c r="L33" s="3"/>
    </row>
    <row r="34" spans="1:12" ht="31.5" customHeight="1">
      <c r="A34" s="3"/>
      <c r="B34" s="70" t="s">
        <v>20</v>
      </c>
      <c r="C34" s="49"/>
      <c r="D34" s="57" t="s">
        <v>132</v>
      </c>
      <c r="E34" s="48"/>
      <c r="F34" s="48"/>
      <c r="G34" s="48"/>
      <c r="H34" s="48"/>
      <c r="I34" s="48"/>
      <c r="J34" s="49"/>
      <c r="K34" s="3"/>
      <c r="L34" s="3"/>
    </row>
    <row r="35" spans="1:12" ht="54.6" customHeight="1">
      <c r="B35" s="70" t="s">
        <v>133</v>
      </c>
      <c r="C35" s="49"/>
      <c r="D35" s="57" t="s">
        <v>134</v>
      </c>
      <c r="E35" s="48"/>
      <c r="F35" s="48"/>
      <c r="G35" s="48"/>
      <c r="H35" s="48"/>
      <c r="I35" s="48"/>
      <c r="J35" s="49"/>
    </row>
    <row r="36" spans="1:12" ht="85.8" customHeight="1">
      <c r="A36" s="3"/>
      <c r="B36" s="56" t="s">
        <v>135</v>
      </c>
      <c r="C36" s="49"/>
      <c r="D36" s="47" t="s">
        <v>136</v>
      </c>
      <c r="E36" s="48"/>
      <c r="F36" s="48"/>
      <c r="G36" s="48"/>
      <c r="H36" s="48"/>
      <c r="I36" s="48"/>
      <c r="J36" s="49"/>
      <c r="K36" s="3"/>
      <c r="L36" s="3"/>
    </row>
    <row r="37" spans="1:12" ht="67.95" customHeight="1">
      <c r="A37" s="3"/>
      <c r="B37" s="67" t="s">
        <v>137</v>
      </c>
      <c r="C37" s="49"/>
      <c r="D37" s="78" t="s">
        <v>138</v>
      </c>
      <c r="E37" s="48"/>
      <c r="F37" s="48"/>
      <c r="G37" s="48"/>
      <c r="H37" s="48"/>
      <c r="I37" s="48"/>
      <c r="J37" s="49"/>
      <c r="K37" s="3"/>
      <c r="L37" s="3"/>
    </row>
    <row r="38" spans="1:12" ht="32.4" customHeight="1">
      <c r="A38" s="3"/>
      <c r="B38" s="67" t="s">
        <v>139</v>
      </c>
      <c r="C38" s="49"/>
      <c r="D38" s="74" t="s">
        <v>140</v>
      </c>
      <c r="E38" s="48"/>
      <c r="F38" s="48"/>
      <c r="G38" s="48"/>
      <c r="H38" s="48"/>
      <c r="I38" s="48"/>
      <c r="J38" s="49"/>
      <c r="K38" s="3"/>
      <c r="L38" s="3"/>
    </row>
    <row r="39" spans="1:12" ht="40.799999999999997" customHeight="1">
      <c r="A39" s="3"/>
      <c r="B39" s="67" t="s">
        <v>141</v>
      </c>
      <c r="C39" s="49"/>
      <c r="D39" s="74" t="s">
        <v>142</v>
      </c>
      <c r="E39" s="48"/>
      <c r="F39" s="48"/>
      <c r="G39" s="48"/>
      <c r="H39" s="48"/>
      <c r="I39" s="48"/>
      <c r="J39" s="49"/>
      <c r="K39" s="3"/>
      <c r="L39" s="3"/>
    </row>
    <row r="40" spans="1:12" ht="25.5" customHeight="1">
      <c r="A40" s="3"/>
      <c r="B40" s="84"/>
      <c r="C40" s="45"/>
      <c r="D40" s="45"/>
      <c r="E40" s="55"/>
      <c r="F40" s="45"/>
      <c r="G40" s="45"/>
      <c r="H40" s="45"/>
      <c r="I40" s="45"/>
      <c r="J40" s="45"/>
      <c r="K40" s="3"/>
      <c r="L40" s="3"/>
    </row>
    <row r="41" spans="1:12" ht="25.5" customHeight="1">
      <c r="A41" s="3"/>
      <c r="B41" s="54" t="s">
        <v>143</v>
      </c>
      <c r="C41" s="45"/>
      <c r="D41" s="45"/>
      <c r="E41" s="55"/>
      <c r="F41" s="45"/>
      <c r="G41" s="45"/>
      <c r="H41" s="45"/>
      <c r="I41" s="45"/>
      <c r="J41" s="45"/>
      <c r="K41" s="3"/>
      <c r="L41" s="3"/>
    </row>
    <row r="42" spans="1:12" ht="25.5" customHeight="1">
      <c r="A42" s="3"/>
      <c r="B42" s="82" t="s">
        <v>144</v>
      </c>
      <c r="C42" s="66"/>
      <c r="D42" s="64" t="s">
        <v>145</v>
      </c>
      <c r="E42" s="65"/>
      <c r="F42" s="65"/>
      <c r="G42" s="65"/>
      <c r="H42" s="65"/>
      <c r="I42" s="65"/>
      <c r="J42" s="66"/>
      <c r="K42" s="3"/>
      <c r="L42" s="3"/>
    </row>
    <row r="43" spans="1:12" ht="25.5" customHeight="1">
      <c r="A43" s="3"/>
      <c r="B43" s="61" t="s">
        <v>146</v>
      </c>
      <c r="C43" s="49"/>
      <c r="D43" s="52" t="s">
        <v>147</v>
      </c>
      <c r="E43" s="48"/>
      <c r="F43" s="48"/>
      <c r="G43" s="48"/>
      <c r="H43" s="48"/>
      <c r="I43" s="48"/>
      <c r="J43" s="49"/>
      <c r="K43" s="3"/>
      <c r="L43" s="3"/>
    </row>
    <row r="44" spans="1:12" ht="25.5" customHeight="1">
      <c r="A44" s="3"/>
      <c r="B44" s="61" t="s">
        <v>148</v>
      </c>
      <c r="C44" s="49"/>
      <c r="D44" s="52" t="s">
        <v>149</v>
      </c>
      <c r="E44" s="48"/>
      <c r="F44" s="48"/>
      <c r="G44" s="48"/>
      <c r="H44" s="48"/>
      <c r="I44" s="48"/>
      <c r="J44" s="49"/>
      <c r="K44" s="3"/>
      <c r="L44" s="3"/>
    </row>
    <row r="45" spans="1:12" ht="25.5" customHeight="1">
      <c r="A45" s="3"/>
      <c r="B45" s="61" t="s">
        <v>150</v>
      </c>
      <c r="C45" s="49"/>
      <c r="D45" s="52" t="s">
        <v>151</v>
      </c>
      <c r="E45" s="48"/>
      <c r="F45" s="48"/>
      <c r="G45" s="48"/>
      <c r="H45" s="48"/>
      <c r="I45" s="48"/>
      <c r="J45" s="49"/>
      <c r="K45" s="3"/>
      <c r="L45" s="3"/>
    </row>
    <row r="46" spans="1:12" ht="25.5" customHeight="1">
      <c r="A46" s="3"/>
      <c r="B46" s="61" t="s">
        <v>152</v>
      </c>
      <c r="C46" s="49"/>
      <c r="D46" s="52" t="s">
        <v>153</v>
      </c>
      <c r="E46" s="48"/>
      <c r="F46" s="48"/>
      <c r="G46" s="48"/>
      <c r="H46" s="48"/>
      <c r="I46" s="48"/>
      <c r="J46" s="49"/>
      <c r="K46" s="3"/>
      <c r="L46" s="3"/>
    </row>
    <row r="47" spans="1:12" ht="25.5" customHeight="1">
      <c r="A47" s="3"/>
      <c r="B47" s="61" t="s">
        <v>154</v>
      </c>
      <c r="C47" s="48"/>
      <c r="D47" s="48"/>
      <c r="E47" s="48"/>
      <c r="F47" s="48"/>
      <c r="G47" s="48"/>
      <c r="H47" s="48"/>
      <c r="I47" s="48"/>
      <c r="J47" s="49"/>
      <c r="K47" s="3"/>
      <c r="L47" s="3"/>
    </row>
    <row r="48" spans="1:12" ht="15.6" customHeight="1">
      <c r="A48" s="3"/>
      <c r="B48" s="58" t="s">
        <v>155</v>
      </c>
      <c r="C48" s="59"/>
      <c r="D48" s="59"/>
      <c r="E48" s="59"/>
      <c r="F48" s="59"/>
      <c r="G48" s="59"/>
      <c r="H48" s="59"/>
      <c r="I48" s="59"/>
      <c r="J48" s="60"/>
      <c r="K48" s="3"/>
      <c r="L48" s="3"/>
    </row>
    <row r="49" spans="1:12" ht="25.5" customHeight="1">
      <c r="A49" s="3"/>
      <c r="B49" s="84"/>
      <c r="C49" s="45"/>
      <c r="D49" s="45"/>
      <c r="E49" s="55"/>
      <c r="F49" s="45"/>
      <c r="G49" s="45"/>
      <c r="H49" s="45"/>
      <c r="I49" s="45"/>
      <c r="J49" s="45"/>
      <c r="K49" s="3"/>
      <c r="L49" s="3"/>
    </row>
    <row r="50" spans="1:12" ht="36" customHeight="1">
      <c r="A50" s="3"/>
      <c r="B50" s="54" t="s">
        <v>156</v>
      </c>
      <c r="C50" s="45"/>
      <c r="D50" s="45"/>
      <c r="E50" s="55"/>
      <c r="F50" s="45"/>
      <c r="G50" s="45"/>
      <c r="H50" s="45"/>
      <c r="I50" s="45"/>
      <c r="J50" s="45"/>
      <c r="K50" s="3"/>
      <c r="L50" s="3"/>
    </row>
    <row r="51" spans="1:12" ht="48" customHeight="1">
      <c r="A51" s="3"/>
      <c r="B51" s="77" t="s">
        <v>157</v>
      </c>
      <c r="C51" s="48"/>
      <c r="D51" s="48"/>
      <c r="E51" s="48"/>
      <c r="F51" s="48"/>
      <c r="G51" s="48"/>
      <c r="H51" s="48"/>
      <c r="I51" s="48"/>
      <c r="J51" s="49"/>
      <c r="K51" s="3"/>
      <c r="L51" s="3"/>
    </row>
    <row r="52" spans="1:12" ht="35.4" customHeight="1">
      <c r="A52" s="3"/>
      <c r="B52" s="30" t="s">
        <v>50</v>
      </c>
      <c r="C52" s="79" t="str">
        <f>C11</f>
        <v>중앙 오토바이 가수점</v>
      </c>
      <c r="D52" s="48"/>
      <c r="E52" s="49"/>
      <c r="F52" s="25" t="s">
        <v>51</v>
      </c>
      <c r="G52" s="30" t="s">
        <v>52</v>
      </c>
      <c r="H52" s="77" t="str">
        <f>C16</f>
        <v>안종식</v>
      </c>
      <c r="I52" s="49"/>
      <c r="J52" s="25" t="s">
        <v>51</v>
      </c>
      <c r="K52" s="3"/>
      <c r="L52" s="3"/>
    </row>
    <row r="53" spans="1:12" ht="35.4" customHeight="1">
      <c r="A53" s="3"/>
      <c r="B53" s="29" t="s">
        <v>53</v>
      </c>
      <c r="C53" s="83" t="s">
        <v>158</v>
      </c>
      <c r="D53" s="48"/>
      <c r="E53" s="48"/>
      <c r="F53" s="48"/>
      <c r="G53" s="48"/>
      <c r="H53" s="48"/>
      <c r="I53" s="49"/>
      <c r="J53" s="25" t="s">
        <v>51</v>
      </c>
      <c r="K53" s="3"/>
      <c r="L53" s="3"/>
    </row>
    <row r="54" spans="1:12" ht="15" customHeight="1">
      <c r="A54" s="3"/>
      <c r="B54" s="80" t="s">
        <v>159</v>
      </c>
      <c r="C54" s="81"/>
      <c r="D54" s="81"/>
      <c r="E54" s="81"/>
      <c r="F54" s="81"/>
      <c r="G54" s="81"/>
      <c r="H54" s="81"/>
      <c r="I54" s="81"/>
      <c r="J54" s="51"/>
      <c r="K54" s="3"/>
      <c r="L54" s="3"/>
    </row>
    <row r="55" spans="1:12" ht="15" customHeight="1">
      <c r="A55" s="3"/>
      <c r="B55" s="31" t="s">
        <v>160</v>
      </c>
      <c r="C55" s="50"/>
      <c r="D55" s="51"/>
      <c r="E55" s="31" t="s">
        <v>161</v>
      </c>
      <c r="F55" s="50"/>
      <c r="G55" s="51"/>
      <c r="H55" s="31" t="s">
        <v>162</v>
      </c>
      <c r="I55" s="50"/>
      <c r="J55" s="51"/>
      <c r="K55" s="3"/>
      <c r="L55" s="3"/>
    </row>
    <row r="56" spans="1:12" ht="15" customHeight="1">
      <c r="A56" s="3"/>
      <c r="B56" s="31" t="s">
        <v>163</v>
      </c>
      <c r="C56" s="50"/>
      <c r="D56" s="51"/>
      <c r="E56" s="31" t="s">
        <v>164</v>
      </c>
      <c r="F56" s="50"/>
      <c r="G56" s="51"/>
      <c r="H56" s="31" t="s">
        <v>165</v>
      </c>
      <c r="I56" s="50"/>
      <c r="J56" s="51"/>
      <c r="K56" s="3"/>
      <c r="L56" s="3"/>
    </row>
    <row r="57" spans="1:12" ht="15" customHeight="1">
      <c r="A57" s="3"/>
      <c r="B57" s="3"/>
      <c r="C57" s="3"/>
      <c r="D57" s="3"/>
      <c r="E57" s="4"/>
      <c r="F57" s="3"/>
      <c r="G57" s="3"/>
      <c r="H57" s="3"/>
      <c r="I57" s="3"/>
      <c r="J57" s="3"/>
      <c r="K57" s="3"/>
      <c r="L57" s="3"/>
    </row>
    <row r="58" spans="1:12" ht="15" customHeight="1">
      <c r="A58" s="3"/>
      <c r="B58" s="3"/>
      <c r="C58" s="3"/>
      <c r="D58" s="3"/>
      <c r="E58" s="4"/>
      <c r="F58" s="3"/>
      <c r="G58" s="3"/>
      <c r="H58" s="3"/>
      <c r="I58" s="3"/>
      <c r="J58" s="3"/>
      <c r="K58" s="3"/>
      <c r="L58" s="3"/>
    </row>
    <row r="59" spans="1:12" ht="15" customHeight="1">
      <c r="A59" s="3"/>
      <c r="B59" s="3"/>
      <c r="C59" s="3"/>
      <c r="D59" s="3"/>
      <c r="E59" s="4"/>
      <c r="F59" s="3"/>
      <c r="G59" s="3"/>
      <c r="H59" s="3"/>
      <c r="I59" s="3"/>
      <c r="J59" s="3"/>
      <c r="K59" s="3"/>
      <c r="L59" s="3"/>
    </row>
    <row r="60" spans="1:12" ht="15" customHeight="1">
      <c r="A60" s="3"/>
      <c r="B60" s="3"/>
      <c r="C60" s="3"/>
      <c r="D60" s="3"/>
      <c r="E60" s="4"/>
      <c r="F60" s="3"/>
      <c r="G60" s="3"/>
      <c r="H60" s="3"/>
      <c r="I60" s="3"/>
      <c r="J60" s="3"/>
      <c r="K60" s="3"/>
      <c r="L60" s="3"/>
    </row>
    <row r="61" spans="1:12" ht="15" customHeight="1">
      <c r="A61" s="3"/>
      <c r="B61" s="3"/>
      <c r="C61" s="3"/>
      <c r="D61" s="3"/>
      <c r="E61" s="4"/>
      <c r="F61" s="3"/>
      <c r="G61" s="3"/>
      <c r="H61" s="3"/>
      <c r="I61" s="3"/>
      <c r="J61" s="3"/>
      <c r="K61" s="3"/>
      <c r="L61" s="3"/>
    </row>
    <row r="62" spans="1:12" ht="15" customHeight="1">
      <c r="A62" s="3"/>
      <c r="B62" s="3"/>
      <c r="C62" s="3"/>
      <c r="D62" s="3"/>
      <c r="E62" s="4"/>
      <c r="F62" s="3"/>
      <c r="G62" s="3"/>
      <c r="H62" s="3"/>
      <c r="I62" s="3"/>
      <c r="J62" s="3"/>
      <c r="K62" s="3"/>
      <c r="L62" s="3"/>
    </row>
    <row r="63" spans="1:12" ht="15" customHeight="1">
      <c r="A63" s="3"/>
      <c r="B63" s="3"/>
      <c r="C63" s="3"/>
      <c r="D63" s="3"/>
      <c r="E63" s="4"/>
      <c r="F63" s="3"/>
      <c r="G63" s="3"/>
      <c r="H63" s="3"/>
      <c r="I63" s="3"/>
      <c r="J63" s="3"/>
      <c r="K63" s="3"/>
      <c r="L63" s="3"/>
    </row>
    <row r="64" spans="1:12" ht="15" customHeight="1">
      <c r="A64" s="3"/>
      <c r="B64" s="3"/>
      <c r="C64" s="3"/>
      <c r="D64" s="3"/>
      <c r="E64" s="4"/>
      <c r="F64" s="3"/>
      <c r="G64" s="3"/>
      <c r="H64" s="3"/>
      <c r="I64" s="3"/>
      <c r="J64" s="3"/>
      <c r="K64" s="3"/>
      <c r="L64" s="3"/>
    </row>
    <row r="65" spans="1:12" ht="15" customHeight="1">
      <c r="A65" s="3"/>
      <c r="B65" s="3"/>
      <c r="C65" s="3"/>
      <c r="D65" s="3"/>
      <c r="E65" s="4"/>
      <c r="F65" s="3"/>
      <c r="G65" s="3"/>
      <c r="H65" s="3"/>
      <c r="I65" s="3"/>
      <c r="J65" s="3"/>
      <c r="K65" s="3"/>
      <c r="L65" s="3"/>
    </row>
    <row r="66" spans="1:12" ht="15" customHeight="1">
      <c r="A66" s="3"/>
      <c r="B66" s="3"/>
      <c r="C66" s="3"/>
      <c r="D66" s="3"/>
      <c r="E66" s="4"/>
      <c r="F66" s="3"/>
      <c r="G66" s="3"/>
      <c r="H66" s="3"/>
      <c r="I66" s="3"/>
      <c r="J66" s="3"/>
      <c r="K66" s="3"/>
      <c r="L66" s="3"/>
    </row>
    <row r="67" spans="1:12" ht="15" customHeight="1">
      <c r="A67" s="3"/>
      <c r="B67" s="3"/>
      <c r="C67" s="3"/>
      <c r="D67" s="3"/>
      <c r="E67" s="4"/>
      <c r="F67" s="3"/>
      <c r="G67" s="3"/>
      <c r="H67" s="3"/>
      <c r="I67" s="3"/>
      <c r="J67" s="3"/>
      <c r="K67" s="3"/>
      <c r="L67" s="3"/>
    </row>
    <row r="68" spans="1:12" ht="15" customHeight="1">
      <c r="A68" s="3"/>
      <c r="B68" s="3"/>
      <c r="C68" s="3"/>
      <c r="D68" s="3"/>
      <c r="E68" s="4"/>
      <c r="F68" s="3"/>
      <c r="G68" s="3"/>
      <c r="H68" s="3"/>
      <c r="I68" s="3"/>
      <c r="J68" s="3"/>
      <c r="K68" s="3"/>
      <c r="L68" s="3"/>
    </row>
    <row r="69" spans="1:12" ht="15" customHeight="1">
      <c r="A69" s="3"/>
      <c r="B69" s="3"/>
      <c r="C69" s="3"/>
      <c r="D69" s="3"/>
      <c r="E69" s="4"/>
      <c r="F69" s="3"/>
      <c r="G69" s="3"/>
      <c r="H69" s="3"/>
      <c r="I69" s="3"/>
      <c r="J69" s="3"/>
      <c r="K69" s="3"/>
      <c r="L69" s="3"/>
    </row>
    <row r="70" spans="1:12" ht="15" customHeight="1">
      <c r="A70" s="3"/>
      <c r="B70" s="3"/>
      <c r="C70" s="3"/>
      <c r="D70" s="3"/>
      <c r="E70" s="4"/>
      <c r="F70" s="3"/>
      <c r="G70" s="3"/>
      <c r="H70" s="3"/>
      <c r="I70" s="3"/>
      <c r="J70" s="3"/>
      <c r="K70" s="3"/>
      <c r="L70" s="3"/>
    </row>
    <row r="71" spans="1:12" ht="15" customHeight="1">
      <c r="A71" s="3"/>
      <c r="B71" s="3"/>
      <c r="C71" s="3"/>
      <c r="D71" s="3"/>
      <c r="E71" s="4"/>
      <c r="F71" s="3"/>
      <c r="G71" s="3"/>
      <c r="H71" s="3"/>
      <c r="I71" s="3"/>
      <c r="J71" s="3"/>
      <c r="K71" s="3"/>
      <c r="L71" s="3"/>
    </row>
    <row r="72" spans="1:12" ht="15" customHeight="1">
      <c r="A72" s="3"/>
      <c r="B72" s="3"/>
      <c r="C72" s="3"/>
      <c r="D72" s="3"/>
      <c r="E72" s="4"/>
      <c r="F72" s="3"/>
      <c r="G72" s="3"/>
      <c r="H72" s="3"/>
      <c r="I72" s="3"/>
      <c r="J72" s="3"/>
      <c r="K72" s="3"/>
      <c r="L72" s="3"/>
    </row>
    <row r="73" spans="1:12" ht="15" customHeight="1">
      <c r="A73" s="3"/>
      <c r="B73" s="3"/>
      <c r="C73" s="3"/>
      <c r="D73" s="3"/>
      <c r="E73" s="4"/>
      <c r="F73" s="3"/>
      <c r="G73" s="3"/>
      <c r="H73" s="3"/>
      <c r="I73" s="3"/>
      <c r="J73" s="3"/>
      <c r="K73" s="3"/>
      <c r="L73" s="3"/>
    </row>
    <row r="74" spans="1:12" ht="15" customHeight="1">
      <c r="A74" s="3"/>
      <c r="B74" s="3"/>
      <c r="C74" s="3"/>
      <c r="D74" s="3"/>
      <c r="E74" s="4"/>
      <c r="F74" s="3"/>
      <c r="G74" s="3"/>
      <c r="H74" s="3"/>
      <c r="I74" s="3"/>
      <c r="J74" s="3"/>
      <c r="K74" s="3"/>
      <c r="L74" s="3"/>
    </row>
    <row r="75" spans="1:12" ht="15" customHeight="1">
      <c r="A75" s="3"/>
      <c r="B75" s="3"/>
      <c r="C75" s="3"/>
      <c r="D75" s="3"/>
      <c r="E75" s="4"/>
      <c r="F75" s="3"/>
      <c r="G75" s="3"/>
      <c r="H75" s="3"/>
      <c r="I75" s="3"/>
      <c r="J75" s="3"/>
      <c r="K75" s="3"/>
      <c r="L75" s="3"/>
    </row>
    <row r="76" spans="1:12" ht="15" customHeight="1">
      <c r="A76" s="3"/>
      <c r="B76" s="3"/>
      <c r="C76" s="3"/>
      <c r="D76" s="3"/>
      <c r="E76" s="4"/>
      <c r="F76" s="3"/>
      <c r="G76" s="3"/>
      <c r="H76" s="3"/>
      <c r="I76" s="3"/>
      <c r="J76" s="3"/>
      <c r="K76" s="3"/>
      <c r="L76" s="3"/>
    </row>
    <row r="77" spans="1:12" ht="15" customHeight="1">
      <c r="A77" s="3"/>
      <c r="B77" s="3"/>
      <c r="C77" s="3"/>
      <c r="D77" s="3"/>
      <c r="E77" s="4"/>
      <c r="F77" s="3"/>
      <c r="G77" s="3"/>
      <c r="H77" s="3"/>
      <c r="I77" s="3"/>
      <c r="J77" s="3"/>
      <c r="K77" s="3"/>
      <c r="L77" s="3"/>
    </row>
    <row r="78" spans="1:12" ht="15" customHeight="1">
      <c r="A78" s="3"/>
      <c r="B78" s="3"/>
      <c r="C78" s="3"/>
      <c r="D78" s="3"/>
      <c r="E78" s="4"/>
      <c r="F78" s="3"/>
      <c r="G78" s="3"/>
      <c r="H78" s="3"/>
      <c r="I78" s="3"/>
      <c r="J78" s="3"/>
      <c r="K78" s="3"/>
      <c r="L78" s="3"/>
    </row>
    <row r="79" spans="1:12" ht="15" customHeight="1">
      <c r="A79" s="3"/>
      <c r="B79" s="3"/>
      <c r="C79" s="3"/>
      <c r="D79" s="3"/>
      <c r="E79" s="4"/>
      <c r="F79" s="3"/>
      <c r="G79" s="3"/>
      <c r="H79" s="3"/>
      <c r="I79" s="3"/>
      <c r="J79" s="3"/>
      <c r="K79" s="3"/>
      <c r="L79" s="3"/>
    </row>
    <row r="80" spans="1:12" ht="15" customHeight="1">
      <c r="A80" s="3"/>
      <c r="B80" s="3"/>
      <c r="C80" s="3"/>
      <c r="D80" s="3"/>
      <c r="E80" s="4"/>
      <c r="F80" s="3"/>
      <c r="G80" s="3"/>
      <c r="H80" s="3"/>
      <c r="I80" s="3"/>
      <c r="J80" s="3"/>
      <c r="K80" s="3"/>
      <c r="L80" s="3"/>
    </row>
    <row r="81" spans="1:12" ht="15" customHeight="1">
      <c r="A81" s="3"/>
      <c r="B81" s="3"/>
      <c r="C81" s="3"/>
      <c r="D81" s="3"/>
      <c r="E81" s="4"/>
      <c r="F81" s="3"/>
      <c r="G81" s="3"/>
      <c r="H81" s="3"/>
      <c r="I81" s="3"/>
      <c r="J81" s="3"/>
      <c r="K81" s="3"/>
      <c r="L81" s="3"/>
    </row>
    <row r="82" spans="1:12" ht="15" customHeight="1">
      <c r="A82" s="3"/>
      <c r="B82" s="3"/>
      <c r="C82" s="3"/>
      <c r="D82" s="3"/>
      <c r="E82" s="4"/>
      <c r="F82" s="3"/>
      <c r="G82" s="3"/>
      <c r="H82" s="3"/>
      <c r="I82" s="3"/>
      <c r="J82" s="3"/>
      <c r="K82" s="3"/>
      <c r="L82" s="3"/>
    </row>
    <row r="83" spans="1:12" ht="15" customHeight="1">
      <c r="A83" s="3"/>
      <c r="B83" s="3"/>
      <c r="C83" s="3"/>
      <c r="D83" s="3"/>
      <c r="E83" s="4"/>
      <c r="F83" s="3"/>
      <c r="G83" s="3"/>
      <c r="H83" s="3"/>
      <c r="I83" s="3"/>
      <c r="J83" s="3"/>
      <c r="K83" s="3"/>
      <c r="L83" s="3"/>
    </row>
    <row r="84" spans="1:12" ht="15" customHeight="1">
      <c r="A84" s="3"/>
      <c r="B84" s="3"/>
      <c r="C84" s="3"/>
      <c r="D84" s="3"/>
      <c r="E84" s="4"/>
      <c r="F84" s="3"/>
      <c r="G84" s="3"/>
      <c r="H84" s="3"/>
      <c r="I84" s="3"/>
      <c r="J84" s="3"/>
      <c r="K84" s="3"/>
      <c r="L84" s="3"/>
    </row>
    <row r="85" spans="1:12" ht="15" customHeight="1">
      <c r="A85" s="3"/>
      <c r="B85" s="3"/>
      <c r="C85" s="3"/>
      <c r="D85" s="3"/>
      <c r="E85" s="4"/>
      <c r="F85" s="3"/>
      <c r="G85" s="3"/>
      <c r="H85" s="3"/>
      <c r="I85" s="3"/>
      <c r="J85" s="3"/>
      <c r="K85" s="3"/>
      <c r="L85" s="3"/>
    </row>
    <row r="86" spans="1:12" ht="15" customHeight="1">
      <c r="A86" s="3"/>
      <c r="B86" s="3"/>
      <c r="C86" s="3"/>
      <c r="D86" s="3"/>
      <c r="E86" s="4"/>
      <c r="F86" s="3"/>
      <c r="G86" s="3"/>
      <c r="H86" s="3"/>
      <c r="I86" s="3"/>
      <c r="J86" s="3"/>
      <c r="K86" s="3"/>
      <c r="L86" s="3"/>
    </row>
    <row r="87" spans="1:12" ht="15" customHeight="1">
      <c r="A87" s="3"/>
      <c r="B87" s="3"/>
      <c r="C87" s="3"/>
      <c r="D87" s="3"/>
      <c r="E87" s="4"/>
      <c r="F87" s="3"/>
      <c r="G87" s="3"/>
      <c r="H87" s="3"/>
      <c r="I87" s="3"/>
      <c r="J87" s="3"/>
      <c r="K87" s="3"/>
      <c r="L87" s="3"/>
    </row>
    <row r="88" spans="1:12" ht="15" customHeight="1">
      <c r="A88" s="3"/>
      <c r="B88" s="3"/>
      <c r="C88" s="3"/>
      <c r="D88" s="3"/>
      <c r="E88" s="4"/>
      <c r="F88" s="3"/>
      <c r="G88" s="3"/>
      <c r="H88" s="3"/>
      <c r="I88" s="3"/>
      <c r="J88" s="3"/>
      <c r="K88" s="3"/>
      <c r="L88" s="3"/>
    </row>
    <row r="89" spans="1:12" ht="15" customHeight="1">
      <c r="A89" s="3"/>
      <c r="B89" s="3"/>
      <c r="C89" s="3"/>
      <c r="D89" s="3"/>
      <c r="E89" s="4"/>
      <c r="F89" s="3"/>
      <c r="G89" s="3"/>
      <c r="H89" s="3"/>
      <c r="I89" s="3"/>
      <c r="J89" s="3"/>
      <c r="K89" s="3"/>
      <c r="L89" s="3"/>
    </row>
    <row r="90" spans="1:12" ht="15" customHeight="1">
      <c r="A90" s="3"/>
      <c r="B90" s="3"/>
      <c r="C90" s="3"/>
      <c r="D90" s="3"/>
      <c r="E90" s="4"/>
      <c r="F90" s="3"/>
      <c r="G90" s="3"/>
      <c r="H90" s="3"/>
      <c r="I90" s="3"/>
      <c r="J90" s="3"/>
      <c r="K90" s="3"/>
      <c r="L90" s="3"/>
    </row>
    <row r="91" spans="1:12" ht="15" customHeight="1">
      <c r="A91" s="3"/>
      <c r="B91" s="3"/>
      <c r="C91" s="3"/>
      <c r="D91" s="3"/>
      <c r="E91" s="4"/>
      <c r="F91" s="3"/>
      <c r="G91" s="3"/>
      <c r="H91" s="3"/>
      <c r="I91" s="3"/>
      <c r="J91" s="3"/>
      <c r="K91" s="3"/>
      <c r="L91" s="3"/>
    </row>
    <row r="92" spans="1:12" ht="15" customHeight="1">
      <c r="A92" s="3"/>
      <c r="B92" s="3"/>
      <c r="C92" s="3"/>
      <c r="D92" s="3"/>
      <c r="E92" s="4"/>
      <c r="F92" s="3"/>
      <c r="G92" s="3"/>
      <c r="H92" s="3"/>
      <c r="I92" s="3"/>
      <c r="J92" s="3"/>
      <c r="K92" s="3"/>
      <c r="L92" s="3"/>
    </row>
    <row r="93" spans="1:12" ht="15" customHeight="1">
      <c r="A93" s="3"/>
      <c r="B93" s="3"/>
      <c r="C93" s="3"/>
      <c r="D93" s="3"/>
      <c r="E93" s="4"/>
      <c r="F93" s="3"/>
      <c r="G93" s="3"/>
      <c r="H93" s="3"/>
      <c r="I93" s="3"/>
      <c r="J93" s="3"/>
      <c r="K93" s="3"/>
      <c r="L93" s="3"/>
    </row>
    <row r="94" spans="1:12" ht="15" customHeight="1">
      <c r="A94" s="3"/>
      <c r="B94" s="3"/>
      <c r="C94" s="3"/>
      <c r="D94" s="3"/>
      <c r="E94" s="4"/>
      <c r="F94" s="3"/>
      <c r="G94" s="3"/>
      <c r="H94" s="3"/>
      <c r="I94" s="3"/>
      <c r="J94" s="3"/>
      <c r="K94" s="3"/>
      <c r="L94" s="3"/>
    </row>
    <row r="95" spans="1:12" ht="15" customHeight="1">
      <c r="A95" s="3"/>
      <c r="B95" s="3"/>
      <c r="C95" s="3"/>
      <c r="D95" s="3"/>
      <c r="E95" s="4"/>
      <c r="F95" s="3"/>
      <c r="G95" s="3"/>
      <c r="H95" s="3"/>
      <c r="I95" s="3"/>
      <c r="J95" s="3"/>
      <c r="K95" s="3"/>
      <c r="L95" s="3"/>
    </row>
    <row r="96" spans="1:12" ht="15" customHeight="1">
      <c r="A96" s="3"/>
      <c r="B96" s="3"/>
      <c r="C96" s="3"/>
      <c r="D96" s="3"/>
      <c r="E96" s="4"/>
      <c r="F96" s="3"/>
      <c r="G96" s="3"/>
      <c r="H96" s="3"/>
      <c r="I96" s="3"/>
      <c r="J96" s="3"/>
      <c r="K96" s="3"/>
      <c r="L96" s="3"/>
    </row>
    <row r="97" spans="1:12" ht="15" customHeight="1">
      <c r="A97" s="3"/>
      <c r="B97" s="3"/>
      <c r="C97" s="3"/>
      <c r="D97" s="3"/>
      <c r="E97" s="4"/>
      <c r="F97" s="3"/>
      <c r="G97" s="3"/>
      <c r="H97" s="3"/>
      <c r="I97" s="3"/>
      <c r="J97" s="3"/>
      <c r="K97" s="3"/>
      <c r="L97" s="3"/>
    </row>
    <row r="98" spans="1:12" ht="15" customHeight="1">
      <c r="A98" s="3"/>
      <c r="B98" s="3"/>
      <c r="C98" s="3"/>
      <c r="D98" s="3"/>
      <c r="E98" s="4"/>
      <c r="F98" s="3"/>
      <c r="G98" s="3"/>
      <c r="H98" s="3"/>
      <c r="I98" s="3"/>
      <c r="J98" s="3"/>
      <c r="K98" s="3"/>
      <c r="L98" s="3"/>
    </row>
    <row r="99" spans="1:12" ht="15" customHeight="1">
      <c r="A99" s="3"/>
      <c r="B99" s="3"/>
      <c r="C99" s="3"/>
      <c r="D99" s="3"/>
      <c r="E99" s="4"/>
      <c r="F99" s="3"/>
      <c r="G99" s="3"/>
      <c r="H99" s="3"/>
      <c r="I99" s="3"/>
      <c r="J99" s="3"/>
      <c r="K99" s="3"/>
      <c r="L99" s="3"/>
    </row>
    <row r="100" spans="1:12" ht="15" customHeight="1">
      <c r="A100" s="3"/>
      <c r="B100" s="3"/>
      <c r="C100" s="3"/>
      <c r="D100" s="3"/>
      <c r="E100" s="4"/>
      <c r="F100" s="3"/>
      <c r="G100" s="3"/>
      <c r="H100" s="3"/>
      <c r="I100" s="3"/>
      <c r="J100" s="3"/>
      <c r="K100" s="3"/>
      <c r="L100" s="3"/>
    </row>
    <row r="101" spans="1:12" ht="15" customHeight="1">
      <c r="A101" s="3"/>
      <c r="B101" s="3"/>
      <c r="C101" s="3"/>
      <c r="D101" s="3"/>
      <c r="E101" s="4"/>
      <c r="F101" s="3"/>
      <c r="G101" s="3"/>
      <c r="H101" s="3"/>
      <c r="I101" s="3"/>
      <c r="J101" s="3"/>
      <c r="K101" s="3"/>
      <c r="L101" s="3"/>
    </row>
    <row r="102" spans="1:12" ht="15" customHeight="1">
      <c r="A102" s="3"/>
      <c r="B102" s="3"/>
      <c r="C102" s="3"/>
      <c r="D102" s="3"/>
      <c r="E102" s="4"/>
      <c r="F102" s="3"/>
      <c r="G102" s="3"/>
      <c r="H102" s="3"/>
      <c r="I102" s="3"/>
      <c r="J102" s="3"/>
      <c r="K102" s="3"/>
      <c r="L102" s="3"/>
    </row>
    <row r="103" spans="1:12" ht="15" customHeight="1">
      <c r="A103" s="3"/>
      <c r="B103" s="3"/>
      <c r="C103" s="3"/>
      <c r="D103" s="3"/>
      <c r="E103" s="4"/>
      <c r="F103" s="3"/>
      <c r="G103" s="3"/>
      <c r="H103" s="3"/>
      <c r="I103" s="3"/>
      <c r="J103" s="3"/>
      <c r="K103" s="3"/>
      <c r="L103" s="3"/>
    </row>
    <row r="104" spans="1:12" ht="15" customHeight="1">
      <c r="A104" s="3"/>
      <c r="B104" s="3"/>
      <c r="C104" s="3"/>
      <c r="D104" s="3"/>
      <c r="E104" s="4"/>
      <c r="F104" s="3"/>
      <c r="G104" s="3"/>
      <c r="H104" s="3"/>
      <c r="I104" s="3"/>
      <c r="J104" s="3"/>
      <c r="K104" s="3"/>
      <c r="L104" s="3"/>
    </row>
    <row r="105" spans="1:12" ht="15" customHeight="1">
      <c r="A105" s="3"/>
      <c r="B105" s="3"/>
      <c r="C105" s="3"/>
      <c r="D105" s="3"/>
      <c r="E105" s="4"/>
      <c r="F105" s="3"/>
      <c r="G105" s="3"/>
      <c r="H105" s="3"/>
      <c r="I105" s="3"/>
      <c r="J105" s="3"/>
      <c r="K105" s="3"/>
      <c r="L105" s="3"/>
    </row>
    <row r="106" spans="1:12" ht="15" customHeight="1">
      <c r="A106" s="3"/>
      <c r="B106" s="3"/>
      <c r="C106" s="3"/>
      <c r="D106" s="3"/>
      <c r="E106" s="4"/>
      <c r="F106" s="3"/>
      <c r="G106" s="3"/>
      <c r="H106" s="3"/>
      <c r="I106" s="3"/>
      <c r="J106" s="3"/>
      <c r="K106" s="3"/>
      <c r="L106" s="3"/>
    </row>
    <row r="107" spans="1:12" ht="15" customHeight="1">
      <c r="A107" s="3"/>
      <c r="B107" s="3"/>
      <c r="C107" s="3"/>
      <c r="D107" s="3"/>
      <c r="E107" s="4"/>
      <c r="F107" s="3"/>
      <c r="G107" s="3"/>
      <c r="H107" s="3"/>
      <c r="I107" s="3"/>
      <c r="J107" s="3"/>
      <c r="K107" s="3"/>
      <c r="L107" s="3"/>
    </row>
    <row r="108" spans="1:12" ht="15" customHeight="1">
      <c r="A108" s="3"/>
      <c r="B108" s="3"/>
      <c r="C108" s="3"/>
      <c r="D108" s="3"/>
      <c r="E108" s="4"/>
      <c r="F108" s="3"/>
      <c r="G108" s="3"/>
      <c r="H108" s="3"/>
      <c r="I108" s="3"/>
      <c r="J108" s="3"/>
      <c r="K108" s="3"/>
      <c r="L108" s="3"/>
    </row>
    <row r="109" spans="1:12" ht="15" customHeight="1">
      <c r="A109" s="3"/>
      <c r="B109" s="3"/>
      <c r="C109" s="3"/>
      <c r="D109" s="3"/>
      <c r="E109" s="4"/>
      <c r="F109" s="3"/>
      <c r="G109" s="3"/>
      <c r="H109" s="3"/>
      <c r="I109" s="3"/>
      <c r="J109" s="3"/>
      <c r="K109" s="3"/>
      <c r="L109" s="3"/>
    </row>
    <row r="110" spans="1:12" ht="14.25" customHeight="1">
      <c r="A110" s="3"/>
      <c r="B110" s="3"/>
      <c r="C110" s="3"/>
      <c r="D110" s="3"/>
      <c r="E110" s="4"/>
      <c r="F110" s="3"/>
      <c r="G110" s="3"/>
      <c r="H110" s="3"/>
      <c r="I110" s="3"/>
      <c r="J110" s="3"/>
      <c r="K110" s="3"/>
      <c r="L110" s="3"/>
    </row>
  </sheetData>
  <mergeCells count="87">
    <mergeCell ref="C53:I53"/>
    <mergeCell ref="I16:J16"/>
    <mergeCell ref="D35:J35"/>
    <mergeCell ref="B40:J40"/>
    <mergeCell ref="B49:J49"/>
    <mergeCell ref="H52:I52"/>
    <mergeCell ref="B18:J18"/>
    <mergeCell ref="C22:D22"/>
    <mergeCell ref="B30:J30"/>
    <mergeCell ref="I21:J21"/>
    <mergeCell ref="D31:J31"/>
    <mergeCell ref="D46:J46"/>
    <mergeCell ref="B44:C44"/>
    <mergeCell ref="B47:J47"/>
    <mergeCell ref="B45:C45"/>
    <mergeCell ref="D43:J43"/>
    <mergeCell ref="C56:D56"/>
    <mergeCell ref="B38:C38"/>
    <mergeCell ref="B51:J51"/>
    <mergeCell ref="C27:D27"/>
    <mergeCell ref="B26:J26"/>
    <mergeCell ref="B41:J41"/>
    <mergeCell ref="F56:G56"/>
    <mergeCell ref="B33:C33"/>
    <mergeCell ref="B32:C32"/>
    <mergeCell ref="B35:C35"/>
    <mergeCell ref="D37:J37"/>
    <mergeCell ref="C52:E52"/>
    <mergeCell ref="I56:J56"/>
    <mergeCell ref="B54:J54"/>
    <mergeCell ref="B43:C43"/>
    <mergeCell ref="B42:C42"/>
    <mergeCell ref="B2:J2"/>
    <mergeCell ref="I6:J6"/>
    <mergeCell ref="C24:J24"/>
    <mergeCell ref="D39:J39"/>
    <mergeCell ref="F6:G6"/>
    <mergeCell ref="C28:F28"/>
    <mergeCell ref="D38:J38"/>
    <mergeCell ref="I7:J7"/>
    <mergeCell ref="B3:E3"/>
    <mergeCell ref="B15:J15"/>
    <mergeCell ref="B37:C37"/>
    <mergeCell ref="F3:H3"/>
    <mergeCell ref="I11:J11"/>
    <mergeCell ref="F7:G7"/>
    <mergeCell ref="F21:G21"/>
    <mergeCell ref="F12:J12"/>
    <mergeCell ref="B5:J5"/>
    <mergeCell ref="B20:J20"/>
    <mergeCell ref="C21:D21"/>
    <mergeCell ref="F23:J23"/>
    <mergeCell ref="B34:C34"/>
    <mergeCell ref="F22:G22"/>
    <mergeCell ref="C23:D23"/>
    <mergeCell ref="C17:J17"/>
    <mergeCell ref="D32:J32"/>
    <mergeCell ref="C7:D7"/>
    <mergeCell ref="C6:D6"/>
    <mergeCell ref="F16:G16"/>
    <mergeCell ref="B31:C31"/>
    <mergeCell ref="D33:J33"/>
    <mergeCell ref="B13:J13"/>
    <mergeCell ref="C12:D12"/>
    <mergeCell ref="B48:J48"/>
    <mergeCell ref="F11:G11"/>
    <mergeCell ref="B46:C46"/>
    <mergeCell ref="I27:J27"/>
    <mergeCell ref="B8:J8"/>
    <mergeCell ref="D42:J42"/>
    <mergeCell ref="B39:C39"/>
    <mergeCell ref="I3:J3"/>
    <mergeCell ref="D36:J36"/>
    <mergeCell ref="I55:J55"/>
    <mergeCell ref="D45:J45"/>
    <mergeCell ref="C11:D11"/>
    <mergeCell ref="B50:J50"/>
    <mergeCell ref="F27:G27"/>
    <mergeCell ref="B36:C36"/>
    <mergeCell ref="F55:G55"/>
    <mergeCell ref="C16:D16"/>
    <mergeCell ref="B10:J10"/>
    <mergeCell ref="H28:J28"/>
    <mergeCell ref="D44:J44"/>
    <mergeCell ref="C55:D55"/>
    <mergeCell ref="D34:J34"/>
    <mergeCell ref="I22:J22"/>
  </mergeCells>
  <phoneticPr fontId="20" type="noConversion"/>
  <printOptions horizontalCentered="1"/>
  <pageMargins left="0.3" right="0.3" top="0.4" bottom="0.4" header="0.511811023622047" footer="0.511811023622047"/>
  <pageSetup paperSize="9" scale="51"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D222"/>
  <sheetViews>
    <sheetView showGridLines="0" view="pageBreakPreview" zoomScale="115" zoomScaleNormal="115" zoomScaleSheetLayoutView="115" zoomScalePageLayoutView="145" workbookViewId="0">
      <selection activeCell="B57" sqref="B57"/>
    </sheetView>
  </sheetViews>
  <sheetFormatPr defaultColWidth="8.6640625" defaultRowHeight="14.4"/>
  <cols>
    <col min="1" max="1" width="2" customWidth="1"/>
    <col min="2" max="2" width="70.44140625" customWidth="1"/>
    <col min="3" max="3" width="1.5546875" customWidth="1"/>
    <col min="4" max="4" width="70.44140625" customWidth="1"/>
    <col min="5" max="5" width="2" customWidth="1"/>
  </cols>
  <sheetData>
    <row r="1" spans="2:4" ht="31.5" customHeight="1">
      <c r="B1" s="44" t="s">
        <v>166</v>
      </c>
      <c r="C1" s="45"/>
      <c r="D1" s="45"/>
    </row>
    <row r="3" spans="2:4" ht="14.25" customHeight="1">
      <c r="B3" s="32" t="s">
        <v>167</v>
      </c>
      <c r="D3" s="33" t="s">
        <v>168</v>
      </c>
    </row>
    <row r="4" spans="2:4" ht="14.25" customHeight="1">
      <c r="B4" s="37" t="s">
        <v>169</v>
      </c>
      <c r="D4" s="37" t="s">
        <v>170</v>
      </c>
    </row>
    <row r="5" spans="2:4" ht="14.25" customHeight="1">
      <c r="B5" s="37" t="s">
        <v>171</v>
      </c>
      <c r="D5" s="37" t="s">
        <v>172</v>
      </c>
    </row>
    <row r="6" spans="2:4" ht="14.25" customHeight="1">
      <c r="B6" s="6"/>
      <c r="D6" s="37" t="s">
        <v>173</v>
      </c>
    </row>
    <row r="7" spans="2:4" ht="14.25" customHeight="1">
      <c r="B7" s="32" t="s">
        <v>174</v>
      </c>
      <c r="D7" s="37" t="s">
        <v>175</v>
      </c>
    </row>
    <row r="8" spans="2:4" ht="14.25" customHeight="1">
      <c r="B8" s="37" t="s">
        <v>176</v>
      </c>
      <c r="D8" s="37" t="s">
        <v>177</v>
      </c>
    </row>
    <row r="9" spans="2:4" ht="14.25" customHeight="1">
      <c r="B9" s="37" t="s">
        <v>178</v>
      </c>
      <c r="D9" s="37" t="s">
        <v>179</v>
      </c>
    </row>
    <row r="10" spans="2:4" ht="14.25" customHeight="1">
      <c r="B10" s="37" t="s">
        <v>180</v>
      </c>
      <c r="D10" s="37" t="s">
        <v>181</v>
      </c>
    </row>
    <row r="11" spans="2:4" ht="14.25" customHeight="1">
      <c r="B11" s="37" t="s">
        <v>182</v>
      </c>
      <c r="D11" s="37" t="s">
        <v>183</v>
      </c>
    </row>
    <row r="12" spans="2:4" ht="14.25" customHeight="1">
      <c r="B12" s="37" t="s">
        <v>184</v>
      </c>
      <c r="D12" s="37" t="s">
        <v>185</v>
      </c>
    </row>
    <row r="13" spans="2:4" ht="14.25" customHeight="1">
      <c r="B13" s="37" t="s">
        <v>186</v>
      </c>
      <c r="D13" s="37" t="s">
        <v>187</v>
      </c>
    </row>
    <row r="14" spans="2:4" ht="14.25" customHeight="1">
      <c r="B14" s="39" t="s">
        <v>188</v>
      </c>
      <c r="D14" s="37"/>
    </row>
    <row r="15" spans="2:4" ht="14.25" customHeight="1">
      <c r="B15" s="37" t="s">
        <v>189</v>
      </c>
      <c r="D15" s="33" t="s">
        <v>190</v>
      </c>
    </row>
    <row r="16" spans="2:4" ht="14.25" customHeight="1">
      <c r="B16" s="38" t="s">
        <v>191</v>
      </c>
      <c r="D16" s="37" t="s">
        <v>192</v>
      </c>
    </row>
    <row r="17" spans="2:4" ht="14.25" customHeight="1">
      <c r="B17" s="37" t="s">
        <v>193</v>
      </c>
      <c r="D17" s="37" t="s">
        <v>194</v>
      </c>
    </row>
    <row r="18" spans="2:4" ht="14.25" customHeight="1">
      <c r="B18" s="37" t="s">
        <v>195</v>
      </c>
      <c r="D18" s="37" t="s">
        <v>196</v>
      </c>
    </row>
    <row r="19" spans="2:4" ht="14.25" customHeight="1">
      <c r="B19" s="37" t="s">
        <v>197</v>
      </c>
      <c r="D19" s="37" t="s">
        <v>198</v>
      </c>
    </row>
    <row r="20" spans="2:4" ht="14.25" customHeight="1">
      <c r="B20" s="37" t="s">
        <v>199</v>
      </c>
      <c r="D20" s="37" t="s">
        <v>200</v>
      </c>
    </row>
    <row r="21" spans="2:4" ht="14.25" customHeight="1">
      <c r="B21" s="37" t="s">
        <v>201</v>
      </c>
      <c r="D21" s="37" t="s">
        <v>202</v>
      </c>
    </row>
    <row r="22" spans="2:4" ht="14.25" customHeight="1">
      <c r="B22" s="37" t="s">
        <v>203</v>
      </c>
      <c r="D22" s="37" t="s">
        <v>204</v>
      </c>
    </row>
    <row r="23" spans="2:4" ht="14.25" customHeight="1">
      <c r="B23" s="42" t="s">
        <v>205</v>
      </c>
      <c r="D23" s="37" t="s">
        <v>206</v>
      </c>
    </row>
    <row r="24" spans="2:4" ht="14.25" customHeight="1">
      <c r="B24" s="37" t="s">
        <v>207</v>
      </c>
      <c r="D24" s="37" t="s">
        <v>208</v>
      </c>
    </row>
    <row r="25" spans="2:4" ht="14.25" customHeight="1">
      <c r="B25" s="37" t="s">
        <v>209</v>
      </c>
      <c r="D25" s="37" t="s">
        <v>210</v>
      </c>
    </row>
    <row r="26" spans="2:4" ht="14.25" customHeight="1">
      <c r="B26" s="37"/>
      <c r="D26" s="37" t="s">
        <v>211</v>
      </c>
    </row>
    <row r="27" spans="2:4" ht="14.25" customHeight="1">
      <c r="B27" s="33" t="s">
        <v>213</v>
      </c>
      <c r="D27" s="7"/>
    </row>
    <row r="28" spans="2:4" ht="14.25" customHeight="1">
      <c r="B28" s="38" t="s">
        <v>215</v>
      </c>
      <c r="D28" s="33" t="s">
        <v>212</v>
      </c>
    </row>
    <row r="29" spans="2:4" ht="14.25" customHeight="1">
      <c r="B29" s="38" t="s">
        <v>217</v>
      </c>
      <c r="D29" s="37" t="s">
        <v>214</v>
      </c>
    </row>
    <row r="30" spans="2:4" ht="14.25" customHeight="1">
      <c r="B30" s="37" t="s">
        <v>219</v>
      </c>
      <c r="D30" s="37" t="s">
        <v>216</v>
      </c>
    </row>
    <row r="31" spans="2:4" ht="14.25" customHeight="1">
      <c r="B31" s="37" t="s">
        <v>221</v>
      </c>
      <c r="D31" s="37" t="s">
        <v>218</v>
      </c>
    </row>
    <row r="32" spans="2:4" ht="14.25" customHeight="1">
      <c r="B32" s="37" t="s">
        <v>223</v>
      </c>
      <c r="D32" s="37" t="s">
        <v>220</v>
      </c>
    </row>
    <row r="33" spans="2:4" ht="14.25" customHeight="1">
      <c r="B33" s="37" t="s">
        <v>225</v>
      </c>
      <c r="D33" s="37" t="s">
        <v>222</v>
      </c>
    </row>
    <row r="34" spans="2:4" ht="14.25" customHeight="1">
      <c r="D34" s="37" t="s">
        <v>224</v>
      </c>
    </row>
    <row r="35" spans="2:4" ht="14.25" customHeight="1">
      <c r="B35" s="33" t="s">
        <v>228</v>
      </c>
      <c r="D35" s="37" t="s">
        <v>226</v>
      </c>
    </row>
    <row r="36" spans="2:4" ht="14.25" customHeight="1">
      <c r="B36" s="37" t="s">
        <v>230</v>
      </c>
      <c r="D36" s="37" t="s">
        <v>227</v>
      </c>
    </row>
    <row r="37" spans="2:4" ht="14.25" customHeight="1">
      <c r="B37" s="37" t="s">
        <v>232</v>
      </c>
      <c r="D37" s="37" t="s">
        <v>229</v>
      </c>
    </row>
    <row r="38" spans="2:4" ht="14.25" customHeight="1">
      <c r="B38" s="37" t="s">
        <v>234</v>
      </c>
      <c r="D38" s="42" t="s">
        <v>231</v>
      </c>
    </row>
    <row r="39" spans="2:4" ht="14.25" customHeight="1">
      <c r="B39" s="37" t="s">
        <v>235</v>
      </c>
      <c r="D39" s="37" t="s">
        <v>233</v>
      </c>
    </row>
    <row r="40" spans="2:4" ht="14.25" customHeight="1">
      <c r="B40" s="37" t="s">
        <v>236</v>
      </c>
      <c r="D40" s="37"/>
    </row>
    <row r="41" spans="2:4" ht="14.25" customHeight="1">
      <c r="B41" s="37" t="s">
        <v>238</v>
      </c>
      <c r="D41" s="20"/>
    </row>
    <row r="42" spans="2:4" ht="14.25" customHeight="1">
      <c r="D42" s="33" t="s">
        <v>237</v>
      </c>
    </row>
    <row r="43" spans="2:4" ht="14.25" customHeight="1">
      <c r="B43" s="33" t="s">
        <v>241</v>
      </c>
      <c r="D43" s="39" t="s">
        <v>239</v>
      </c>
    </row>
    <row r="44" spans="2:4" ht="14.25" customHeight="1">
      <c r="B44" s="37" t="s">
        <v>243</v>
      </c>
      <c r="D44" s="39" t="s">
        <v>240</v>
      </c>
    </row>
    <row r="45" spans="2:4" ht="14.25" customHeight="1">
      <c r="B45" s="37" t="s">
        <v>245</v>
      </c>
      <c r="D45" s="39" t="s">
        <v>242</v>
      </c>
    </row>
    <row r="46" spans="2:4" ht="14.25" customHeight="1">
      <c r="B46" s="37" t="s">
        <v>247</v>
      </c>
      <c r="D46" s="39" t="s">
        <v>244</v>
      </c>
    </row>
    <row r="47" spans="2:4" ht="14.25" customHeight="1">
      <c r="B47" s="37" t="s">
        <v>249</v>
      </c>
      <c r="D47" s="39" t="s">
        <v>246</v>
      </c>
    </row>
    <row r="48" spans="2:4" ht="14.25" customHeight="1">
      <c r="B48" s="42" t="s">
        <v>251</v>
      </c>
      <c r="D48" s="39" t="s">
        <v>248</v>
      </c>
    </row>
    <row r="49" spans="2:4" ht="14.25" customHeight="1">
      <c r="B49" s="37" t="s">
        <v>253</v>
      </c>
      <c r="D49" s="39" t="s">
        <v>250</v>
      </c>
    </row>
    <row r="50" spans="2:4" ht="14.25" customHeight="1">
      <c r="B50" s="37" t="s">
        <v>255</v>
      </c>
      <c r="D50" s="39" t="s">
        <v>252</v>
      </c>
    </row>
    <row r="51" spans="2:4" ht="14.25" customHeight="1">
      <c r="B51" s="37" t="s">
        <v>257</v>
      </c>
      <c r="D51" s="37" t="s">
        <v>254</v>
      </c>
    </row>
    <row r="52" spans="2:4" ht="14.25" customHeight="1">
      <c r="B52" s="37" t="s">
        <v>259</v>
      </c>
      <c r="D52" s="39" t="s">
        <v>256</v>
      </c>
    </row>
    <row r="53" spans="2:4" ht="14.25" customHeight="1">
      <c r="D53" s="39" t="s">
        <v>258</v>
      </c>
    </row>
    <row r="54" spans="2:4" ht="14.25" customHeight="1">
      <c r="B54" s="33" t="s">
        <v>261</v>
      </c>
      <c r="D54" s="8"/>
    </row>
    <row r="55" spans="2:4" ht="14.25" customHeight="1">
      <c r="B55" s="37" t="s">
        <v>263</v>
      </c>
      <c r="D55" s="33" t="s">
        <v>260</v>
      </c>
    </row>
    <row r="56" spans="2:4" ht="14.25" customHeight="1">
      <c r="B56" s="37" t="s">
        <v>265</v>
      </c>
      <c r="D56" s="42" t="s">
        <v>262</v>
      </c>
    </row>
    <row r="57" spans="2:4" ht="14.25" customHeight="1">
      <c r="B57" s="37" t="s">
        <v>267</v>
      </c>
      <c r="D57" s="39" t="s">
        <v>264</v>
      </c>
    </row>
    <row r="58" spans="2:4" ht="14.25" customHeight="1">
      <c r="B58" s="37" t="s">
        <v>269</v>
      </c>
      <c r="D58" s="39" t="s">
        <v>266</v>
      </c>
    </row>
    <row r="59" spans="2:4" ht="14.25" customHeight="1">
      <c r="B59" s="37" t="s">
        <v>271</v>
      </c>
      <c r="D59" s="39" t="s">
        <v>268</v>
      </c>
    </row>
    <row r="60" spans="2:4" ht="14.25" customHeight="1">
      <c r="B60" s="37" t="s">
        <v>273</v>
      </c>
      <c r="D60" s="39" t="s">
        <v>270</v>
      </c>
    </row>
    <row r="61" spans="2:4" ht="14.25" customHeight="1">
      <c r="B61" s="37" t="s">
        <v>275</v>
      </c>
      <c r="D61" s="39" t="s">
        <v>272</v>
      </c>
    </row>
    <row r="62" spans="2:4" ht="14.25" customHeight="1">
      <c r="B62" s="37" t="s">
        <v>277</v>
      </c>
      <c r="D62" s="39" t="s">
        <v>274</v>
      </c>
    </row>
    <row r="63" spans="2:4" ht="14.25" customHeight="1">
      <c r="B63" s="42" t="s">
        <v>279</v>
      </c>
      <c r="D63" s="42" t="s">
        <v>276</v>
      </c>
    </row>
    <row r="64" spans="2:4" ht="14.25" customHeight="1">
      <c r="B64" s="42" t="s">
        <v>281</v>
      </c>
      <c r="D64" s="39" t="s">
        <v>278</v>
      </c>
    </row>
    <row r="65" spans="2:4" ht="14.25" customHeight="1">
      <c r="B65" s="37" t="s">
        <v>283</v>
      </c>
      <c r="D65" s="39" t="s">
        <v>280</v>
      </c>
    </row>
    <row r="66" spans="2:4" ht="14.25" customHeight="1">
      <c r="B66" s="37" t="s">
        <v>285</v>
      </c>
      <c r="D66" s="39" t="s">
        <v>282</v>
      </c>
    </row>
    <row r="67" spans="2:4" ht="14.25" customHeight="1">
      <c r="B67" s="37" t="s">
        <v>286</v>
      </c>
      <c r="D67" s="39" t="s">
        <v>284</v>
      </c>
    </row>
    <row r="68" spans="2:4" ht="14.25" customHeight="1">
      <c r="B68" s="37" t="s">
        <v>288</v>
      </c>
    </row>
    <row r="69" spans="2:4" ht="14.25" customHeight="1">
      <c r="D69" s="33" t="s">
        <v>287</v>
      </c>
    </row>
    <row r="70" spans="2:4" ht="14.25" customHeight="1">
      <c r="B70" s="33" t="s">
        <v>291</v>
      </c>
      <c r="D70" s="39" t="s">
        <v>289</v>
      </c>
    </row>
    <row r="71" spans="2:4" ht="14.25" customHeight="1">
      <c r="B71" s="39" t="s">
        <v>293</v>
      </c>
      <c r="D71" s="39" t="s">
        <v>290</v>
      </c>
    </row>
    <row r="72" spans="2:4" ht="14.25" customHeight="1">
      <c r="B72" s="39" t="s">
        <v>295</v>
      </c>
      <c r="D72" s="42" t="s">
        <v>292</v>
      </c>
    </row>
    <row r="73" spans="2:4" ht="14.25" customHeight="1">
      <c r="B73" s="39" t="s">
        <v>297</v>
      </c>
      <c r="D73" s="39" t="s">
        <v>294</v>
      </c>
    </row>
    <row r="74" spans="2:4" ht="14.25" customHeight="1">
      <c r="B74" s="39" t="s">
        <v>299</v>
      </c>
      <c r="D74" s="39" t="s">
        <v>296</v>
      </c>
    </row>
    <row r="75" spans="2:4" ht="14.25" customHeight="1">
      <c r="B75" s="39" t="s">
        <v>301</v>
      </c>
      <c r="D75" s="39" t="s">
        <v>298</v>
      </c>
    </row>
    <row r="76" spans="2:4" ht="14.25" customHeight="1">
      <c r="D76" s="40" t="s">
        <v>300</v>
      </c>
    </row>
    <row r="77" spans="2:4" ht="14.25" customHeight="1">
      <c r="D77" s="39" t="s">
        <v>302</v>
      </c>
    </row>
    <row r="78" spans="2:4" ht="14.25" customHeight="1">
      <c r="D78" s="39" t="s">
        <v>303</v>
      </c>
    </row>
    <row r="79" spans="2:4" ht="14.25" customHeight="1">
      <c r="D79" s="39"/>
    </row>
    <row r="80" spans="2:4" ht="14.25" customHeight="1">
      <c r="D80" s="39"/>
    </row>
    <row r="81" spans="2:4" ht="14.25" customHeight="1">
      <c r="B81" s="33" t="s">
        <v>304</v>
      </c>
      <c r="D81" s="33" t="s">
        <v>305</v>
      </c>
    </row>
    <row r="82" spans="2:4" ht="14.25" customHeight="1">
      <c r="B82" s="37" t="s">
        <v>306</v>
      </c>
      <c r="D82" s="38" t="s">
        <v>307</v>
      </c>
    </row>
    <row r="83" spans="2:4" ht="14.25" customHeight="1">
      <c r="B83" s="37" t="s">
        <v>308</v>
      </c>
      <c r="D83" s="38" t="s">
        <v>309</v>
      </c>
    </row>
    <row r="84" spans="2:4" ht="14.25" customHeight="1">
      <c r="B84" s="38" t="s">
        <v>310</v>
      </c>
      <c r="D84" s="37" t="s">
        <v>311</v>
      </c>
    </row>
    <row r="85" spans="2:4" ht="14.25" customHeight="1">
      <c r="B85" s="37"/>
      <c r="D85" s="37" t="s">
        <v>312</v>
      </c>
    </row>
    <row r="86" spans="2:4" ht="14.25" customHeight="1">
      <c r="B86" s="33" t="s">
        <v>313</v>
      </c>
      <c r="D86" s="39" t="s">
        <v>314</v>
      </c>
    </row>
    <row r="87" spans="2:4" ht="14.25" customHeight="1">
      <c r="B87" s="37" t="s">
        <v>315</v>
      </c>
      <c r="D87" s="39" t="s">
        <v>316</v>
      </c>
    </row>
    <row r="88" spans="2:4" ht="14.25" customHeight="1">
      <c r="B88" s="42" t="s">
        <v>317</v>
      </c>
      <c r="D88" s="39" t="s">
        <v>318</v>
      </c>
    </row>
    <row r="89" spans="2:4" ht="14.25" customHeight="1">
      <c r="B89" s="37" t="s">
        <v>319</v>
      </c>
      <c r="D89" s="39" t="s">
        <v>320</v>
      </c>
    </row>
    <row r="90" spans="2:4" ht="14.25" customHeight="1">
      <c r="B90" s="37" t="s">
        <v>321</v>
      </c>
      <c r="D90" s="42" t="s">
        <v>322</v>
      </c>
    </row>
    <row r="91" spans="2:4" ht="14.25" customHeight="1">
      <c r="B91" s="37" t="s">
        <v>323</v>
      </c>
      <c r="D91" s="42" t="s">
        <v>324</v>
      </c>
    </row>
    <row r="92" spans="2:4" ht="14.25" customHeight="1">
      <c r="B92" s="37" t="s">
        <v>325</v>
      </c>
      <c r="D92" s="39" t="s">
        <v>326</v>
      </c>
    </row>
    <row r="93" spans="2:4" ht="14.25" customHeight="1">
      <c r="B93" s="37" t="s">
        <v>327</v>
      </c>
      <c r="D93" s="39" t="s">
        <v>328</v>
      </c>
    </row>
    <row r="94" spans="2:4" ht="14.25" customHeight="1">
      <c r="B94" s="37" t="s">
        <v>329</v>
      </c>
    </row>
    <row r="95" spans="2:4" ht="14.25" customHeight="1">
      <c r="B95" s="37" t="s">
        <v>330</v>
      </c>
      <c r="D95" s="33" t="s">
        <v>331</v>
      </c>
    </row>
    <row r="96" spans="2:4" ht="14.25" customHeight="1">
      <c r="B96" s="37" t="s">
        <v>332</v>
      </c>
      <c r="D96" s="37" t="s">
        <v>333</v>
      </c>
    </row>
    <row r="97" spans="2:4" ht="14.25" customHeight="1">
      <c r="B97" s="37" t="s">
        <v>334</v>
      </c>
      <c r="D97" s="37" t="s">
        <v>335</v>
      </c>
    </row>
    <row r="98" spans="2:4" ht="14.25" customHeight="1">
      <c r="B98" s="37" t="s">
        <v>336</v>
      </c>
      <c r="D98" s="37" t="s">
        <v>337</v>
      </c>
    </row>
    <row r="99" spans="2:4" ht="14.25" customHeight="1">
      <c r="B99" s="37" t="s">
        <v>338</v>
      </c>
      <c r="D99" s="37" t="s">
        <v>339</v>
      </c>
    </row>
    <row r="100" spans="2:4" ht="14.25" customHeight="1">
      <c r="B100" s="37" t="s">
        <v>340</v>
      </c>
      <c r="D100" s="37" t="s">
        <v>341</v>
      </c>
    </row>
    <row r="101" spans="2:4" ht="14.25" customHeight="1">
      <c r="B101" s="37" t="s">
        <v>342</v>
      </c>
      <c r="D101" s="37" t="s">
        <v>343</v>
      </c>
    </row>
    <row r="102" spans="2:4" ht="14.25" customHeight="1">
      <c r="B102" s="19"/>
      <c r="D102" s="37" t="s">
        <v>344</v>
      </c>
    </row>
    <row r="103" spans="2:4" ht="14.25" customHeight="1">
      <c r="B103" s="33" t="s">
        <v>345</v>
      </c>
      <c r="D103" s="37" t="s">
        <v>346</v>
      </c>
    </row>
    <row r="104" spans="2:4" ht="14.25" customHeight="1">
      <c r="B104" s="37" t="s">
        <v>347</v>
      </c>
      <c r="D104" s="37" t="s">
        <v>348</v>
      </c>
    </row>
    <row r="105" spans="2:4" ht="14.25" customHeight="1">
      <c r="B105" s="37" t="s">
        <v>349</v>
      </c>
      <c r="D105" s="37" t="s">
        <v>350</v>
      </c>
    </row>
    <row r="106" spans="2:4" ht="13.95" customHeight="1">
      <c r="B106" s="37" t="s">
        <v>351</v>
      </c>
      <c r="D106" s="37" t="s">
        <v>352</v>
      </c>
    </row>
    <row r="107" spans="2:4" ht="13.8" customHeight="1">
      <c r="B107" s="37" t="s">
        <v>353</v>
      </c>
      <c r="D107" s="37" t="s">
        <v>354</v>
      </c>
    </row>
    <row r="108" spans="2:4" ht="13.95" customHeight="1">
      <c r="B108" s="37" t="s">
        <v>225</v>
      </c>
      <c r="D108" s="37" t="s">
        <v>355</v>
      </c>
    </row>
    <row r="109" spans="2:4" ht="14.25" customHeight="1">
      <c r="B109" s="37" t="s">
        <v>356</v>
      </c>
      <c r="D109" s="37" t="s">
        <v>357</v>
      </c>
    </row>
    <row r="110" spans="2:4" ht="14.25" customHeight="1">
      <c r="B110" s="37" t="s">
        <v>358</v>
      </c>
      <c r="D110" s="37" t="s">
        <v>359</v>
      </c>
    </row>
    <row r="111" spans="2:4" ht="14.25" customHeight="1">
      <c r="B111" s="19"/>
      <c r="D111" s="37" t="s">
        <v>360</v>
      </c>
    </row>
    <row r="112" spans="2:4" ht="14.25" customHeight="1">
      <c r="B112" s="33" t="s">
        <v>361</v>
      </c>
    </row>
    <row r="113" spans="2:4" ht="14.25" customHeight="1">
      <c r="B113" s="37" t="s">
        <v>362</v>
      </c>
      <c r="D113" s="33" t="s">
        <v>363</v>
      </c>
    </row>
    <row r="114" spans="2:4" ht="14.25" customHeight="1">
      <c r="B114" s="37" t="s">
        <v>364</v>
      </c>
      <c r="D114" s="37" t="s">
        <v>365</v>
      </c>
    </row>
    <row r="115" spans="2:4" ht="14.25" customHeight="1">
      <c r="B115" s="37" t="s">
        <v>366</v>
      </c>
      <c r="D115" s="37" t="s">
        <v>367</v>
      </c>
    </row>
    <row r="116" spans="2:4" ht="14.25" customHeight="1">
      <c r="B116" s="37" t="s">
        <v>368</v>
      </c>
      <c r="D116" s="37" t="s">
        <v>369</v>
      </c>
    </row>
    <row r="117" spans="2:4" ht="14.25" customHeight="1">
      <c r="B117" s="37" t="s">
        <v>370</v>
      </c>
      <c r="D117" s="37" t="s">
        <v>371</v>
      </c>
    </row>
    <row r="118" spans="2:4" ht="14.25" customHeight="1">
      <c r="B118" s="37" t="s">
        <v>424</v>
      </c>
      <c r="D118" s="37" t="s">
        <v>372</v>
      </c>
    </row>
    <row r="119" spans="2:4" ht="14.25" customHeight="1">
      <c r="B119" s="37" t="s">
        <v>425</v>
      </c>
      <c r="D119" s="37" t="s">
        <v>373</v>
      </c>
    </row>
    <row r="120" spans="2:4" ht="14.25" customHeight="1">
      <c r="B120" s="10"/>
      <c r="D120" s="37" t="s">
        <v>374</v>
      </c>
    </row>
    <row r="121" spans="2:4" ht="14.25" customHeight="1">
      <c r="B121" s="33" t="s">
        <v>375</v>
      </c>
      <c r="D121" s="37" t="s">
        <v>421</v>
      </c>
    </row>
    <row r="122" spans="2:4" ht="13.8" customHeight="1">
      <c r="B122" s="37" t="s">
        <v>376</v>
      </c>
      <c r="D122" s="42" t="s">
        <v>422</v>
      </c>
    </row>
    <row r="123" spans="2:4" ht="14.25" customHeight="1">
      <c r="B123" s="37" t="s">
        <v>377</v>
      </c>
      <c r="D123" s="42" t="s">
        <v>423</v>
      </c>
    </row>
    <row r="124" spans="2:4" ht="14.25" customHeight="1">
      <c r="B124" s="37" t="s">
        <v>379</v>
      </c>
    </row>
    <row r="125" spans="2:4" ht="14.25" customHeight="1">
      <c r="B125" s="37" t="s">
        <v>381</v>
      </c>
      <c r="D125" s="33" t="s">
        <v>378</v>
      </c>
    </row>
    <row r="126" spans="2:4" ht="14.25" customHeight="1">
      <c r="B126" s="37" t="s">
        <v>383</v>
      </c>
      <c r="D126" s="37" t="s">
        <v>380</v>
      </c>
    </row>
    <row r="127" spans="2:4" ht="14.25" customHeight="1">
      <c r="D127" s="37" t="s">
        <v>382</v>
      </c>
    </row>
    <row r="128" spans="2:4" ht="14.25" customHeight="1">
      <c r="B128" s="33" t="s">
        <v>386</v>
      </c>
      <c r="D128" s="37" t="s">
        <v>384</v>
      </c>
    </row>
    <row r="129" spans="2:4" ht="14.25" customHeight="1">
      <c r="B129" s="42" t="s">
        <v>387</v>
      </c>
      <c r="D129" s="37" t="s">
        <v>385</v>
      </c>
    </row>
    <row r="130" spans="2:4" ht="14.25" customHeight="1">
      <c r="B130" s="37" t="s">
        <v>389</v>
      </c>
      <c r="D130" s="10"/>
    </row>
    <row r="131" spans="2:4" ht="14.25" customHeight="1">
      <c r="B131" s="37" t="s">
        <v>391</v>
      </c>
      <c r="D131" s="33" t="s">
        <v>388</v>
      </c>
    </row>
    <row r="132" spans="2:4" ht="14.25" customHeight="1">
      <c r="B132" s="37" t="s">
        <v>393</v>
      </c>
      <c r="D132" s="37" t="s">
        <v>390</v>
      </c>
    </row>
    <row r="133" spans="2:4" ht="14.25" customHeight="1">
      <c r="B133" s="38" t="s">
        <v>394</v>
      </c>
      <c r="D133" s="37" t="s">
        <v>392</v>
      </c>
    </row>
    <row r="134" spans="2:4" ht="14.25" customHeight="1">
      <c r="D134" s="21"/>
    </row>
    <row r="135" spans="2:4" ht="14.25" customHeight="1">
      <c r="B135" s="33" t="s">
        <v>397</v>
      </c>
      <c r="D135" s="33" t="s">
        <v>395</v>
      </c>
    </row>
    <row r="136" spans="2:4" ht="13.8" customHeight="1">
      <c r="B136" s="42" t="s">
        <v>418</v>
      </c>
      <c r="D136" s="37" t="s">
        <v>396</v>
      </c>
    </row>
    <row r="137" spans="2:4" ht="14.25" customHeight="1">
      <c r="B137" s="42" t="s">
        <v>419</v>
      </c>
      <c r="D137" s="37" t="s">
        <v>398</v>
      </c>
    </row>
    <row r="138" spans="2:4" ht="14.25" customHeight="1">
      <c r="B138" s="43" t="s">
        <v>420</v>
      </c>
      <c r="D138" s="37" t="s">
        <v>399</v>
      </c>
    </row>
    <row r="139" spans="2:4" ht="14.25" customHeight="1">
      <c r="B139" s="37" t="s">
        <v>400</v>
      </c>
      <c r="D139" s="10"/>
    </row>
    <row r="140" spans="2:4" ht="14.25" customHeight="1">
      <c r="B140" s="39" t="s">
        <v>402</v>
      </c>
      <c r="D140" s="23" t="s">
        <v>401</v>
      </c>
    </row>
    <row r="141" spans="2:4" ht="14.25" customHeight="1">
      <c r="D141" s="37" t="s">
        <v>403</v>
      </c>
    </row>
    <row r="142" spans="2:4" ht="14.25" customHeight="1">
      <c r="B142" s="34" t="s">
        <v>405</v>
      </c>
      <c r="D142" s="37" t="s">
        <v>404</v>
      </c>
    </row>
    <row r="143" spans="2:4" ht="14.25" customHeight="1">
      <c r="B143" s="37" t="s">
        <v>407</v>
      </c>
      <c r="D143" s="37" t="s">
        <v>406</v>
      </c>
    </row>
    <row r="144" spans="2:4" ht="14.25" customHeight="1">
      <c r="B144" s="37" t="s">
        <v>409</v>
      </c>
      <c r="D144" s="37" t="s">
        <v>408</v>
      </c>
    </row>
    <row r="145" spans="2:4" ht="14.25" customHeight="1">
      <c r="B145" s="37" t="s">
        <v>410</v>
      </c>
      <c r="D145" s="10"/>
    </row>
    <row r="146" spans="2:4" ht="14.25" customHeight="1">
      <c r="B146" s="37" t="s">
        <v>412</v>
      </c>
      <c r="D146" s="34" t="s">
        <v>411</v>
      </c>
    </row>
    <row r="147" spans="2:4" ht="14.25" customHeight="1">
      <c r="B147" s="37" t="s">
        <v>414</v>
      </c>
      <c r="D147" s="37" t="s">
        <v>413</v>
      </c>
    </row>
    <row r="148" spans="2:4" ht="14.25" customHeight="1">
      <c r="D148" s="37" t="s">
        <v>415</v>
      </c>
    </row>
    <row r="149" spans="2:4" ht="14.25" customHeight="1">
      <c r="D149" s="37" t="s">
        <v>416</v>
      </c>
    </row>
    <row r="150" spans="2:4" ht="14.25" customHeight="1"/>
    <row r="151" spans="2:4" ht="14.25" customHeight="1"/>
    <row r="152" spans="2:4" ht="13.95" customHeight="1">
      <c r="B152" s="34" t="s">
        <v>417</v>
      </c>
      <c r="C152" s="34"/>
      <c r="D152" s="34"/>
    </row>
    <row r="153" spans="2:4" ht="13.95" customHeight="1">
      <c r="B153" s="41" t="str">
        <f>"계약자             "&amp;계약서!C11&amp;"                       서명 또는 인"</f>
        <v>계약자             중앙 오토바이 가수점                       서명 또는 인</v>
      </c>
      <c r="C153" s="6"/>
      <c r="D153" s="41" t="str">
        <f>"연대보증인             "&amp;계약서!C16&amp;"                       서명 또는 인"</f>
        <v>연대보증인             안종식                       서명 또는 인</v>
      </c>
    </row>
    <row r="154" spans="2:4" ht="13.95" customHeight="1">
      <c r="C154" s="6"/>
      <c r="D154" s="6"/>
    </row>
    <row r="155" spans="2:4" ht="13.95" customHeight="1">
      <c r="C155" s="6"/>
      <c r="D155" s="6"/>
    </row>
    <row r="156" spans="2:4" ht="13.95" customHeight="1">
      <c r="B156" s="6"/>
      <c r="C156" s="6"/>
      <c r="D156" s="6"/>
    </row>
    <row r="157" spans="2:4" ht="13.95" customHeight="1"/>
    <row r="158" spans="2:4" ht="13.95" customHeight="1"/>
    <row r="159" spans="2:4" ht="13.95" customHeight="1">
      <c r="B159" s="6"/>
      <c r="C159" s="6"/>
      <c r="D159" s="6"/>
    </row>
    <row r="160" spans="2:4" ht="13.95" customHeight="1">
      <c r="B160" s="6"/>
      <c r="C160" s="6"/>
      <c r="D160" s="6"/>
    </row>
    <row r="161" spans="2:4" ht="13.95" customHeight="1">
      <c r="B161" s="6"/>
      <c r="C161" s="6"/>
      <c r="D161" s="6"/>
    </row>
    <row r="162" spans="2:4" ht="13.95" customHeight="1">
      <c r="B162" s="6"/>
      <c r="C162" s="6"/>
      <c r="D162" s="6"/>
    </row>
    <row r="163" spans="2:4" s="14" customFormat="1" ht="13.95" customHeight="1">
      <c r="B163" s="6"/>
      <c r="C163" s="6"/>
      <c r="D163" s="6"/>
    </row>
    <row r="164" spans="2:4" ht="13.95" customHeight="1">
      <c r="B164" s="6"/>
      <c r="C164" s="6"/>
      <c r="D164" s="6"/>
    </row>
    <row r="165" spans="2:4" ht="13.95" customHeight="1">
      <c r="B165" s="6"/>
      <c r="C165" s="6"/>
      <c r="D165" s="6"/>
    </row>
    <row r="166" spans="2:4" ht="13.95" customHeight="1">
      <c r="B166" s="6"/>
      <c r="C166" s="6"/>
      <c r="D166" s="6"/>
    </row>
    <row r="167" spans="2:4" ht="13.95" customHeight="1">
      <c r="B167" s="6"/>
      <c r="C167" s="6"/>
      <c r="D167" s="6"/>
    </row>
    <row r="168" spans="2:4" ht="13.95" customHeight="1">
      <c r="B168" s="6"/>
      <c r="C168" s="6"/>
      <c r="D168" s="6"/>
    </row>
    <row r="169" spans="2:4" ht="13.95" customHeight="1">
      <c r="B169" s="6"/>
      <c r="C169" s="6"/>
      <c r="D169" s="6"/>
    </row>
    <row r="170" spans="2:4" ht="13.95" customHeight="1">
      <c r="B170" s="6"/>
      <c r="C170" s="6"/>
      <c r="D170" s="6"/>
    </row>
    <row r="171" spans="2:4" ht="13.95" customHeight="1">
      <c r="B171" s="6"/>
      <c r="C171" s="6"/>
      <c r="D171" s="6"/>
    </row>
    <row r="172" spans="2:4" ht="13.95" customHeight="1">
      <c r="B172" s="6"/>
      <c r="C172" s="6"/>
      <c r="D172" s="6"/>
    </row>
    <row r="173" spans="2:4" ht="13.95" customHeight="1">
      <c r="B173" s="6"/>
      <c r="C173" s="6"/>
      <c r="D173" s="6"/>
    </row>
    <row r="174" spans="2:4" ht="13.95" customHeight="1">
      <c r="B174" s="6"/>
      <c r="C174" s="6"/>
      <c r="D174" s="6"/>
    </row>
    <row r="175" spans="2:4" ht="13.95" customHeight="1">
      <c r="B175" s="6"/>
      <c r="C175" s="6"/>
      <c r="D175" s="6"/>
    </row>
    <row r="176" spans="2:4" ht="13.95" customHeight="1">
      <c r="B176" s="6"/>
      <c r="C176" s="6"/>
      <c r="D176" s="6"/>
    </row>
    <row r="177" spans="2:4" ht="13.95" customHeight="1">
      <c r="B177" s="6"/>
      <c r="C177" s="6"/>
      <c r="D177" s="6"/>
    </row>
    <row r="178" spans="2:4" ht="13.95" customHeight="1">
      <c r="B178" s="6"/>
      <c r="C178" s="6"/>
      <c r="D178" s="6"/>
    </row>
    <row r="179" spans="2:4" ht="13.95" customHeight="1">
      <c r="B179" s="6"/>
      <c r="C179" s="6"/>
      <c r="D179" s="6"/>
    </row>
    <row r="180" spans="2:4" ht="13.95" customHeight="1">
      <c r="B180" s="6"/>
      <c r="C180" s="6"/>
      <c r="D180" s="6"/>
    </row>
    <row r="181" spans="2:4" ht="13.95" customHeight="1">
      <c r="B181" s="6"/>
      <c r="C181" s="6"/>
      <c r="D181" s="6"/>
    </row>
    <row r="182" spans="2:4" ht="13.95" customHeight="1">
      <c r="B182" s="6"/>
      <c r="C182" s="6"/>
      <c r="D182" s="6"/>
    </row>
    <row r="183" spans="2:4" ht="13.95" customHeight="1">
      <c r="B183" s="6"/>
      <c r="C183" s="6"/>
      <c r="D183" s="6"/>
    </row>
    <row r="184" spans="2:4" ht="13.95" customHeight="1">
      <c r="B184" s="6"/>
      <c r="C184" s="6"/>
      <c r="D184" s="6"/>
    </row>
    <row r="185" spans="2:4" ht="13.95" customHeight="1">
      <c r="B185" s="6"/>
      <c r="C185" s="6"/>
      <c r="D185" s="6"/>
    </row>
    <row r="186" spans="2:4" ht="13.95" customHeight="1">
      <c r="B186" s="6"/>
      <c r="C186" s="6"/>
      <c r="D186" s="6"/>
    </row>
    <row r="187" spans="2:4" ht="13.95" customHeight="1">
      <c r="B187" s="6"/>
      <c r="C187" s="6"/>
      <c r="D187" s="6"/>
    </row>
    <row r="188" spans="2:4" ht="13.95" customHeight="1">
      <c r="B188" s="6"/>
      <c r="C188" s="6"/>
      <c r="D188" s="6"/>
    </row>
    <row r="189" spans="2:4" ht="13.95" customHeight="1">
      <c r="B189" s="6"/>
      <c r="C189" s="6"/>
      <c r="D189" s="6"/>
    </row>
    <row r="190" spans="2:4" ht="13.95" customHeight="1">
      <c r="B190" s="6"/>
      <c r="C190" s="6"/>
      <c r="D190" s="6"/>
    </row>
    <row r="191" spans="2:4" ht="13.95" customHeight="1">
      <c r="B191" s="6"/>
      <c r="C191" s="6"/>
      <c r="D191" s="6"/>
    </row>
    <row r="192" spans="2:4" ht="13.95" customHeight="1">
      <c r="B192" s="6"/>
      <c r="C192" s="6"/>
      <c r="D192" s="6"/>
    </row>
    <row r="193" spans="2:4" ht="13.95" customHeight="1">
      <c r="B193" s="6"/>
      <c r="C193" s="6"/>
      <c r="D193" s="6"/>
    </row>
    <row r="194" spans="2:4" ht="13.95" customHeight="1">
      <c r="B194" s="6"/>
      <c r="C194" s="6"/>
      <c r="D194" s="6"/>
    </row>
    <row r="195" spans="2:4" ht="13.95" customHeight="1"/>
    <row r="196" spans="2:4" ht="13.95" customHeight="1"/>
    <row r="197" spans="2:4" ht="13.95" customHeight="1"/>
    <row r="198" spans="2:4" ht="13.95" customHeight="1"/>
    <row r="199" spans="2:4" ht="13.95" customHeight="1">
      <c r="B199" s="6"/>
      <c r="C199" s="6"/>
      <c r="D199" s="6"/>
    </row>
    <row r="200" spans="2:4" ht="13.95" customHeight="1">
      <c r="B200" s="6"/>
      <c r="C200" s="6"/>
      <c r="D200" s="6"/>
    </row>
    <row r="201" spans="2:4" ht="13.95" customHeight="1">
      <c r="B201" s="6"/>
      <c r="D201" s="19"/>
    </row>
    <row r="202" spans="2:4">
      <c r="B202" s="22"/>
      <c r="D202" s="7"/>
    </row>
    <row r="203" spans="2:4">
      <c r="B203" s="19"/>
      <c r="D203" s="7"/>
    </row>
    <row r="204" spans="2:4" ht="21.75" customHeight="1">
      <c r="B204" s="10"/>
      <c r="D204" s="9"/>
    </row>
    <row r="205" spans="2:4" ht="15.75" customHeight="1">
      <c r="B205" s="19"/>
      <c r="D205" s="19"/>
    </row>
    <row r="206" spans="2:4" ht="15.75" customHeight="1">
      <c r="B206" s="7"/>
      <c r="D206" s="7"/>
    </row>
    <row r="207" spans="2:4" ht="15.75" customHeight="1">
      <c r="B207" s="19"/>
      <c r="D207" s="19"/>
    </row>
    <row r="208" spans="2:4" ht="15.75" customHeight="1">
      <c r="B208" s="9"/>
      <c r="D208" s="19"/>
    </row>
    <row r="209" spans="2:4">
      <c r="B209" s="19"/>
      <c r="D209" s="10"/>
    </row>
    <row r="210" spans="2:4" ht="21.75" customHeight="1">
      <c r="B210" s="7"/>
      <c r="D210" s="10"/>
    </row>
    <row r="211" spans="2:4" ht="48" customHeight="1">
      <c r="B211" s="7"/>
      <c r="D211" s="10"/>
    </row>
    <row r="212" spans="2:4" ht="48" customHeight="1">
      <c r="B212" s="10"/>
      <c r="D212" s="10"/>
    </row>
    <row r="213" spans="2:4" ht="48" customHeight="1">
      <c r="B213" s="10"/>
      <c r="D213" s="7"/>
    </row>
    <row r="214" spans="2:4" ht="31.5" customHeight="1">
      <c r="B214" s="10"/>
      <c r="D214" s="7"/>
    </row>
    <row r="215" spans="2:4" ht="31.5" customHeight="1">
      <c r="B215" s="10"/>
      <c r="D215" s="7"/>
    </row>
    <row r="216" spans="2:4" ht="31.5" customHeight="1">
      <c r="B216" s="7"/>
      <c r="D216" s="10"/>
    </row>
    <row r="217" spans="2:4" ht="31.5" customHeight="1">
      <c r="B217" s="19"/>
      <c r="C217" s="11"/>
    </row>
    <row r="218" spans="2:4" ht="15.75" customHeight="1">
      <c r="B218" s="19"/>
      <c r="C218" s="12"/>
    </row>
    <row r="219" spans="2:4">
      <c r="B219" s="10"/>
      <c r="D219" s="10"/>
    </row>
    <row r="220" spans="2:4">
      <c r="B220" s="12"/>
      <c r="D220" s="10"/>
    </row>
    <row r="221" spans="2:4" ht="21.75" customHeight="1">
      <c r="B221" s="12"/>
      <c r="D221" s="13"/>
    </row>
    <row r="222" spans="2:4" ht="31.5" customHeight="1"/>
  </sheetData>
  <mergeCells count="1">
    <mergeCell ref="B1:D1"/>
  </mergeCells>
  <phoneticPr fontId="20" type="noConversion"/>
  <pageMargins left="0.3" right="0.3" top="0.4" bottom="0.4" header="0.511811023622047" footer="0.511811023622047"/>
  <pageSetup paperSize="9" scale="67" fitToHeight="2" orientation="portrait" r:id="rId1"/>
  <rowBreaks count="1" manualBreakCount="1">
    <brk id="76" max="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I41"/>
  <sheetViews>
    <sheetView view="pageBreakPreview" zoomScaleNormal="100" workbookViewId="0">
      <selection activeCell="C19" sqref="C19"/>
    </sheetView>
  </sheetViews>
  <sheetFormatPr defaultColWidth="8.6640625" defaultRowHeight="14.4"/>
  <cols>
    <col min="1" max="1" width="2" customWidth="1"/>
    <col min="2" max="2" width="8.77734375" style="2" customWidth="1"/>
    <col min="3" max="3" width="22.6640625" customWidth="1"/>
    <col min="4" max="8" width="13" customWidth="1"/>
    <col min="9" max="9" width="6" customWidth="1"/>
    <col min="10" max="10" width="2" customWidth="1"/>
  </cols>
  <sheetData>
    <row r="2" spans="2:9" ht="31.5" customHeight="1">
      <c r="B2" s="87" t="s">
        <v>0</v>
      </c>
      <c r="C2" s="45"/>
      <c r="D2" s="45"/>
      <c r="E2" s="45"/>
      <c r="F2" s="45"/>
      <c r="G2" s="45"/>
      <c r="H2" s="45"/>
      <c r="I2" s="45"/>
    </row>
    <row r="3" spans="2:9" ht="18" customHeight="1">
      <c r="B3" s="96" t="s">
        <v>1</v>
      </c>
      <c r="C3" s="97"/>
      <c r="D3" s="97"/>
      <c r="E3" s="97"/>
      <c r="F3" s="97"/>
      <c r="G3" s="97"/>
      <c r="H3" s="97"/>
      <c r="I3" s="97"/>
    </row>
    <row r="5" spans="2:9" ht="60" customHeight="1">
      <c r="B5" s="95" t="s">
        <v>2</v>
      </c>
      <c r="C5" s="45"/>
      <c r="D5" s="45"/>
      <c r="E5" s="45"/>
      <c r="F5" s="45"/>
      <c r="G5" s="45"/>
      <c r="H5" s="45"/>
      <c r="I5" s="45"/>
    </row>
    <row r="7" spans="2:9" ht="25.5" customHeight="1">
      <c r="B7" s="93" t="s">
        <v>3</v>
      </c>
      <c r="C7" s="94"/>
      <c r="D7" s="94"/>
      <c r="E7" s="94"/>
      <c r="F7" s="94"/>
      <c r="G7" s="94"/>
      <c r="H7" s="94"/>
      <c r="I7" s="94"/>
    </row>
    <row r="8" spans="2:9" ht="42" customHeight="1">
      <c r="B8" s="91" t="s">
        <v>4</v>
      </c>
      <c r="C8" s="45"/>
      <c r="D8" s="45"/>
      <c r="E8" s="45"/>
      <c r="F8" s="45"/>
      <c r="G8" s="45"/>
      <c r="H8" s="45"/>
      <c r="I8" s="45"/>
    </row>
    <row r="10" spans="2:9" ht="25.5" customHeight="1">
      <c r="B10" s="93" t="s">
        <v>5</v>
      </c>
      <c r="C10" s="94"/>
      <c r="D10" s="94"/>
      <c r="E10" s="94"/>
      <c r="F10" s="94"/>
      <c r="G10" s="94"/>
      <c r="H10" s="94"/>
      <c r="I10" s="94"/>
    </row>
    <row r="11" spans="2:9" ht="21.75" customHeight="1">
      <c r="B11" s="98" t="s">
        <v>6</v>
      </c>
      <c r="C11" s="45"/>
      <c r="D11" s="45"/>
      <c r="E11" s="45"/>
      <c r="F11" s="45"/>
      <c r="G11" s="45"/>
      <c r="H11" s="45"/>
      <c r="I11" s="45"/>
    </row>
    <row r="12" spans="2:9" ht="39.75" customHeight="1">
      <c r="B12" s="15" t="s">
        <v>7</v>
      </c>
      <c r="C12" s="35" t="s">
        <v>8</v>
      </c>
      <c r="D12" s="88" t="s">
        <v>9</v>
      </c>
      <c r="E12" s="45"/>
      <c r="F12" s="45"/>
      <c r="G12" s="45"/>
      <c r="H12" s="45"/>
      <c r="I12" s="45"/>
    </row>
    <row r="13" spans="2:9" ht="39.75" customHeight="1">
      <c r="B13" s="15" t="s">
        <v>10</v>
      </c>
      <c r="C13" s="35" t="s">
        <v>11</v>
      </c>
      <c r="D13" s="88" t="s">
        <v>12</v>
      </c>
      <c r="E13" s="45"/>
      <c r="F13" s="45"/>
      <c r="G13" s="45"/>
      <c r="H13" s="45"/>
      <c r="I13" s="45"/>
    </row>
    <row r="14" spans="2:9" ht="39.75" customHeight="1">
      <c r="B14" s="15" t="s">
        <v>13</v>
      </c>
      <c r="C14" s="35" t="s">
        <v>14</v>
      </c>
      <c r="D14" s="88" t="s">
        <v>15</v>
      </c>
      <c r="E14" s="45"/>
      <c r="F14" s="45"/>
      <c r="G14" s="45"/>
      <c r="H14" s="45"/>
      <c r="I14" s="45"/>
    </row>
    <row r="15" spans="2:9" ht="39.75" customHeight="1">
      <c r="B15" s="15" t="s">
        <v>16</v>
      </c>
      <c r="C15" s="35" t="s">
        <v>17</v>
      </c>
      <c r="D15" s="88" t="s">
        <v>18</v>
      </c>
      <c r="E15" s="45"/>
      <c r="F15" s="45"/>
      <c r="G15" s="45"/>
      <c r="H15" s="45"/>
      <c r="I15" s="45"/>
    </row>
    <row r="16" spans="2:9" ht="39.75" customHeight="1">
      <c r="B16" s="15" t="s">
        <v>19</v>
      </c>
      <c r="C16" s="16" t="s">
        <v>20</v>
      </c>
      <c r="D16" s="88" t="s">
        <v>21</v>
      </c>
      <c r="E16" s="45"/>
      <c r="F16" s="45"/>
      <c r="G16" s="45"/>
      <c r="H16" s="45"/>
      <c r="I16" s="45"/>
    </row>
    <row r="17" spans="2:9" ht="39.75" customHeight="1">
      <c r="B17" s="15" t="s">
        <v>22</v>
      </c>
      <c r="C17" s="35" t="s">
        <v>23</v>
      </c>
      <c r="D17" s="88" t="s">
        <v>24</v>
      </c>
      <c r="E17" s="45"/>
      <c r="F17" s="45"/>
      <c r="G17" s="45"/>
      <c r="H17" s="45"/>
      <c r="I17" s="45"/>
    </row>
    <row r="18" spans="2:9" ht="39.75" customHeight="1">
      <c r="B18" s="15" t="s">
        <v>25</v>
      </c>
      <c r="C18" s="35" t="s">
        <v>26</v>
      </c>
      <c r="D18" s="88" t="s">
        <v>27</v>
      </c>
      <c r="E18" s="45"/>
      <c r="F18" s="45"/>
      <c r="G18" s="45"/>
      <c r="H18" s="45"/>
      <c r="I18" s="45"/>
    </row>
    <row r="19" spans="2:9" ht="39.75" customHeight="1">
      <c r="B19" s="15" t="s">
        <v>28</v>
      </c>
      <c r="C19" s="35" t="s">
        <v>29</v>
      </c>
      <c r="D19" s="88" t="s">
        <v>30</v>
      </c>
      <c r="E19" s="45"/>
      <c r="F19" s="45"/>
      <c r="G19" s="45"/>
      <c r="H19" s="45"/>
      <c r="I19" s="45"/>
    </row>
    <row r="21" spans="2:9" ht="25.5" customHeight="1">
      <c r="B21" s="93" t="s">
        <v>31</v>
      </c>
      <c r="C21" s="94"/>
      <c r="D21" s="94"/>
      <c r="E21" s="94"/>
      <c r="F21" s="94"/>
      <c r="G21" s="94"/>
      <c r="H21" s="94"/>
      <c r="I21" s="94"/>
    </row>
    <row r="22" spans="2:9" ht="43.5" customHeight="1">
      <c r="B22" s="98" t="s">
        <v>32</v>
      </c>
      <c r="C22" s="45"/>
      <c r="D22" s="45"/>
      <c r="E22" s="45"/>
      <c r="F22" s="45"/>
      <c r="G22" s="45"/>
      <c r="H22" s="45"/>
      <c r="I22" s="45"/>
    </row>
    <row r="24" spans="2:9" ht="25.5" customHeight="1">
      <c r="B24" s="93" t="s">
        <v>33</v>
      </c>
      <c r="C24" s="94"/>
      <c r="D24" s="94"/>
      <c r="E24" s="94"/>
      <c r="F24" s="94"/>
      <c r="G24" s="94"/>
      <c r="H24" s="94"/>
      <c r="I24" s="94"/>
    </row>
    <row r="25" spans="2:9" ht="31.5" customHeight="1">
      <c r="B25" s="101" t="s">
        <v>34</v>
      </c>
      <c r="C25" s="45"/>
      <c r="D25" s="45"/>
      <c r="E25" s="45"/>
      <c r="F25" s="45"/>
      <c r="G25" s="45"/>
      <c r="H25" s="45"/>
      <c r="I25" s="45"/>
    </row>
    <row r="26" spans="2:9" ht="30" customHeight="1">
      <c r="B26" s="15" t="s">
        <v>7</v>
      </c>
      <c r="C26" s="35" t="s">
        <v>35</v>
      </c>
      <c r="D26" s="88" t="s">
        <v>36</v>
      </c>
      <c r="E26" s="45"/>
      <c r="F26" s="45"/>
      <c r="G26" s="45"/>
      <c r="H26" s="45"/>
      <c r="I26" s="45"/>
    </row>
    <row r="27" spans="2:9" ht="30" customHeight="1">
      <c r="B27" s="15" t="s">
        <v>10</v>
      </c>
      <c r="C27" s="35" t="s">
        <v>37</v>
      </c>
      <c r="D27" s="92" t="s">
        <v>38</v>
      </c>
      <c r="E27" s="99"/>
      <c r="F27" s="99"/>
      <c r="G27" s="99"/>
      <c r="H27" s="99"/>
      <c r="I27" s="99"/>
    </row>
    <row r="28" spans="2:9" ht="45" customHeight="1">
      <c r="B28" s="15" t="s">
        <v>13</v>
      </c>
      <c r="C28" s="35" t="s">
        <v>39</v>
      </c>
      <c r="D28" s="92" t="s">
        <v>40</v>
      </c>
      <c r="E28" s="99"/>
      <c r="F28" s="99"/>
      <c r="G28" s="99"/>
      <c r="H28" s="99"/>
      <c r="I28" s="99"/>
    </row>
    <row r="29" spans="2:9" ht="30" customHeight="1">
      <c r="B29" s="15" t="s">
        <v>16</v>
      </c>
      <c r="C29" s="35" t="s">
        <v>41</v>
      </c>
      <c r="D29" s="88" t="s">
        <v>42</v>
      </c>
      <c r="E29" s="45"/>
      <c r="F29" s="45"/>
      <c r="G29" s="45"/>
      <c r="H29" s="45"/>
      <c r="I29" s="45"/>
    </row>
    <row r="30" spans="2:9" ht="45" customHeight="1">
      <c r="B30" s="15" t="s">
        <v>19</v>
      </c>
      <c r="C30" s="35" t="s">
        <v>43</v>
      </c>
      <c r="D30" s="92" t="s">
        <v>44</v>
      </c>
      <c r="E30" s="45"/>
      <c r="F30" s="45"/>
      <c r="G30" s="45"/>
      <c r="H30" s="45"/>
      <c r="I30" s="45"/>
    </row>
    <row r="31" spans="2:9" ht="30" customHeight="1">
      <c r="B31" s="15" t="s">
        <v>22</v>
      </c>
      <c r="C31" s="35" t="s">
        <v>45</v>
      </c>
      <c r="D31" s="88" t="s">
        <v>46</v>
      </c>
      <c r="E31" s="45"/>
      <c r="F31" s="45"/>
      <c r="G31" s="45"/>
      <c r="H31" s="45"/>
      <c r="I31" s="45"/>
    </row>
    <row r="32" spans="2:9" ht="30" customHeight="1">
      <c r="B32" s="15" t="s">
        <v>25</v>
      </c>
      <c r="C32" s="35" t="s">
        <v>47</v>
      </c>
      <c r="D32" s="88" t="s">
        <v>48</v>
      </c>
      <c r="E32" s="45"/>
      <c r="F32" s="45"/>
      <c r="G32" s="45"/>
      <c r="H32" s="45"/>
      <c r="I32" s="45"/>
    </row>
    <row r="34" spans="2:9" ht="7.5" customHeight="1">
      <c r="B34" s="24"/>
      <c r="C34" s="17"/>
      <c r="D34" s="17"/>
      <c r="E34" s="17"/>
      <c r="F34" s="17"/>
      <c r="G34" s="17"/>
      <c r="H34" s="17"/>
      <c r="I34" s="17"/>
    </row>
    <row r="35" spans="2:9" ht="36" customHeight="1">
      <c r="B35" s="102" t="s">
        <v>49</v>
      </c>
      <c r="C35" s="45"/>
      <c r="D35" s="45"/>
      <c r="E35" s="45"/>
      <c r="F35" s="45"/>
      <c r="G35" s="45"/>
      <c r="H35" s="45"/>
      <c r="I35" s="45"/>
    </row>
    <row r="37" spans="2:9" ht="42" customHeight="1">
      <c r="B37" s="36" t="s">
        <v>50</v>
      </c>
      <c r="C37" s="89" t="str">
        <f>IFERROR(IF(계약서!C11="","",계약서!C11),"")</f>
        <v>중앙 오토바이 가수점</v>
      </c>
      <c r="D37" s="90"/>
      <c r="E37" s="90"/>
      <c r="F37" s="90"/>
      <c r="G37" s="90"/>
      <c r="H37" s="90"/>
      <c r="I37" s="18" t="s">
        <v>51</v>
      </c>
    </row>
    <row r="39" spans="2:9" ht="42" customHeight="1">
      <c r="B39" s="36" t="s">
        <v>52</v>
      </c>
      <c r="C39" s="89" t="str">
        <f>IFERROR(IF(계약서!C16="","",계약서!C16),"")</f>
        <v>안종식</v>
      </c>
      <c r="D39" s="90"/>
      <c r="E39" s="90"/>
      <c r="F39" s="90"/>
      <c r="G39" s="90"/>
      <c r="H39" s="90"/>
      <c r="I39" s="18" t="s">
        <v>51</v>
      </c>
    </row>
    <row r="41" spans="2:9" ht="42" customHeight="1">
      <c r="B41" s="36" t="s">
        <v>53</v>
      </c>
      <c r="C41" s="100" t="s">
        <v>54</v>
      </c>
      <c r="D41" s="90"/>
      <c r="E41" s="90"/>
      <c r="F41" s="90"/>
      <c r="G41" s="90"/>
      <c r="H41" s="90"/>
      <c r="I41" s="18" t="s">
        <v>51</v>
      </c>
    </row>
  </sheetData>
  <mergeCells count="30">
    <mergeCell ref="C41:H41"/>
    <mergeCell ref="D27:I27"/>
    <mergeCell ref="B7:I7"/>
    <mergeCell ref="D13:I13"/>
    <mergeCell ref="B25:I25"/>
    <mergeCell ref="D32:I32"/>
    <mergeCell ref="D17:I17"/>
    <mergeCell ref="B35:I35"/>
    <mergeCell ref="B3:I3"/>
    <mergeCell ref="B22:I22"/>
    <mergeCell ref="D16:I16"/>
    <mergeCell ref="B21:I21"/>
    <mergeCell ref="D28:I28"/>
    <mergeCell ref="B11:I11"/>
    <mergeCell ref="B2:I2"/>
    <mergeCell ref="D18:I18"/>
    <mergeCell ref="C39:H39"/>
    <mergeCell ref="D12:I12"/>
    <mergeCell ref="B8:I8"/>
    <mergeCell ref="D30:I30"/>
    <mergeCell ref="D15:I15"/>
    <mergeCell ref="D14:I14"/>
    <mergeCell ref="D29:I29"/>
    <mergeCell ref="C37:H37"/>
    <mergeCell ref="B10:I10"/>
    <mergeCell ref="D26:I26"/>
    <mergeCell ref="D19:I19"/>
    <mergeCell ref="B24:I24"/>
    <mergeCell ref="D31:I31"/>
    <mergeCell ref="B5:I5"/>
  </mergeCells>
  <phoneticPr fontId="20" type="noConversion"/>
  <printOptions horizontalCentered="1"/>
  <pageMargins left="0.5" right="0.5" top="0.5" bottom="0.5" header="0.511811023622047" footer="0.511811023622047"/>
  <pageSetup paperSize="9" scale="62"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3</vt:i4>
      </vt:variant>
    </vt:vector>
  </HeadingPairs>
  <TitlesOfParts>
    <vt:vector size="7" baseType="lpstr">
      <vt:lpstr>계약리스트</vt:lpstr>
      <vt:lpstr>계약서</vt:lpstr>
      <vt:lpstr>이용약관</vt:lpstr>
      <vt:lpstr>별지_구상금</vt:lpstr>
      <vt:lpstr>계약서!Print_Area</vt:lpstr>
      <vt:lpstr>별지_구상금!Print_Area</vt:lpstr>
      <vt:lpstr>이용약관!Print_Area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유주 박</cp:lastModifiedBy>
  <cp:revision>0</cp:revision>
  <cp:lastPrinted>2026-05-26T07:05:48Z</cp:lastPrinted>
  <dcterms:created xsi:type="dcterms:W3CDTF">2026-04-27T06:03:32Z</dcterms:created>
  <dcterms:modified xsi:type="dcterms:W3CDTF">2026-06-06T08:57:53Z</dcterms:modified>
  <dc:language>en-US</dc:language>
</cp:coreProperties>
</file>