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5E963E9F-00CD-4725-8C11-C7C2C8DF5937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</sheets>
  <definedNames>
    <definedName name="_xlnm.Print_Area" localSheetId="1">계약서!$A$1:$K$50</definedName>
    <definedName name="_xlnm.Print_Area" localSheetId="2">이용약관!$A$1:$D$138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2" l="1"/>
  <c r="D137" i="3" l="1"/>
  <c r="B137" i="3"/>
  <c r="H49" i="2"/>
  <c r="C49" i="2"/>
  <c r="I23" i="2"/>
  <c r="F23" i="2"/>
  <c r="C23" i="2"/>
  <c r="I22" i="2"/>
  <c r="F22" i="2"/>
  <c r="C22" i="2"/>
  <c r="C18" i="2"/>
  <c r="C17" i="2"/>
  <c r="I16" i="2"/>
  <c r="F16" i="2"/>
  <c r="C16" i="2"/>
  <c r="I15" i="2"/>
  <c r="F15" i="2"/>
  <c r="C15" i="2"/>
  <c r="C11" i="2"/>
  <c r="I10" i="2"/>
  <c r="F10" i="2"/>
  <c r="C10" i="2"/>
  <c r="I7" i="2"/>
  <c r="C7" i="2"/>
  <c r="I6" i="2"/>
  <c r="F6" i="2"/>
  <c r="C6" i="2"/>
  <c r="I3" i="2"/>
</calcChain>
</file>

<file path=xl/sharedStrings.xml><?xml version="1.0" encoding="utf-8"?>
<sst xmlns="http://schemas.openxmlformats.org/spreadsheetml/2006/main" count="371" uniqueCount="351">
  <si>
    <t>계약번호</t>
  </si>
  <si>
    <t>계약일자</t>
  </si>
  <si>
    <t>차종</t>
  </si>
  <si>
    <t>차대번호</t>
  </si>
  <si>
    <t>차량번호</t>
  </si>
  <si>
    <t>색상</t>
  </si>
  <si>
    <t>일사용료</t>
  </si>
  <si>
    <t>사용일수</t>
  </si>
  <si>
    <t>보증금</t>
  </si>
  <si>
    <t>라이더명</t>
  </si>
  <si>
    <t>라이더 주민번호</t>
  </si>
  <si>
    <t>라이더 연락처</t>
  </si>
  <si>
    <t>라이더 이메일</t>
  </si>
  <si>
    <t>라이더 주소</t>
  </si>
  <si>
    <t>라이더 본인명의 은행</t>
  </si>
  <si>
    <t>라이더 본인명의 계좌번호</t>
  </si>
  <si>
    <r>
      <rPr>
        <b/>
        <sz val="9"/>
        <color rgb="FFFFFFFF"/>
        <rFont val="DejaVu Sans"/>
        <family val="2"/>
      </rPr>
      <t>라이더 업종</t>
    </r>
    <r>
      <rPr>
        <b/>
        <sz val="9"/>
        <color rgb="FFFFFFFF"/>
        <rFont val="DejaVu Sans"/>
        <family val="2"/>
        <charset val="1"/>
      </rPr>
      <t>/</t>
    </r>
    <r>
      <rPr>
        <b/>
        <sz val="9"/>
        <color rgb="FFFFFFFF"/>
        <rFont val="DejaVu Sans"/>
        <family val="2"/>
      </rPr>
      <t>담당업무</t>
    </r>
  </si>
  <si>
    <t>사업장 업체명</t>
  </si>
  <si>
    <t>사업장 사업자번호</t>
  </si>
  <si>
    <t>사업장 대표자명</t>
  </si>
  <si>
    <t>사업장 대표자 주민번호</t>
  </si>
  <si>
    <t>사업장 대표자 연락처</t>
  </si>
  <si>
    <t>사업장 주소</t>
  </si>
  <si>
    <t>사업장 대표자 주소</t>
  </si>
  <si>
    <t>사업장 이메일</t>
  </si>
  <si>
    <t>계약유형</t>
  </si>
  <si>
    <t>상품유형</t>
  </si>
  <si>
    <t>납입방법</t>
  </si>
  <si>
    <t>납입계좌</t>
  </si>
  <si>
    <t>요금결제일</t>
  </si>
  <si>
    <t>2026-04-23</t>
  </si>
  <si>
    <t>PCX125</t>
  </si>
  <si>
    <t>MLHJF81H2ST000001</t>
  </si>
  <si>
    <r>
      <rPr>
        <sz val="10"/>
        <color rgb="FF000000"/>
        <rFont val="DejaVu Sans"/>
        <family val="2"/>
      </rPr>
      <t>서울바</t>
    </r>
    <r>
      <rPr>
        <sz val="10"/>
        <color rgb="FF000000"/>
        <rFont val="DejaVu Sans"/>
        <family val="2"/>
        <charset val="1"/>
      </rPr>
      <t>1234</t>
    </r>
  </si>
  <si>
    <t>블랙</t>
  </si>
  <si>
    <t>홍길동</t>
  </si>
  <si>
    <t>900101-1234567</t>
  </si>
  <si>
    <t>010-1234-5678</t>
  </si>
  <si>
    <t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</si>
  <si>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DejaVu Sans"/>
        <family val="2"/>
        <charset val="1"/>
      </rPr>
      <t>123</t>
    </r>
  </si>
  <si>
    <t>국민은행</t>
  </si>
  <si>
    <t>123456-78-901234</t>
  </si>
  <si>
    <t>배달 라이더</t>
  </si>
  <si>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퀵배달</t>
    </r>
  </si>
  <si>
    <t>123-45-67890</t>
  </si>
  <si>
    <t>김대표</t>
  </si>
  <si>
    <t>700101-1234567</t>
  </si>
  <si>
    <t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</si>
  <si>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DejaVu Sans"/>
        <family val="2"/>
        <charset val="1"/>
      </rPr>
      <t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</si>
  <si>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DejaVu Sans"/>
        <family val="2"/>
        <charset val="1"/>
      </rPr>
      <t>200</t>
    </r>
  </si>
  <si>
    <t>biz@example.com</t>
  </si>
  <si>
    <t>할부 판매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</si>
  <si>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</si>
  <si>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</si>
  <si>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>929-028519-04-010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</si>
  <si>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</si>
  <si>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</si>
  <si>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이륜차 할부판매 계약서</t>
  </si>
  <si>
    <t>한국모터사이클리스 유한회사</t>
  </si>
  <si>
    <t>■ 차량 정보</t>
  </si>
  <si>
    <t>정비여부</t>
  </si>
  <si>
    <t>미포함</t>
  </si>
  <si>
    <t>■ 계약자</t>
  </si>
  <si>
    <t>성명</t>
  </si>
  <si>
    <t>주민등록번호</t>
  </si>
  <si>
    <t>연락처</t>
  </si>
  <si>
    <t>주소</t>
  </si>
  <si>
    <t>■ 연대보증인</t>
  </si>
  <si>
    <t>업체명</t>
  </si>
  <si>
    <t>사업자번호</t>
  </si>
  <si>
    <t>이메일</t>
  </si>
  <si>
    <t>대표자명</t>
  </si>
  <si>
    <t>대표자
주민번호</t>
  </si>
  <si>
    <t>대표자
연락처</t>
  </si>
  <si>
    <t>업체 주소</t>
  </si>
  <si>
    <t>대표자
주소</t>
  </si>
  <si>
    <t>■ 계약 조건</t>
  </si>
  <si>
    <t>할부판매
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</si>
  <si>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</si>
  <si>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청구시작일</t>
  </si>
  <si>
    <t>차량 인도일부터</t>
  </si>
  <si>
    <r>
      <rPr>
        <b/>
        <sz val="11"/>
        <color rgb="FFFFFFFF"/>
        <rFont val="DejaVu Sans"/>
        <family val="2"/>
      </rPr>
      <t xml:space="preserve">■ 회사 정보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공급자</t>
    </r>
    <r>
      <rPr>
        <b/>
        <sz val="11"/>
        <color rgb="FFFFFFFF"/>
        <rFont val="DejaVu Sans"/>
        <family val="2"/>
        <charset val="1"/>
      </rPr>
      <t>)</t>
    </r>
  </si>
  <si>
    <t>상호</t>
  </si>
  <si>
    <t>104-86-62883</t>
  </si>
  <si>
    <t>대표이사</t>
  </si>
  <si>
    <t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</si>
  <si>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맑은 고딕"/>
        <family val="3"/>
        <charset val="129"/>
      </rPr>
      <t>188, 201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맑은 고딕"/>
        <family val="3"/>
        <charset val="129"/>
      </rPr>
      <t>, 211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맑은 고딕"/>
        <family val="3"/>
        <charset val="129"/>
      </rPr>
      <t>-</t>
    </r>
    <r>
      <rPr>
        <sz val="10"/>
        <color rgb="FF000000"/>
        <rFont val="DejaVu Sans"/>
        <family val="2"/>
      </rPr>
      <t>에이</t>
    </r>
    <r>
      <rPr>
        <sz val="10"/>
        <color rgb="FF000000"/>
        <rFont val="맑은 고딕"/>
        <family val="3"/>
        <charset val="129"/>
      </rPr>
      <t>66</t>
    </r>
    <r>
      <rPr>
        <sz val="10"/>
        <color rgb="FF000000"/>
        <rFont val="DejaVu Sans"/>
        <family val="2"/>
      </rPr>
      <t>호</t>
    </r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</si>
  <si>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</si>
  <si>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</si>
  <si>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</si>
  <si>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>본 계약에 따른 모든 대금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할부금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부대비용 등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수납 및 세금계산서 발행 업무는 포어스바이크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타 계좌 입금 시 입금 확인이 불가합니다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</si>
  <si>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>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보증금은 반환되지 아니하며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위약금과는 별도로 회수비용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출장비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운송비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원상복구비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은 계약자가 부담합니다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</si>
  <si>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>등록비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번호판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보험료 등 회사가 이미 지출한 부대비용을 배상합니다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</si>
  <si>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>배달통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슬라이더 등 무상 지원 비품은 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안내 장소로 반납하여야 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</si>
  <si>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5. </t>
    </r>
    <r>
      <rPr>
        <sz val="8"/>
        <color rgb="FF404040"/>
        <rFont val="DejaVu Sans"/>
        <family val="2"/>
      </rPr>
      <t>세금계산서는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본 계약서에 기재된 연대보증인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사업장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사업자등록번호를 기준으로 발급됩니다</t>
    </r>
    <r>
      <rPr>
        <sz val="8"/>
        <color rgb="FF404040"/>
        <rFont val="맑은 고딕"/>
        <family val="3"/>
        <charset val="129"/>
      </rPr>
      <t>.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</si>
  <si>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</si>
  <si>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</si>
  <si>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통계 분석 등 계약 이행 전반</t>
    </r>
  </si>
  <si>
    <t>수집 항목</t>
  </si>
  <si>
    <r>
      <rPr>
        <sz val="8"/>
        <color rgb="FF404040"/>
        <rFont val="DejaVu Sans"/>
        <family val="2"/>
      </rPr>
      <t>성명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거래카드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</si>
  <si>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</si>
  <si>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>5</t>
    </r>
    <r>
      <rPr>
        <sz val="8"/>
        <color rgb="FF404040"/>
        <rFont val="DejaVu Sans"/>
        <family val="2"/>
      </rPr>
      <t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</si>
  <si>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</si>
  <si>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해지 시까지 수납기관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및 결제대행사</t>
    </r>
    <r>
      <rPr>
        <sz val="8"/>
        <color rgb="FF404040"/>
        <rFont val="DejaVu Sans"/>
        <family val="2"/>
        <charset val="1"/>
      </rPr>
      <t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DejaVu Sans"/>
        <family val="2"/>
        <charset val="1"/>
      </rPr>
      <t>)</t>
    </r>
  </si>
  <si>
    <t>자동이체 동의</t>
  </si>
  <si>
    <r>
      <rPr>
        <sz val="8"/>
        <color rgb="FF404040"/>
        <rFont val="DejaVu Sans"/>
        <family val="2"/>
      </rPr>
      <t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범칙금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</si>
  <si>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</si>
  <si>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수납대행사 포어스바이크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DejaVu Sans"/>
        <family val="2"/>
        <charset val="1"/>
      </rPr>
      <t>)(</t>
    </r>
    <r>
      <rPr>
        <sz val="8"/>
        <color rgb="FF404040"/>
        <rFont val="DejaVu Sans"/>
        <family val="2"/>
      </rPr>
      <t>대금 수납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세금계산서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</si>
  <si>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3"/>
        <charset val="129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</si>
  <si>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t>■ 계약 체결</t>
  </si>
  <si>
    <r>
      <rPr>
        <sz val="9"/>
        <color rgb="FF000000"/>
        <rFont val="DejaVu Sans"/>
        <family val="2"/>
      </rPr>
      <t>본인은 본 이륜차 할부판매 계약서와 별지 이용약관의 내용을 전부 설명 듣고 확인하였으며</t>
    </r>
    <r>
      <rPr>
        <sz val="9"/>
        <color rgb="FF000000"/>
        <rFont val="DejaVu Sans"/>
        <family val="3"/>
        <charset val="129"/>
      </rPr>
      <t xml:space="preserve">, </t>
    </r>
    <r>
      <rPr>
        <sz val="9"/>
        <color rgb="FF000000"/>
        <rFont val="DejaVu Sans"/>
        <family val="2"/>
      </rPr>
      <t>본 계약에 따른 권리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DejaVu Sans"/>
        <family val="2"/>
      </rPr>
      <t>의무와 제반 동의 사항에 이의 없이 동의합니다</t>
    </r>
    <r>
      <rPr>
        <sz val="9"/>
        <color rgb="FF000000"/>
        <rFont val="DejaVu Sans"/>
        <family val="3"/>
        <charset val="129"/>
      </rPr>
      <t>.</t>
    </r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</si>
  <si>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</si>
  <si>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서명일</t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</si>
  <si>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</si>
  <si>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</si>
  <si>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서류 제출 및 보완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</si>
  <si>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소유권 유보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</si>
  <si>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9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지연손해금 및 반환지연금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</si>
  <si>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계약자의 책임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</si>
  <si>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10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연대보증인의 책임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</si>
  <si>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이륜차의 인도 및 계약자 확인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</si>
  <si>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계약의 이관 및 승계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</si>
  <si>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7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보증금 및 계약금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</si>
  <si>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차량 위치정보 등 제공 동의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</si>
  <si>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하는 사고에 회사는 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형사상 책임을 지지 않는다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</si>
  <si>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이륜차 유지비용 및 제세공과금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</si>
  <si>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금지행위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</si>
  <si>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3</t>
    </r>
    <r>
      <rPr>
        <b/>
        <sz val="9"/>
        <color rgb="FF1F3864"/>
        <rFont val="DejaVu Sans"/>
        <family val="2"/>
      </rPr>
      <t>자에 대한 면책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</si>
  <si>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계약자에 의한 중도 해지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</si>
  <si>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18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해지위약금 등의 부과방법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</si>
  <si>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DejaVu Sans"/>
        <family val="3"/>
        <charset val="129"/>
      </rPr>
      <t>")</t>
    </r>
    <r>
      <rPr>
        <sz val="8"/>
        <color rgb="FF2B2B2B"/>
        <rFont val="맑은 고딕"/>
        <family val="3"/>
        <charset val="129"/>
      </rPr>
      <t>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라이더</t>
    </r>
    <r>
      <rPr>
        <sz val="8"/>
        <color rgb="FF2B2B2B"/>
        <rFont val="DejaVu Sans"/>
        <family val="3"/>
        <charset val="129"/>
      </rPr>
      <t>,</t>
    </r>
    <phoneticPr fontId="39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</si>
  <si>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DejaVu Sans"/>
        <family val="3"/>
        <charset val="129"/>
      </rPr>
      <t xml:space="preserve">")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</si>
  <si>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t>① "할부판매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판매하고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39" type="noConversion"/>
  </si>
  <si>
    <r>
      <rPr>
        <sz val="8"/>
        <color rgb="FF2B2B2B"/>
        <rFont val="맑은 고딕"/>
        <family val="3"/>
        <charset val="129"/>
      </rPr>
      <t>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걸쳐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매매계약을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39" type="noConversion"/>
  </si>
  <si>
    <r>
      <t>② "이륜차"란,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특정한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phoneticPr fontId="39" type="noConversion"/>
  </si>
  <si>
    <r>
      <rPr>
        <sz val="8"/>
        <color rgb="FF2B2B2B"/>
        <rFont val="맑은 고딕"/>
        <family val="3"/>
        <charset val="129"/>
      </rPr>
      <t>부착된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포함한다.</t>
    </r>
    <phoneticPr fontId="39" type="noConversion"/>
  </si>
  <si>
    <r>
      <t>③ "계약기간"이란,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39" type="noConversion"/>
  </si>
  <si>
    <r>
      <t>④ "보증금"이란, 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39" type="noConversion"/>
  </si>
  <si>
    <r>
      <rPr>
        <sz val="8"/>
        <color rgb="FF2B2B2B"/>
        <rFont val="맑은 고딕"/>
        <family val="3"/>
        <charset val="129"/>
      </rPr>
      <t>납부하는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9" type="noConversion"/>
  </si>
  <si>
    <t>반환한다.</t>
    <phoneticPr fontId="39" type="noConversion"/>
  </si>
  <si>
    <r>
      <t>⑤ "계약자(라이더)"는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"계약자(라이더)"로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라이더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</t>
    </r>
    <phoneticPr fontId="39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</si>
  <si>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주채무자이다.</t>
    </r>
    <phoneticPr fontId="39" type="noConversion"/>
  </si>
  <si>
    <r>
      <t>⑥ "연대보증인(사업장)"은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</t>
    </r>
    <phoneticPr fontId="39" type="noConversion"/>
  </si>
  <si>
    <r>
      <rPr>
        <sz val="8"/>
        <color rgb="FF2B2B2B"/>
        <rFont val="맑은 고딕"/>
        <family val="3"/>
        <charset val="129"/>
      </rPr>
      <t>계약자와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겸한다.</t>
    </r>
    <phoneticPr fontId="39" type="noConversion"/>
  </si>
  <si>
    <r>
      <t>⑦ "위약금"이란, 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phoneticPr fontId="39" type="noConversion"/>
  </si>
  <si>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39" type="noConversion"/>
  </si>
  <si>
    <r>
      <t>⑧ "지연손해금"이란,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할부금·위약금·과태료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phoneticPr fontId="39" type="noConversion"/>
  </si>
  <si>
    <r>
      <t>⑨ "계약이관"이란,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39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</si>
  <si>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</si>
  <si>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추후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phoneticPr fontId="39" type="noConversion"/>
  </si>
  <si>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</si>
  <si>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</si>
  <si>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39" type="noConversion"/>
  </si>
  <si>
    <r>
      <rPr>
        <sz val="8"/>
        <color rgb="FF2B2B2B"/>
        <rFont val="맑은 고딕"/>
        <family val="3"/>
        <charset val="129"/>
      </rPr>
      <t>유보된다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</si>
  <si>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phoneticPr fontId="39" type="noConversion"/>
  </si>
  <si>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</si>
  <si>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관리하여야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phoneticPr fontId="39" type="noConversion"/>
  </si>
  <si>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보유하더라도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운행자성이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없으므로</t>
    </r>
    <phoneticPr fontId="39" type="noConversion"/>
  </si>
  <si>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</si>
  <si>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</si>
  <si>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사용수익권과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운행이익권을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가진다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</si>
  <si>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중단하고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phoneticPr fontId="39" type="noConversion"/>
  </si>
  <si>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</si>
  <si>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</si>
  <si>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보전처분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phoneticPr fontId="39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</si>
  <si>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입증하여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침해를</t>
    </r>
    <phoneticPr fontId="39" type="noConversion"/>
  </si>
  <si>
    <r>
      <rPr>
        <sz val="8"/>
        <color rgb="FF2B2B2B"/>
        <rFont val="맑은 고딕"/>
        <family val="3"/>
        <charset val="129"/>
      </rPr>
      <t>방지하고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</si>
  <si>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phoneticPr fontId="39" type="noConversion"/>
  </si>
  <si>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</si>
  <si>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</si>
  <si>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통보하고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phoneticPr fontId="39" type="noConversion"/>
  </si>
  <si>
    <r>
      <t xml:space="preserve">(1)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(2) </t>
    </r>
    <r>
      <rPr>
        <sz val="8"/>
        <color rgb="FF2B2B2B"/>
        <rFont val="맑은 고딕"/>
        <family val="3"/>
        <charset val="129"/>
      </rPr>
      <t>동일모델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사양으로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이행해야한다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</si>
  <si>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인수하므로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phoneticPr fontId="39" type="noConversion"/>
  </si>
  <si>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훼손에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</si>
  <si>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</si>
  <si>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협력업체를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수령한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phoneticPr fontId="39" type="noConversion"/>
  </si>
  <si>
    <r>
      <rPr>
        <sz val="8"/>
        <color rgb="FF2B2B2B"/>
        <rFont val="맑은 고딕"/>
        <family val="3"/>
        <charset val="129"/>
      </rPr>
      <t>인도가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</si>
  <si>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</t>
    </r>
    <phoneticPr fontId="39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</si>
  <si>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</si>
  <si>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phoneticPr fontId="39" type="noConversion"/>
  </si>
  <si>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phoneticPr fontId="39" type="noConversion"/>
  </si>
  <si>
    <r>
      <t>7</t>
    </r>
    <r>
      <rPr>
        <sz val="8"/>
        <color rgb="FF2B2B2B"/>
        <rFont val="맑은 고딕"/>
        <family val="3"/>
        <charset val="129"/>
      </rPr>
      <t>일의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</si>
  <si>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</t>
    </r>
    <phoneticPr fontId="39" type="noConversion"/>
  </si>
  <si>
    <r>
      <rPr>
        <sz val="8"/>
        <color rgb="FF2B2B2B"/>
        <rFont val="맑은 고딕"/>
        <family val="3"/>
        <charset val="129"/>
      </rPr>
      <t>으며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</si>
  <si>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</t>
    </r>
    <phoneticPr fontId="39" type="noConversion"/>
  </si>
  <si>
    <r>
      <rPr>
        <sz val="8"/>
        <color rgb="FF2B2B2B"/>
        <rFont val="맑은 고딕"/>
        <family val="3"/>
        <charset val="129"/>
      </rPr>
      <t>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DejaVu Sans"/>
        <family val="3"/>
        <charset val="129"/>
      </rPr>
      <t>·</t>
    </r>
    <phoneticPr fontId="39" type="noConversion"/>
  </si>
  <si>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</si>
  <si>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</si>
  <si>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보험사고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phoneticPr fontId="39" type="noConversion"/>
  </si>
  <si>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</si>
  <si>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관할관청</t>
    </r>
    <r>
      <rPr>
        <sz val="8"/>
        <color rgb="FF2B2B2B"/>
        <rFont val="DejaVu Sans"/>
        <family val="1"/>
        <charset val="129"/>
      </rPr>
      <t>·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준수한다</t>
    </r>
    <r>
      <rPr>
        <sz val="8"/>
        <color rgb="FF2B2B2B"/>
        <rFont val="DejaVu Sans"/>
        <family val="1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</si>
  <si>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언제든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39" type="noConversion"/>
  </si>
  <si>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</si>
  <si>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고의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과실이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39" type="noConversion"/>
  </si>
  <si>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3"/>
        <charset val="129"/>
      </rPr>
      <t>,</t>
    </r>
    <r>
      <rPr>
        <sz val="8"/>
        <color rgb="FF2B2B2B"/>
        <rFont val="맑은 고딕"/>
        <family val="3"/>
        <charset val="129"/>
      </rPr>
      <t>계약자의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</si>
  <si>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등록말소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phoneticPr fontId="39" type="noConversion"/>
  </si>
  <si>
    <r>
      <rPr>
        <sz val="8"/>
        <color rgb="FF2B2B2B"/>
        <rFont val="맑은 고딕"/>
        <family val="3"/>
        <charset val="129"/>
      </rPr>
      <t>제세공과금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</si>
  <si>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보험금으로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</si>
  <si>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</si>
  <si>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phoneticPr fontId="39" type="noConversion"/>
  </si>
  <si>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성능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기능을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맑은 고딕"/>
        <family val="3"/>
        <charset val="129"/>
      </rPr>
      <t>이륜차</t>
    </r>
    <phoneticPr fontId="39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</si>
  <si>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행위, (5) 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phoneticPr fontId="39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</si>
  <si>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제거·훼손하거나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내용·위치를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</si>
  <si>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</t>
    </r>
    <phoneticPr fontId="39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</si>
  <si>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소유자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책임</t>
    </r>
    <phoneticPr fontId="39" type="noConversion"/>
  </si>
  <si>
    <r>
      <rPr>
        <sz val="8"/>
        <color rgb="FF2B2B2B"/>
        <rFont val="맑은 고딕"/>
        <family val="3"/>
        <charset val="129"/>
      </rPr>
      <t>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면책시켜야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</si>
  <si>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phoneticPr fontId="39" type="noConversion"/>
  </si>
  <si>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</si>
  <si>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39" type="noConversion"/>
  </si>
  <si>
    <r>
      <rPr>
        <sz val="8"/>
        <color rgb="FF2B2B2B"/>
        <rFont val="맑은 고딕"/>
        <family val="3"/>
        <charset val="129"/>
      </rPr>
      <t>부담하여야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2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</si>
  <si>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10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39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</si>
  <si>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</si>
  <si>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9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</si>
  <si>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</si>
  <si>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</t>
    </r>
    <phoneticPr fontId="39" type="noConversion"/>
  </si>
  <si>
    <r>
      <rPr>
        <sz val="8"/>
        <color rgb="FF2B2B2B"/>
        <rFont val="맑은 고딕"/>
        <family val="3"/>
        <charset val="129"/>
      </rPr>
      <t>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</si>
  <si>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정산</t>
    </r>
    <phoneticPr fontId="39" type="noConversion"/>
  </si>
  <si>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</si>
  <si>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17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계약의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해지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사유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</si>
  <si>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phoneticPr fontId="39" type="noConversion"/>
  </si>
  <si>
    <r>
      <rPr>
        <sz val="8"/>
        <color rgb="FF2B2B2B"/>
        <rFont val="맑은 고딕"/>
        <family val="3"/>
        <charset val="129"/>
      </rPr>
      <t>유보된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근거하여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위반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</si>
  <si>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행위, (3) 정해진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</t>
    </r>
    <phoneticPr fontId="39" type="noConversion"/>
  </si>
  <si>
    <r>
      <rPr>
        <sz val="8"/>
        <color rgb="FF2B2B2B"/>
        <rFont val="맑은 고딕"/>
        <family val="3"/>
        <charset val="129"/>
      </rPr>
      <t>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연체, (4) 통지받은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정당한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5일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39" type="noConversion"/>
  </si>
  <si>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미납, (5) 무면허·음주운전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3일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 xml:space="preserve">미납, </t>
    </r>
    <phoneticPr fontId="39" type="noConversion"/>
  </si>
  <si>
    <r>
      <rPr>
        <sz val="8"/>
        <color rgb="FF2B2B2B"/>
        <rFont val="맑은 고딕"/>
        <family val="3"/>
        <charset val="129"/>
      </rPr>
      <t>제거·훼손, (8) 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훼손·은닉.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</si>
  <si>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+ (</t>
    </r>
    <r>
      <rPr>
        <sz val="8"/>
        <color rgb="FF2B2B2B"/>
        <rFont val="맑은 고딕"/>
        <family val="3"/>
        <charset val="129"/>
      </rPr>
      <t>잔여기간에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20%).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phoneticPr fontId="39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</si>
  <si>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</si>
  <si>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부착물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파손이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phoneticPr fontId="39" type="noConversion"/>
  </si>
  <si>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</si>
  <si>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선납한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</si>
  <si>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19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이륜차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반환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회수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</si>
  <si>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39" type="noConversion"/>
  </si>
  <si>
    <r>
      <rPr>
        <sz val="8"/>
        <color rgb="FF2B2B2B"/>
        <rFont val="맑은 고딕"/>
        <family val="3"/>
        <charset val="129"/>
      </rPr>
      <t>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</si>
  <si>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이용약관의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내용에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대해서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설명을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듣고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확인하였습니다.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</si>
  <si>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39" type="noConversion"/>
  </si>
  <si>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(1)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이륜차의</t>
    </r>
    <phoneticPr fontId="39" type="noConversion"/>
  </si>
  <si>
    <r>
      <rPr>
        <sz val="8"/>
        <color rgb="FF2B2B2B"/>
        <rFont val="맑은 고딕"/>
        <family val="3"/>
        <charset val="129"/>
      </rPr>
      <t>감가손실액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39" type="noConversion"/>
  </si>
  <si>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</si>
  <si>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39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</si>
  <si>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1</t>
    </r>
    <r>
      <rPr>
        <sz val="8"/>
        <color rgb="FF2B2B2B"/>
        <rFont val="맑은 고딕"/>
        <family val="3"/>
        <charset val="129"/>
      </rPr>
      <t>개월이</t>
    </r>
    <phoneticPr fontId="39" type="noConversion"/>
  </si>
  <si>
    <r>
      <rPr>
        <sz val="8"/>
        <color rgb="FF2B2B2B"/>
        <rFont val="맑은 고딕"/>
        <family val="3"/>
        <charset val="129"/>
      </rPr>
      <t>경과한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</si>
  <si>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초과하면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</si>
  <si>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</si>
  <si>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phoneticPr fontId="39" type="noConversion"/>
  </si>
  <si>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</si>
  <si>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39" type="noConversion"/>
  </si>
  <si>
    <r>
      <rPr>
        <sz val="8"/>
        <color rgb="FF2B2B2B"/>
        <rFont val="맑은 고딕"/>
        <family val="3"/>
        <charset val="129"/>
      </rPr>
      <t>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</si>
  <si>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8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할부금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기타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지급금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</si>
  <si>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phoneticPr fontId="39" type="noConversion"/>
  </si>
  <si>
    <r>
      <rPr>
        <sz val="8"/>
        <color rgb="FF2B2B2B"/>
        <rFont val="맑은 고딕"/>
        <family val="3"/>
        <charset val="129"/>
      </rPr>
      <t>결제일에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</si>
  <si>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결제방법이란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한국은행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통화를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지급하거나</t>
    </r>
    <phoneticPr fontId="39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</si>
  <si>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결제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</si>
  <si>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</si>
  <si>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phoneticPr fontId="39" type="noConversion"/>
  </si>
  <si>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</si>
  <si>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납부주기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조정되는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phoneticPr fontId="39" type="noConversion"/>
  </si>
  <si>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</si>
  <si>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업무를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포어</t>
    </r>
    <phoneticPr fontId="39" type="noConversion"/>
  </si>
  <si>
    <r>
      <rPr>
        <sz val="8"/>
        <color rgb="FF2B2B2B"/>
        <rFont val="맑은 고딕"/>
        <family val="3"/>
        <charset val="129"/>
      </rPr>
      <t>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위임하며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수납대행사는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대리하여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독촉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추심</t>
    </r>
    <phoneticPr fontId="39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</si>
  <si>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</si>
  <si>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39" type="noConversion"/>
  </si>
  <si>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</si>
  <si>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맑은 고딕"/>
        <family val="3"/>
        <charset val="129"/>
      </rPr>
      <t>연체금액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20%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</si>
  <si>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해지에도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점유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phoneticPr fontId="39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</si>
  <si>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계산식은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</t>
    </r>
    <phoneticPr fontId="39" type="noConversion"/>
  </si>
  <si>
    <r>
      <rPr>
        <sz val="8"/>
        <color rgb="FF2B2B2B"/>
        <rFont val="맑은 고딕"/>
        <family val="3"/>
        <charset val="129"/>
      </rPr>
      <t>ㆍ반환지연금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= 1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20%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</si>
  <si>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손해배상청구와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</si>
  <si>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미납이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신용정보집중</t>
    </r>
    <phoneticPr fontId="39" type="noConversion"/>
  </si>
  <si>
    <r>
      <rPr>
        <sz val="8"/>
        <color rgb="FF2B2B2B"/>
        <rFont val="맑은 고딕"/>
        <family val="3"/>
        <charset val="129"/>
      </rPr>
      <t>기관에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신용정보업체에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채권추심을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</si>
  <si>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</si>
  <si>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phoneticPr fontId="39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</si>
  <si>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39" type="noConversion"/>
  </si>
  <si>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</si>
  <si>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</t>
    </r>
    <phoneticPr fontId="39" type="noConversion"/>
  </si>
  <si>
    <r>
      <rPr>
        <sz val="8"/>
        <color rgb="FF2B2B2B"/>
        <rFont val="맑은 고딕"/>
        <family val="3"/>
        <charset val="129"/>
      </rPr>
      <t>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</si>
  <si>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</si>
  <si>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날인하지</t>
    </r>
    <phoneticPr fontId="39" type="noConversion"/>
  </si>
  <si>
    <r>
      <rPr>
        <sz val="8"/>
        <color rgb="FF2B2B2B"/>
        <rFont val="맑은 고딕"/>
        <family val="3"/>
        <charset val="129"/>
      </rPr>
      <t>않더라도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9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</si>
  <si>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>, 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새로운</t>
    </r>
    <phoneticPr fontId="39" type="noConversion"/>
  </si>
  <si>
    <r>
      <rPr>
        <sz val="8"/>
        <color rgb="FF2B2B2B"/>
        <rFont val="맑은 고딕"/>
        <family val="3"/>
        <charset val="129"/>
      </rPr>
      <t>보증인의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미성년자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배우자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강제보</t>
    </r>
    <phoneticPr fontId="39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</si>
  <si>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변제받을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</si>
  <si>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증인으로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</si>
  <si>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phoneticPr fontId="39" type="noConversion"/>
  </si>
  <si>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</si>
  <si>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신용상태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phoneticPr fontId="39" type="noConversion"/>
  </si>
  <si>
    <r>
      <rPr>
        <sz val="8"/>
        <color rgb="FF2B2B2B"/>
        <rFont val="맑은 고딕"/>
        <family val="3"/>
        <charset val="129"/>
      </rPr>
      <t>제공하여야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</si>
  <si>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</si>
  <si>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</si>
  <si>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승계받고자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</si>
  <si>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</si>
  <si>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소요된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</si>
  <si>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계약해지일부터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</si>
  <si>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20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계약만료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처리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</si>
  <si>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</si>
  <si>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phoneticPr fontId="39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</si>
  <si>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등기우편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</si>
  <si>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존재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관계없이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</si>
  <si>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등록세를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</t>
    </r>
    <phoneticPr fontId="39" type="noConversion"/>
  </si>
  <si>
    <r>
      <rPr>
        <sz val="8"/>
        <color rgb="FF2B2B2B"/>
        <rFont val="맑은 고딕"/>
        <family val="3"/>
        <charset val="129"/>
      </rPr>
      <t>고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영수증을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</si>
  <si>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가능하며</t>
    </r>
    <r>
      <rPr>
        <sz val="8"/>
        <color rgb="FF2B2B2B"/>
        <rFont val="DejaVu Sans"/>
        <family val="1"/>
        <charset val="129"/>
      </rPr>
      <t>,</t>
    </r>
    <phoneticPr fontId="39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</si>
  <si>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DejaVu Sans"/>
        <family val="3"/>
        <charset val="129"/>
      </rPr>
      <t xml:space="preserve">(D)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D+3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진행되고</t>
    </r>
    <r>
      <rPr>
        <sz val="8"/>
        <color rgb="FF2B2B2B"/>
        <rFont val="DejaVu Sans"/>
        <family val="3"/>
        <charset val="129"/>
      </rPr>
      <t>, D+15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phoneticPr fontId="39" type="noConversion"/>
  </si>
  <si>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</si>
  <si>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수리견적을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</t>
    </r>
    <phoneticPr fontId="39" type="noConversion"/>
  </si>
  <si>
    <r>
      <rPr>
        <sz val="8"/>
        <color rgb="FF2B2B2B"/>
        <rFont val="맑은 고딕"/>
        <family val="3"/>
        <charset val="129"/>
      </rPr>
      <t>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9" type="noConversion"/>
  </si>
  <si>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</si>
  <si>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phoneticPr fontId="39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</si>
  <si>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9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</t>
    </r>
    <phoneticPr fontId="39" type="noConversion"/>
  </si>
  <si>
    <r>
      <rPr>
        <sz val="8"/>
        <color rgb="FF2B2B2B"/>
        <rFont val="맑은 고딕"/>
        <family val="3"/>
        <charset val="129"/>
      </rPr>
      <t>해배상금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부당사용이익을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</si>
  <si>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21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계약만료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할부금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완납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절차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</si>
  <si>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20</t>
    </r>
    <r>
      <rPr>
        <sz val="8"/>
        <color rgb="FF2B2B2B"/>
        <rFont val="맑은 고딕"/>
        <family val="3"/>
        <charset val="129"/>
      </rPr>
      <t>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</t>
    </r>
    <phoneticPr fontId="39" type="noConversion"/>
  </si>
  <si>
    <r>
      <rPr>
        <sz val="8"/>
        <color rgb="FF2B2B2B"/>
        <rFont val="맑은 고딕"/>
        <family val="3"/>
        <charset val="129"/>
      </rPr>
      <t>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</si>
  <si>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사용폐지를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</t>
    </r>
    <phoneticPr fontId="39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</si>
  <si>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환급은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</si>
  <si>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22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변제충당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순서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</si>
  <si>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</si>
  <si>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</si>
  <si>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라이더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한하여</t>
    </r>
    <phoneticPr fontId="39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</si>
  <si>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충당되며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</si>
  <si>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23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세금계산서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발급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</si>
  <si>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맑은 고딕"/>
        <family val="3"/>
        <charset val="129"/>
      </rPr>
      <t>사업자등록번호를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</si>
  <si>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</si>
  <si>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</si>
  <si>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29"/>
      </rPr>
      <t>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DejaVu Sans"/>
        <family val="1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</si>
  <si>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전화번호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</si>
  <si>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</si>
  <si>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24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적용범위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</si>
  <si>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</t>
    </r>
    <phoneticPr fontId="39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</si>
  <si>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</si>
  <si>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39" type="noConversion"/>
  </si>
  <si>
    <r>
      <rPr>
        <sz val="8"/>
        <color rgb="FF2B2B2B"/>
        <rFont val="맑은 고딕"/>
        <family val="3"/>
        <charset val="129"/>
      </rPr>
      <t>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</si>
  <si>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25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약관에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정하지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않은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사항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</si>
  <si>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관하여는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</si>
  <si>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26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준거법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관할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</si>
  <si>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대한민국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해석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적용하며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분쟁이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</si>
  <si>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제27조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(차량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평가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감가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기준)</t>
    </r>
    <phoneticPr fontId="39" type="noConversion"/>
  </si>
  <si>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경우,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phoneticPr fontId="39" type="noConversion"/>
  </si>
  <si>
    <r>
      <rPr>
        <sz val="8"/>
        <color rgb="FF2B2B2B"/>
        <rFont val="맑은 고딕"/>
        <family val="3"/>
        <charset val="129"/>
      </rPr>
      <t>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</t>
    </r>
    <phoneticPr fontId="39" type="noConversion"/>
  </si>
  <si>
    <r>
      <rPr>
        <sz val="8"/>
        <color rgb="FF2B2B2B"/>
        <rFont val="맑은 고딕"/>
        <family val="3"/>
        <charset val="129"/>
      </rPr>
      <t>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</si>
  <si>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커버류의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경우: 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4%를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</si>
  <si>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경우: 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6%를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</si>
  <si>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제1호부터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제3호까지의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</t>
    </r>
    <phoneticPr fontId="39" type="noConversion"/>
  </si>
  <si>
    <r>
      <rPr>
        <sz val="8"/>
        <color rgb="FF2B2B2B"/>
        <rFont val="맑은 고딕"/>
        <family val="3"/>
        <charset val="129"/>
      </rPr>
      <t>우,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39" type="noConversion"/>
  </si>
  <si>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소재지를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</si>
  <si>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연대보증인의</t>
    </r>
    <phoneticPr fontId="39" type="noConversion"/>
  </si>
  <si>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</si>
  <si>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t>(6) 제3자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침해행위, (7) 규격·성능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변경, 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</si>
  <si>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도장·판금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작업이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경우: 30만원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~ 50만원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산정한다.</t>
    </r>
    <phoneticPr fontId="39" type="noConversion"/>
  </si>
  <si>
    <t>연대보증인</t>
    <phoneticPr fontId="39" type="noConversion"/>
  </si>
  <si>
    <t>계약자</t>
    <phoneticPr fontId="39" type="noConversion"/>
  </si>
  <si>
    <r>
      <rPr>
        <i/>
        <sz val="8"/>
        <color rgb="FF595959"/>
        <rFont val="맑은 고딕"/>
        <family val="3"/>
        <charset val="129"/>
      </rPr>
      <t>※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제출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서류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DejaVu Sans"/>
        <family val="3"/>
        <charset val="129"/>
      </rPr>
      <t xml:space="preserve">: </t>
    </r>
    <r>
      <rPr>
        <i/>
        <sz val="8"/>
        <color rgb="FF595959"/>
        <rFont val="맑은 고딕"/>
        <family val="3"/>
        <charset val="129"/>
      </rPr>
      <t>신분증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</t>
    </r>
    <phoneticPr fontId="39" type="noConversion"/>
  </si>
  <si>
    <r>
      <t>이륜차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할부판매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계약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이용약관</t>
    </r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</si>
</sst>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b/>
      <sz val="9"/>
      <color rgb="FFFFFFFF"/>
      <name val="DejaVu Sans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i/>
      <sz val="8"/>
      <color rgb="FF595959"/>
      <name val="DejaVu Sans"/>
      <family val="2"/>
    </font>
    <font>
      <i/>
      <sz val="8"/>
      <color rgb="FF595959"/>
      <name val="DejaVu Sans"/>
      <family val="3"/>
      <charset val="129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b/>
      <sz val="9"/>
      <color rgb="FF1F3864"/>
      <name val="DejaVu Sans"/>
      <family val="3"/>
      <charset val="129"/>
    </font>
    <font>
      <sz val="9"/>
      <color rgb="FF000000"/>
      <name val="DejaVu Sans"/>
      <family val="2"/>
    </font>
    <font>
      <sz val="9"/>
      <color rgb="FF000000"/>
      <name val="DejaVu Sans"/>
      <family val="3"/>
      <charset val="129"/>
    </font>
    <font>
      <b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color rgb="FF2B2B2B"/>
      <name val="DejaVu Sans"/>
      <family val="2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1"/>
      <charset val="129"/>
    </font>
    <font>
      <sz val="8"/>
      <color rgb="FF2B2B2B"/>
      <name val="DejaVu Sans"/>
      <family val="2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9"/>
      <color rgb="FFC00000"/>
      <name val="맑은 고딕"/>
      <family val="3"/>
      <charset val="129"/>
    </font>
    <font>
      <sz val="10"/>
      <color theme="1"/>
      <name val="Calibri"/>
      <family val="2"/>
      <charset val="1"/>
    </font>
    <font>
      <b/>
      <sz val="10"/>
      <name val="DejaVu Sans"/>
      <family val="2"/>
    </font>
    <font>
      <sz val="8"/>
      <color rgb="FF2B2B2B"/>
      <name val="DejaVu Sans"/>
      <family val="2"/>
      <charset val="1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b/>
      <sz val="9"/>
      <color rgb="FF1F3864"/>
      <name val="Arial"/>
      <family val="2"/>
    </font>
    <font>
      <i/>
      <sz val="8"/>
      <color rgb="FF595959"/>
      <name val="맑은 고딕"/>
      <family val="3"/>
      <charset val="129"/>
    </font>
    <font>
      <i/>
      <sz val="8"/>
      <color rgb="FF595959"/>
      <name val="Arial"/>
      <family val="2"/>
    </font>
    <font>
      <b/>
      <sz val="14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F7F9FC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 indent="1"/>
    </xf>
    <xf numFmtId="0" fontId="27" fillId="0" borderId="0" xfId="0" applyFont="1" applyAlignment="1">
      <alignment horizontal="left" vertical="top" wrapText="1" indent="1"/>
    </xf>
    <xf numFmtId="0" fontId="30" fillId="0" borderId="0" xfId="0" applyFont="1" applyAlignment="1">
      <alignment horizontal="left" vertical="top" wrapText="1" indent="1"/>
    </xf>
    <xf numFmtId="0" fontId="28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center" indent="1"/>
    </xf>
    <xf numFmtId="0" fontId="34" fillId="0" borderId="0" xfId="0" applyFont="1" applyAlignment="1">
      <alignment horizontal="left" vertical="center" indent="1"/>
    </xf>
    <xf numFmtId="0" fontId="35" fillId="0" borderId="0" xfId="0" applyFont="1" applyAlignment="1">
      <alignment horizontal="left" vertical="center" wrapText="1" indent="1"/>
    </xf>
    <xf numFmtId="0" fontId="36" fillId="0" borderId="0" xfId="0" applyFont="1"/>
    <xf numFmtId="0" fontId="37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8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42" fillId="0" borderId="0" xfId="0" applyFont="1" applyAlignment="1">
      <alignment horizontal="left" vertical="top" wrapText="1" indent="1"/>
    </xf>
    <xf numFmtId="0" fontId="21" fillId="6" borderId="0" xfId="0" applyFont="1" applyFill="1" applyAlignment="1">
      <alignment horizontal="left" vertical="center" wrapText="1" indent="1"/>
    </xf>
    <xf numFmtId="0" fontId="24" fillId="6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 indent="1"/>
    </xf>
    <xf numFmtId="0" fontId="25" fillId="5" borderId="1" xfId="0" applyFont="1" applyFill="1" applyBorder="1" applyAlignment="1">
      <alignment horizontal="left" vertical="center" wrapText="1" inden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 indent="1"/>
    </xf>
    <xf numFmtId="0" fontId="11" fillId="8" borderId="4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 indent="1"/>
    </xf>
    <xf numFmtId="0" fontId="18" fillId="5" borderId="1" xfId="0" applyFont="1" applyFill="1" applyBorder="1" applyAlignment="1">
      <alignment horizontal="left" vertical="center" wrapText="1" indent="1"/>
    </xf>
    <xf numFmtId="0" fontId="13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14" fillId="7" borderId="5" xfId="0" applyFont="1" applyFill="1" applyBorder="1" applyAlignment="1">
      <alignment horizontal="left" vertical="center" wrapText="1" indent="1"/>
    </xf>
    <xf numFmtId="0" fontId="14" fillId="7" borderId="6" xfId="0" applyFont="1" applyFill="1" applyBorder="1" applyAlignment="1">
      <alignment horizontal="left" vertical="center" wrapText="1" indent="1"/>
    </xf>
    <xf numFmtId="0" fontId="14" fillId="7" borderId="7" xfId="0" applyFont="1" applyFill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 indent="1"/>
    </xf>
    <xf numFmtId="0" fontId="11" fillId="5" borderId="0" xfId="0" applyFont="1" applyFill="1" applyAlignment="1">
      <alignment horizontal="righ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zoomScaleNormal="100" workbookViewId="0">
      <pane xSplit="1" ySplit="1" topLeftCell="B2" activePane="bottomRight" state="frozen"/>
      <selection pane="topRight" activeCell="R1" sqref="R1"/>
      <selection pane="bottomLeft" activeCell="A15" sqref="A15"/>
      <selection pane="bottomRight" activeCell="B2" sqref="B2"/>
    </sheetView>
  </sheetViews>
  <sheetFormatPr defaultColWidth="8.6640625" defaultRowHeight="14.4"/>
  <cols>
    <col min="1" max="30" width="18" customWidth="1"/>
  </cols>
  <sheetData>
    <row r="1" spans="1:30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30.75" customHeight="1">
      <c r="A2" s="3">
        <v>1</v>
      </c>
      <c r="B2" s="3" t="s">
        <v>30</v>
      </c>
      <c r="C2" s="3" t="s">
        <v>31</v>
      </c>
      <c r="D2" s="3" t="s">
        <v>32</v>
      </c>
      <c r="E2" s="4" t="s">
        <v>33</v>
      </c>
      <c r="F2" s="4" t="s">
        <v>34</v>
      </c>
      <c r="G2" s="3">
        <v>12000</v>
      </c>
      <c r="H2" s="3">
        <v>365</v>
      </c>
      <c r="I2" s="3">
        <v>300000</v>
      </c>
      <c r="J2" s="4" t="s">
        <v>35</v>
      </c>
      <c r="K2" s="3" t="s">
        <v>36</v>
      </c>
      <c r="L2" s="3" t="s">
        <v>37</v>
      </c>
      <c r="M2" s="3" t="s">
        <v>38</v>
      </c>
      <c r="N2" s="4" t="s">
        <v>39</v>
      </c>
      <c r="O2" s="4" t="s">
        <v>40</v>
      </c>
      <c r="P2" s="3" t="s">
        <v>41</v>
      </c>
      <c r="Q2" s="4" t="s">
        <v>42</v>
      </c>
      <c r="R2" s="3" t="s">
        <v>43</v>
      </c>
      <c r="S2" s="3" t="s">
        <v>44</v>
      </c>
      <c r="T2" s="4" t="s">
        <v>45</v>
      </c>
      <c r="U2" s="3" t="s">
        <v>46</v>
      </c>
      <c r="V2" s="3" t="s">
        <v>47</v>
      </c>
      <c r="W2" s="4" t="s">
        <v>48</v>
      </c>
      <c r="X2" s="4" t="s">
        <v>49</v>
      </c>
      <c r="Y2" s="3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</row>
  </sheetData>
  <phoneticPr fontId="3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8"/>
  <sheetViews>
    <sheetView topLeftCell="A36" zoomScaleNormal="100" workbookViewId="0">
      <selection activeCell="B12" sqref="B12:J12"/>
    </sheetView>
  </sheetViews>
  <sheetFormatPr defaultColWidth="8.6640625" defaultRowHeight="14.4"/>
  <cols>
    <col min="1" max="1" width="1.5546875" customWidth="1"/>
    <col min="2" max="3" width="10" customWidth="1"/>
    <col min="4" max="4" width="17.44140625" customWidth="1"/>
    <col min="5" max="5" width="11" customWidth="1"/>
    <col min="6" max="6" width="16" customWidth="1"/>
    <col min="7" max="7" width="10" customWidth="1"/>
    <col min="8" max="8" width="16" customWidth="1"/>
    <col min="9" max="9" width="10" customWidth="1"/>
    <col min="10" max="10" width="20.5546875" customWidth="1"/>
    <col min="11" max="11" width="2.109375" customWidth="1"/>
    <col min="12" max="12" width="6" customWidth="1"/>
  </cols>
  <sheetData>
    <row r="1" spans="1:12" ht="7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6" t="s">
        <v>56</v>
      </c>
    </row>
    <row r="2" spans="1:12" ht="48" customHeight="1">
      <c r="A2" s="5"/>
      <c r="B2" s="47" t="s">
        <v>57</v>
      </c>
      <c r="C2" s="47"/>
      <c r="D2" s="47"/>
      <c r="E2" s="47"/>
      <c r="F2" s="47"/>
      <c r="G2" s="47"/>
      <c r="H2" s="47"/>
      <c r="I2" s="47"/>
      <c r="J2" s="47"/>
      <c r="K2" s="5"/>
      <c r="L2" s="7">
        <v>1</v>
      </c>
    </row>
    <row r="3" spans="1:12" ht="24" customHeight="1">
      <c r="A3" s="5"/>
      <c r="B3" s="48" t="s">
        <v>58</v>
      </c>
      <c r="C3" s="48"/>
      <c r="D3" s="48"/>
      <c r="E3" s="48"/>
      <c r="F3" s="49" t="s">
        <v>0</v>
      </c>
      <c r="G3" s="49"/>
      <c r="H3" s="49"/>
      <c r="I3" s="50" t="str">
        <f>IFERROR(TEXT($L$2,"0000"),"")</f>
        <v>0001</v>
      </c>
      <c r="J3" s="50"/>
      <c r="K3" s="5"/>
      <c r="L3" s="5"/>
    </row>
    <row r="4" spans="1:12" ht="7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5.5" customHeight="1">
      <c r="A5" s="5"/>
      <c r="B5" s="24" t="s">
        <v>59</v>
      </c>
      <c r="C5" s="24"/>
      <c r="D5" s="24"/>
      <c r="E5" s="24"/>
      <c r="F5" s="24"/>
      <c r="G5" s="24"/>
      <c r="H5" s="24"/>
      <c r="I5" s="24"/>
      <c r="J5" s="24"/>
      <c r="K5" s="5"/>
      <c r="L5" s="5"/>
    </row>
    <row r="6" spans="1:12" ht="21.75" customHeight="1">
      <c r="A6" s="5"/>
      <c r="B6" s="1" t="s">
        <v>2</v>
      </c>
      <c r="C6" s="41" t="str">
        <f>IFERROR(IF(VLOOKUP($L$2,계약리스트!$A$2:$AD$10000,3,0)="","",VLOOKUP($L$2,계약리스트!$A$2:$AD$10000,3,0)),"")</f>
        <v>PCX125</v>
      </c>
      <c r="D6" s="41"/>
      <c r="E6" s="1" t="s">
        <v>4</v>
      </c>
      <c r="F6" s="41" t="str">
        <f>IFERROR(IF(VLOOKUP($L$2,계약리스트!$A$2:$AD$10000,5,0)="","",VLOOKUP($L$2,계약리스트!$A$2:$AD$10000,5,0)),"")</f>
        <v>서울바1234</v>
      </c>
      <c r="G6" s="41"/>
      <c r="H6" s="1" t="s">
        <v>5</v>
      </c>
      <c r="I6" s="41" t="str">
        <f>IFERROR(IF(VLOOKUP($L$2,계약리스트!$A$2:$AD$10000,6,0)="","",VLOOKUP($L$2,계약리스트!$A$2:$AD$10000,6,0)),"")</f>
        <v>블랙</v>
      </c>
      <c r="J6" s="41"/>
      <c r="K6" s="5"/>
      <c r="L6" s="5"/>
    </row>
    <row r="7" spans="1:12" ht="21.75" customHeight="1">
      <c r="A7" s="5"/>
      <c r="B7" s="1" t="s">
        <v>3</v>
      </c>
      <c r="C7" s="41" t="str">
        <f>IFERROR(IF(VLOOKUP($L$2,계약리스트!$A$2:$AD$10000,4,0)="","",VLOOKUP($L$2,계약리스트!$A$2:$AD$10000,4,0)),"")</f>
        <v>MLHJF81H2ST000001</v>
      </c>
      <c r="D7" s="41"/>
      <c r="E7" s="1" t="s">
        <v>60</v>
      </c>
      <c r="F7" s="40" t="s">
        <v>61</v>
      </c>
      <c r="G7" s="40"/>
      <c r="H7" s="1" t="s">
        <v>1</v>
      </c>
      <c r="I7" s="41" t="str">
        <f>IFERROR(IF(VLOOKUP($L$2,계약리스트!$A$2:$AD$10000,2,0)="","",VLOOKUP($L$2,계약리스트!$A$2:$AD$10000,2,0)),"")</f>
        <v>2026-04-23</v>
      </c>
      <c r="J7" s="41"/>
      <c r="K7" s="5"/>
      <c r="L7" s="5"/>
    </row>
    <row r="8" spans="1:12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25.5" customHeight="1">
      <c r="A9" s="5"/>
      <c r="B9" s="24" t="s">
        <v>62</v>
      </c>
      <c r="C9" s="24"/>
      <c r="D9" s="24"/>
      <c r="E9" s="24"/>
      <c r="F9" s="24"/>
      <c r="G9" s="24"/>
      <c r="H9" s="24"/>
      <c r="I9" s="24"/>
      <c r="J9" s="24"/>
      <c r="K9" s="5"/>
      <c r="L9" s="5"/>
    </row>
    <row r="10" spans="1:12" ht="21.75" customHeight="1">
      <c r="A10" s="5"/>
      <c r="B10" s="1" t="s">
        <v>63</v>
      </c>
      <c r="C10" s="41" t="str">
        <f>IFERROR(IF(VLOOKUP($L$2,계약리스트!$A$2:$AD$10000,10,0)="","",VLOOKUP($L$2,계약리스트!$A$2:$AD$10000,10,0)),"")</f>
        <v>홍길동</v>
      </c>
      <c r="D10" s="41"/>
      <c r="E10" s="1" t="s">
        <v>64</v>
      </c>
      <c r="F10" s="41" t="str">
        <f>IFERROR(IF(VLOOKUP($L$2,계약리스트!$A$2:$AD$10000,11,0)="","",VLOOKUP($L$2,계약리스트!$A$2:$AD$10000,11,0)),"")</f>
        <v>900101-1234567</v>
      </c>
      <c r="G10" s="41"/>
      <c r="H10" s="1" t="s">
        <v>65</v>
      </c>
      <c r="I10" s="41" t="str">
        <f>IFERROR(IF(VLOOKUP($L$2,계약리스트!$A$2:$AD$10000,12,0)="","",VLOOKUP($L$2,계약리스트!$A$2:$AD$10000,12,0)),"")</f>
        <v>010-1234-5678</v>
      </c>
      <c r="J10" s="41"/>
      <c r="K10" s="5"/>
      <c r="L10" s="5"/>
    </row>
    <row r="11" spans="1:12" ht="21.75" customHeight="1">
      <c r="A11" s="5"/>
      <c r="B11" s="1" t="s">
        <v>66</v>
      </c>
      <c r="C11" s="40" t="str">
        <f>IFERROR(IF(VLOOKUP($L$2,계약리스트!$A$2:$AD$10000,14,0)="","",VLOOKUP($L$2,계약리스트!$A$2:$AD$10000,14,0)),"")</f>
        <v>서울시 강남구 테헤란로 123</v>
      </c>
      <c r="D11" s="40"/>
      <c r="E11" s="40"/>
      <c r="F11" s="40"/>
      <c r="G11" s="40"/>
      <c r="H11" s="40"/>
      <c r="I11" s="40"/>
      <c r="J11" s="40"/>
      <c r="K11" s="5"/>
      <c r="L11" s="5"/>
    </row>
    <row r="12" spans="1:12" ht="19.5" customHeight="1">
      <c r="A12" s="5"/>
      <c r="B12" s="45" t="s">
        <v>349</v>
      </c>
      <c r="C12" s="46"/>
      <c r="D12" s="46"/>
      <c r="E12" s="46"/>
      <c r="F12" s="46"/>
      <c r="G12" s="46"/>
      <c r="H12" s="46"/>
      <c r="I12" s="46"/>
      <c r="J12" s="46"/>
      <c r="K12" s="5"/>
      <c r="L12" s="5"/>
    </row>
    <row r="13" spans="1:12" ht="7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25.5" customHeight="1">
      <c r="A14" s="5"/>
      <c r="B14" s="24" t="s">
        <v>67</v>
      </c>
      <c r="C14" s="24"/>
      <c r="D14" s="24"/>
      <c r="E14" s="24"/>
      <c r="F14" s="24"/>
      <c r="G14" s="24"/>
      <c r="H14" s="24"/>
      <c r="I14" s="24"/>
      <c r="J14" s="24"/>
      <c r="K14" s="5"/>
      <c r="L14" s="5"/>
    </row>
    <row r="15" spans="1:12" ht="21.75" customHeight="1">
      <c r="A15" s="5"/>
      <c r="B15" s="1" t="s">
        <v>68</v>
      </c>
      <c r="C15" s="41" t="str">
        <f>IFERROR(IF(VLOOKUP($L$2,계약리스트!$A$2:$AD$10000,18,0)="","",VLOOKUP($L$2,계약리스트!$A$2:$AD$10000,18,0)),"")</f>
        <v>(주)퀵배달</v>
      </c>
      <c r="D15" s="41"/>
      <c r="E15" s="1" t="s">
        <v>69</v>
      </c>
      <c r="F15" s="41" t="str">
        <f>IFERROR(IF(VLOOKUP($L$2,계약리스트!$A$2:$AD$10000,19,0)="","",VLOOKUP($L$2,계약리스트!$A$2:$AD$10000,19,0)),"")</f>
        <v>123-45-67890</v>
      </c>
      <c r="G15" s="41"/>
      <c r="H15" s="1" t="s">
        <v>70</v>
      </c>
      <c r="I15" s="41" t="str">
        <f>IFERROR(IF(VLOOKUP($L$2,계약리스트!$A$2:$AD$10000,25,0)="","",VLOOKUP($L$2,계약리스트!$A$2:$AD$10000,25,0)),"")</f>
        <v>biz@example.com</v>
      </c>
      <c r="J15" s="41"/>
      <c r="K15" s="5"/>
      <c r="L15" s="5"/>
    </row>
    <row r="16" spans="1:12" ht="21.75" customHeight="1">
      <c r="A16" s="5"/>
      <c r="B16" s="1" t="s">
        <v>71</v>
      </c>
      <c r="C16" s="41" t="str">
        <f>IFERROR(IF(VLOOKUP($L$2,계약리스트!$A$2:$AD$10000,20,0)="","",VLOOKUP($L$2,계약리스트!$A$2:$AD$10000,20,0)),"")</f>
        <v>김대표</v>
      </c>
      <c r="D16" s="41"/>
      <c r="E16" s="1" t="s">
        <v>72</v>
      </c>
      <c r="F16" s="41" t="str">
        <f>IFERROR(IF(VLOOKUP($L$2,계약리스트!$A$2:$AD$10000,21,0)="","",VLOOKUP($L$2,계약리스트!$A$2:$AD$10000,21,0)),"")</f>
        <v>700101-1234567</v>
      </c>
      <c r="G16" s="41"/>
      <c r="H16" s="1" t="s">
        <v>73</v>
      </c>
      <c r="I16" s="41" t="str">
        <f>IFERROR(IF(VLOOKUP($L$2,계약리스트!$A$2:$AD$10000,22,0)="","",VLOOKUP($L$2,계약리스트!$A$2:$AD$10000,22,0)),"")</f>
        <v>010-9876-5432</v>
      </c>
      <c r="J16" s="41"/>
      <c r="K16" s="5"/>
      <c r="L16" s="5"/>
    </row>
    <row r="17" spans="1:12" ht="21.75" customHeight="1">
      <c r="A17" s="5"/>
      <c r="B17" s="1" t="s">
        <v>74</v>
      </c>
      <c r="C17" s="40" t="str">
        <f>IFERROR(IF(VLOOKUP($L$2,계약리스트!$A$2:$AD$10000,23,0)="","",VLOOKUP($L$2,계약리스트!$A$2:$AD$10000,23,0)),"")</f>
        <v>서울시 강남구 봉은사로 100</v>
      </c>
      <c r="D17" s="40"/>
      <c r="E17" s="40"/>
      <c r="F17" s="40"/>
      <c r="G17" s="40"/>
      <c r="H17" s="40"/>
      <c r="I17" s="40"/>
      <c r="J17" s="40"/>
      <c r="K17" s="5"/>
      <c r="L17" s="5"/>
    </row>
    <row r="18" spans="1:12" ht="21.75" customHeight="1">
      <c r="A18" s="5"/>
      <c r="B18" s="1" t="s">
        <v>75</v>
      </c>
      <c r="C18" s="40" t="str">
        <f>IFERROR(IF(VLOOKUP($L$2,계약리스트!$A$2:$AD$10000,24,0)="","",VLOOKUP($L$2,계약리스트!$A$2:$AD$10000,24,0)),"")</f>
        <v>서울시 송파구 잠실동 200</v>
      </c>
      <c r="D18" s="40"/>
      <c r="E18" s="40"/>
      <c r="F18" s="40"/>
      <c r="G18" s="40"/>
      <c r="H18" s="40"/>
      <c r="I18" s="40"/>
      <c r="J18" s="40"/>
      <c r="K18" s="5"/>
      <c r="L18" s="5"/>
    </row>
    <row r="19" spans="1:12" ht="21.75" customHeight="1">
      <c r="A19" s="5"/>
      <c r="B19" s="42" t="str">
        <f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43"/>
      <c r="D19" s="43"/>
      <c r="E19" s="43"/>
      <c r="F19" s="43"/>
      <c r="G19" s="43"/>
      <c r="H19" s="43"/>
      <c r="I19" s="43"/>
      <c r="J19" s="44"/>
      <c r="K19" s="5"/>
      <c r="L19" s="5"/>
    </row>
    <row r="20" spans="1:12" ht="7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25.5" customHeight="1">
      <c r="A21" s="5"/>
      <c r="B21" s="24" t="s">
        <v>76</v>
      </c>
      <c r="C21" s="24"/>
      <c r="D21" s="24"/>
      <c r="E21" s="24"/>
      <c r="F21" s="24"/>
      <c r="G21" s="24"/>
      <c r="H21" s="24"/>
      <c r="I21" s="24"/>
      <c r="J21" s="24"/>
      <c r="K21" s="5"/>
      <c r="L21" s="5"/>
    </row>
    <row r="22" spans="1:12" ht="21.75" customHeight="1">
      <c r="A22" s="5"/>
      <c r="B22" s="1" t="s">
        <v>25</v>
      </c>
      <c r="C22" s="41" t="str">
        <f>IFERROR(IF(VLOOKUP($L$2,계약리스트!$A$2:$AD$10000,26,0)="","",VLOOKUP($L$2,계약리스트!$A$2:$AD$10000,26,0)),"")</f>
        <v>할부 판매</v>
      </c>
      <c r="D22" s="41"/>
      <c r="E22" s="1" t="s">
        <v>26</v>
      </c>
      <c r="F22" s="41" t="str">
        <f>IFERROR(IF(VLOOKUP($L$2,계약리스트!$A$2:$AD$10000,27,0)="","",VLOOKUP($L$2,계약리스트!$A$2:$AD$10000,27,0)),"")</f>
        <v>인수형</v>
      </c>
      <c r="G22" s="41"/>
      <c r="H22" s="1" t="s">
        <v>77</v>
      </c>
      <c r="I22" s="41" t="str">
        <f>IFERROR(VLOOKUP($L$2,계약리스트!$A$2:$AD$10000,8,0)&amp;"일","")</f>
        <v>365일</v>
      </c>
      <c r="J22" s="41"/>
      <c r="K22" s="5"/>
      <c r="L22" s="5"/>
    </row>
    <row r="23" spans="1:12" ht="21.75" customHeight="1">
      <c r="A23" s="5"/>
      <c r="B23" s="1" t="s">
        <v>78</v>
      </c>
      <c r="C23" s="41" t="str">
        <f>IFERROR(TEXT(VLOOKUP($L$2,계약리스트!$A$2:$AD$10000,7,0),"#,##0")&amp;" 원","")</f>
        <v>12,000 원</v>
      </c>
      <c r="D23" s="41"/>
      <c r="E23" s="1" t="s">
        <v>8</v>
      </c>
      <c r="F23" s="41" t="str">
        <f>IFERROR(TEXT(VLOOKUP($L$2,계약리스트!$A$2:$AD$10000,9,0),"#,##0")&amp;" 원","")</f>
        <v>300,000 원</v>
      </c>
      <c r="G23" s="41"/>
      <c r="H23" s="1" t="s">
        <v>29</v>
      </c>
      <c r="I23" s="41" t="str">
        <f>IFERROR(IF(VLOOKUP($L$2,계약리스트!$A$2:$AD$10000,30,0)="","",VLOOKUP($L$2,계약리스트!$A$2:$AD$10000,30,0)),"")</f>
        <v>월2회(15일, 말일)</v>
      </c>
      <c r="J23" s="41"/>
      <c r="K23" s="5"/>
      <c r="L23" s="5"/>
    </row>
    <row r="24" spans="1:12" ht="21.75" customHeight="1">
      <c r="A24" s="5"/>
      <c r="B24" s="1" t="s">
        <v>27</v>
      </c>
      <c r="C24" s="40" t="s">
        <v>53</v>
      </c>
      <c r="D24" s="40"/>
      <c r="E24" s="1" t="s">
        <v>79</v>
      </c>
      <c r="F24" s="40" t="s">
        <v>80</v>
      </c>
      <c r="G24" s="40"/>
      <c r="H24" s="40"/>
      <c r="I24" s="40"/>
      <c r="J24" s="40"/>
      <c r="K24" s="5"/>
      <c r="L24" s="5"/>
    </row>
    <row r="25" spans="1:12" ht="21.75" customHeight="1">
      <c r="A25" s="5"/>
      <c r="B25" s="1" t="s">
        <v>28</v>
      </c>
      <c r="C25" s="40" t="s">
        <v>54</v>
      </c>
      <c r="D25" s="40"/>
      <c r="E25" s="40"/>
      <c r="F25" s="40"/>
      <c r="G25" s="40"/>
      <c r="H25" s="40"/>
      <c r="I25" s="40"/>
      <c r="J25" s="40"/>
      <c r="K25" s="5"/>
      <c r="L25" s="5"/>
    </row>
    <row r="26" spans="1:12" ht="7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5.5" customHeight="1">
      <c r="A27" s="5"/>
      <c r="B27" s="24" t="s">
        <v>81</v>
      </c>
      <c r="C27" s="24"/>
      <c r="D27" s="24"/>
      <c r="E27" s="24"/>
      <c r="F27" s="24"/>
      <c r="G27" s="24"/>
      <c r="H27" s="24"/>
      <c r="I27" s="24"/>
      <c r="J27" s="24"/>
      <c r="K27" s="5"/>
      <c r="L27" s="5"/>
    </row>
    <row r="28" spans="1:12" ht="21.75" customHeight="1">
      <c r="A28" s="5"/>
      <c r="B28" s="1" t="s">
        <v>82</v>
      </c>
      <c r="C28" s="40" t="s">
        <v>58</v>
      </c>
      <c r="D28" s="40"/>
      <c r="E28" s="1" t="s">
        <v>69</v>
      </c>
      <c r="F28" s="41" t="s">
        <v>83</v>
      </c>
      <c r="G28" s="41"/>
      <c r="H28" s="1" t="s">
        <v>84</v>
      </c>
      <c r="I28" s="40" t="s">
        <v>85</v>
      </c>
      <c r="J28" s="40"/>
      <c r="K28" s="5"/>
      <c r="L28" s="5"/>
    </row>
    <row r="29" spans="1:12" ht="21.75" customHeight="1">
      <c r="A29" s="5"/>
      <c r="B29" s="1" t="s">
        <v>66</v>
      </c>
      <c r="C29" s="40" t="s">
        <v>86</v>
      </c>
      <c r="D29" s="40"/>
      <c r="E29" s="40"/>
      <c r="F29" s="40"/>
      <c r="G29" s="1" t="s">
        <v>87</v>
      </c>
      <c r="H29" s="41" t="s">
        <v>88</v>
      </c>
      <c r="I29" s="41"/>
      <c r="J29" s="41"/>
      <c r="K29" s="5"/>
      <c r="L29" s="5"/>
    </row>
    <row r="30" spans="1:12" ht="7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25.5" customHeight="1">
      <c r="A31" s="5"/>
      <c r="B31" s="24" t="s">
        <v>89</v>
      </c>
      <c r="C31" s="24"/>
      <c r="D31" s="24"/>
      <c r="E31" s="24"/>
      <c r="F31" s="24"/>
      <c r="G31" s="24"/>
      <c r="H31" s="24"/>
      <c r="I31" s="24"/>
      <c r="J31" s="24"/>
      <c r="K31" s="5"/>
      <c r="L31" s="5"/>
    </row>
    <row r="32" spans="1:12" ht="27.75" customHeight="1">
      <c r="A32" s="5"/>
      <c r="B32" s="37" t="s">
        <v>90</v>
      </c>
      <c r="C32" s="37"/>
      <c r="D32" s="37"/>
      <c r="E32" s="37"/>
      <c r="F32" s="37"/>
      <c r="G32" s="37"/>
      <c r="H32" s="37"/>
      <c r="I32" s="37"/>
      <c r="J32" s="37"/>
      <c r="K32" s="5"/>
      <c r="L32" s="5"/>
    </row>
    <row r="33" spans="1:12" ht="27.75" customHeight="1">
      <c r="A33" s="5"/>
      <c r="B33" s="38" t="s">
        <v>91</v>
      </c>
      <c r="C33" s="38"/>
      <c r="D33" s="38"/>
      <c r="E33" s="38"/>
      <c r="F33" s="38"/>
      <c r="G33" s="38"/>
      <c r="H33" s="38"/>
      <c r="I33" s="38"/>
      <c r="J33" s="38"/>
      <c r="K33" s="5"/>
      <c r="L33" s="5"/>
    </row>
    <row r="34" spans="1:12" ht="27.75" customHeight="1">
      <c r="A34" s="5"/>
      <c r="B34" s="37" t="s">
        <v>92</v>
      </c>
      <c r="C34" s="37"/>
      <c r="D34" s="37"/>
      <c r="E34" s="37"/>
      <c r="F34" s="37"/>
      <c r="G34" s="37"/>
      <c r="H34" s="37"/>
      <c r="I34" s="37"/>
      <c r="J34" s="37"/>
      <c r="K34" s="5"/>
      <c r="L34" s="5"/>
    </row>
    <row r="35" spans="1:12" ht="27.75" customHeight="1">
      <c r="A35" s="5"/>
      <c r="B35" s="38" t="s">
        <v>93</v>
      </c>
      <c r="C35" s="38"/>
      <c r="D35" s="38"/>
      <c r="E35" s="38"/>
      <c r="F35" s="38"/>
      <c r="G35" s="38"/>
      <c r="H35" s="38"/>
      <c r="I35" s="38"/>
      <c r="J35" s="38"/>
      <c r="K35" s="5"/>
      <c r="L35" s="5"/>
    </row>
    <row r="36" spans="1:12" ht="27.75" customHeight="1">
      <c r="A36" s="5"/>
      <c r="B36" s="37" t="s">
        <v>94</v>
      </c>
      <c r="C36" s="37"/>
      <c r="D36" s="37"/>
      <c r="E36" s="37"/>
      <c r="F36" s="37"/>
      <c r="G36" s="37"/>
      <c r="H36" s="37"/>
      <c r="I36" s="37"/>
      <c r="J36" s="37"/>
      <c r="K36" s="5"/>
      <c r="L36" s="5"/>
    </row>
    <row r="37" spans="1:12" ht="7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5.5" customHeight="1">
      <c r="A38" s="5"/>
      <c r="B38" s="39" t="s">
        <v>95</v>
      </c>
      <c r="C38" s="39"/>
      <c r="D38" s="39"/>
      <c r="E38" s="39"/>
      <c r="F38" s="39"/>
      <c r="G38" s="39"/>
      <c r="H38" s="39"/>
      <c r="I38" s="39"/>
      <c r="J38" s="39"/>
      <c r="K38" s="5"/>
      <c r="L38" s="5"/>
    </row>
    <row r="39" spans="1:12" ht="27.75" customHeight="1">
      <c r="A39" s="5"/>
      <c r="B39" s="34" t="s">
        <v>96</v>
      </c>
      <c r="C39" s="34"/>
      <c r="D39" s="35" t="s">
        <v>97</v>
      </c>
      <c r="E39" s="35"/>
      <c r="F39" s="35"/>
      <c r="G39" s="35"/>
      <c r="H39" s="35"/>
      <c r="I39" s="35"/>
      <c r="J39" s="35"/>
      <c r="K39" s="5"/>
      <c r="L39" s="5"/>
    </row>
    <row r="40" spans="1:12" ht="27.75" customHeight="1">
      <c r="A40" s="5"/>
      <c r="B40" s="34" t="s">
        <v>98</v>
      </c>
      <c r="C40" s="34"/>
      <c r="D40" s="35" t="s">
        <v>99</v>
      </c>
      <c r="E40" s="35"/>
      <c r="F40" s="35"/>
      <c r="G40" s="35"/>
      <c r="H40" s="35"/>
      <c r="I40" s="35"/>
      <c r="J40" s="35"/>
      <c r="K40" s="5"/>
      <c r="L40" s="5"/>
    </row>
    <row r="41" spans="1:12" ht="27.75" customHeight="1">
      <c r="A41" s="5"/>
      <c r="B41" s="34" t="s">
        <v>100</v>
      </c>
      <c r="C41" s="34"/>
      <c r="D41" s="35" t="s">
        <v>101</v>
      </c>
      <c r="E41" s="35"/>
      <c r="F41" s="35"/>
      <c r="G41" s="35"/>
      <c r="H41" s="35"/>
      <c r="I41" s="35"/>
      <c r="J41" s="35"/>
      <c r="K41" s="5"/>
      <c r="L41" s="5"/>
    </row>
    <row r="42" spans="1:12" ht="27.75" customHeight="1">
      <c r="A42" s="5"/>
      <c r="B42" s="34" t="s">
        <v>102</v>
      </c>
      <c r="C42" s="34"/>
      <c r="D42" s="35" t="s">
        <v>103</v>
      </c>
      <c r="E42" s="35"/>
      <c r="F42" s="35"/>
      <c r="G42" s="35"/>
      <c r="H42" s="35"/>
      <c r="I42" s="35"/>
      <c r="J42" s="35"/>
      <c r="K42" s="5"/>
      <c r="L42" s="5"/>
    </row>
    <row r="43" spans="1:12" ht="27.75" customHeight="1">
      <c r="A43" s="5"/>
      <c r="B43" s="34" t="s">
        <v>104</v>
      </c>
      <c r="C43" s="34"/>
      <c r="D43" s="35" t="s">
        <v>105</v>
      </c>
      <c r="E43" s="35"/>
      <c r="F43" s="35"/>
      <c r="G43" s="35"/>
      <c r="H43" s="35"/>
      <c r="I43" s="35"/>
      <c r="J43" s="35"/>
      <c r="K43" s="5"/>
      <c r="L43" s="5"/>
    </row>
    <row r="44" spans="1:12" ht="27.75" customHeight="1">
      <c r="A44" s="5"/>
      <c r="B44" s="34" t="s">
        <v>106</v>
      </c>
      <c r="C44" s="34"/>
      <c r="D44" s="35" t="s">
        <v>107</v>
      </c>
      <c r="E44" s="35"/>
      <c r="F44" s="35"/>
      <c r="G44" s="35"/>
      <c r="H44" s="35"/>
      <c r="I44" s="35"/>
      <c r="J44" s="35"/>
      <c r="K44" s="5"/>
      <c r="L44" s="5"/>
    </row>
    <row r="45" spans="1:12" ht="25.5" customHeight="1">
      <c r="A45" s="5"/>
      <c r="B45" s="36" t="s">
        <v>108</v>
      </c>
      <c r="C45" s="36"/>
      <c r="D45" s="36"/>
      <c r="E45" s="36"/>
      <c r="F45" s="36"/>
      <c r="G45" s="36"/>
      <c r="H45" s="36"/>
      <c r="I45" s="36"/>
      <c r="J45" s="36"/>
      <c r="K45" s="5"/>
      <c r="L45" s="5"/>
    </row>
    <row r="46" spans="1:12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25.5" customHeight="1">
      <c r="A47" s="5"/>
      <c r="B47" s="24" t="s">
        <v>109</v>
      </c>
      <c r="C47" s="24"/>
      <c r="D47" s="24"/>
      <c r="E47" s="24"/>
      <c r="F47" s="24"/>
      <c r="G47" s="24"/>
      <c r="H47" s="24"/>
      <c r="I47" s="24"/>
      <c r="J47" s="24"/>
      <c r="K47" s="5"/>
      <c r="L47" s="5"/>
    </row>
    <row r="48" spans="1:12" ht="31.5" customHeight="1">
      <c r="A48" s="5"/>
      <c r="B48" s="25" t="s">
        <v>110</v>
      </c>
      <c r="C48" s="25"/>
      <c r="D48" s="25"/>
      <c r="E48" s="25"/>
      <c r="F48" s="25"/>
      <c r="G48" s="25"/>
      <c r="H48" s="25"/>
      <c r="I48" s="25"/>
      <c r="J48" s="25"/>
      <c r="K48" s="5"/>
      <c r="L48" s="5"/>
    </row>
    <row r="49" spans="1:12" ht="48" customHeight="1">
      <c r="A49" s="5"/>
      <c r="B49" s="23" t="s">
        <v>348</v>
      </c>
      <c r="C49" s="26" t="str">
        <f>IFERROR(IF(VLOOKUP($L$2,계약리스트!$A$2:$AD$10000,10,0)="","",VLOOKUP($L$2,계약리스트!$A$2:$AD$10000,10,0)),"")</f>
        <v>홍길동</v>
      </c>
      <c r="D49" s="26"/>
      <c r="E49" s="26"/>
      <c r="F49" s="8" t="s">
        <v>111</v>
      </c>
      <c r="G49" s="23" t="s">
        <v>347</v>
      </c>
      <c r="H49" s="27" t="str">
        <f>IFERROR(IF(VLOOKUP($L$2,계약리스트!$A$2:$AD$10000,18,0)="","",VLOOKUP($L$2,계약리스트!$A$2:$AD$10000,18,0)),"")</f>
        <v>(주)퀵배달</v>
      </c>
      <c r="I49" s="27"/>
      <c r="J49" s="8" t="s">
        <v>111</v>
      </c>
      <c r="K49" s="5"/>
      <c r="L49" s="5"/>
    </row>
    <row r="50" spans="1:12" ht="24" customHeight="1">
      <c r="A50" s="5"/>
      <c r="B50" s="28" t="s">
        <v>112</v>
      </c>
      <c r="C50" s="29"/>
      <c r="D50" s="29"/>
      <c r="E50" s="30"/>
      <c r="F50" s="31" t="s">
        <v>58</v>
      </c>
      <c r="G50" s="32"/>
      <c r="H50" s="32"/>
      <c r="I50" s="33"/>
      <c r="J50" s="8" t="s">
        <v>111</v>
      </c>
      <c r="K50" s="5"/>
      <c r="L50" s="5"/>
    </row>
    <row r="51" spans="1:12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</sheetData>
  <mergeCells count="69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B9:J9"/>
    <mergeCell ref="C10:D10"/>
    <mergeCell ref="F10:G10"/>
    <mergeCell ref="I10:J10"/>
    <mergeCell ref="C11:J11"/>
    <mergeCell ref="B12:J12"/>
    <mergeCell ref="B14:J14"/>
    <mergeCell ref="C15:D15"/>
    <mergeCell ref="F15:G15"/>
    <mergeCell ref="I15:J15"/>
    <mergeCell ref="C16:D16"/>
    <mergeCell ref="F16:G16"/>
    <mergeCell ref="I16:J16"/>
    <mergeCell ref="C17:J17"/>
    <mergeCell ref="C18:J18"/>
    <mergeCell ref="B19:J19"/>
    <mergeCell ref="B21:J21"/>
    <mergeCell ref="C22:D22"/>
    <mergeCell ref="F22:G22"/>
    <mergeCell ref="I22:J22"/>
    <mergeCell ref="C23:D23"/>
    <mergeCell ref="F23:G23"/>
    <mergeCell ref="I23:J23"/>
    <mergeCell ref="C24:D24"/>
    <mergeCell ref="F24:J24"/>
    <mergeCell ref="C25:J25"/>
    <mergeCell ref="B27:J27"/>
    <mergeCell ref="C28:D28"/>
    <mergeCell ref="F28:G28"/>
    <mergeCell ref="I28:J28"/>
    <mergeCell ref="C29:F29"/>
    <mergeCell ref="H29:J29"/>
    <mergeCell ref="B31:J31"/>
    <mergeCell ref="B32:J32"/>
    <mergeCell ref="B33:J33"/>
    <mergeCell ref="B34:J34"/>
    <mergeCell ref="B35:J35"/>
    <mergeCell ref="B36:J36"/>
    <mergeCell ref="B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J45"/>
    <mergeCell ref="B47:J47"/>
    <mergeCell ref="B48:J48"/>
    <mergeCell ref="C49:E49"/>
    <mergeCell ref="H49:I49"/>
    <mergeCell ref="B50:E50"/>
    <mergeCell ref="F50:I50"/>
  </mergeCells>
  <phoneticPr fontId="39" type="noConversion"/>
  <printOptions horizontalCentered="1"/>
  <pageMargins left="0.3" right="0.3" top="0.4" bottom="0.4" header="0.511811023622047" footer="0.511811023622047"/>
  <pageSetup paperSize="9" scale="6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97"/>
  <sheetViews>
    <sheetView showGridLines="0" tabSelected="1" view="pageBreakPreview" zoomScale="130" zoomScaleNormal="100" zoomScaleSheetLayoutView="130" zoomScalePageLayoutView="145" workbookViewId="0">
      <selection activeCell="D20" sqref="D20"/>
    </sheetView>
  </sheetViews>
  <sheetFormatPr defaultColWidth="8.6640625" defaultRowHeight="14.4"/>
  <cols>
    <col min="1" max="1" width="2" customWidth="1"/>
    <col min="2" max="2" width="61.109375" customWidth="1"/>
    <col min="3" max="3" width="1.5546875" customWidth="1"/>
    <col min="4" max="4" width="61.109375" customWidth="1"/>
    <col min="5" max="5" width="2" customWidth="1"/>
  </cols>
  <sheetData>
    <row r="1" spans="2:4" ht="31.5" customHeight="1">
      <c r="B1" s="51" t="s">
        <v>350</v>
      </c>
      <c r="C1" s="51"/>
      <c r="D1" s="51"/>
    </row>
    <row r="3" spans="2:4" ht="14.25" customHeight="1">
      <c r="B3" s="9" t="s">
        <v>113</v>
      </c>
      <c r="D3" s="21" t="s">
        <v>234</v>
      </c>
    </row>
    <row r="4" spans="2:4" ht="14.25" customHeight="1">
      <c r="B4" s="20" t="s">
        <v>130</v>
      </c>
      <c r="D4" s="20" t="s">
        <v>235</v>
      </c>
    </row>
    <row r="5" spans="2:4" ht="14.25" customHeight="1">
      <c r="B5" s="10" t="s">
        <v>131</v>
      </c>
      <c r="D5" s="20" t="s">
        <v>236</v>
      </c>
    </row>
    <row r="6" spans="2:4" ht="14.25" customHeight="1">
      <c r="B6" s="10"/>
      <c r="D6" s="20" t="s">
        <v>237</v>
      </c>
    </row>
    <row r="7" spans="2:4" ht="14.25" customHeight="1">
      <c r="B7" s="9" t="s">
        <v>114</v>
      </c>
      <c r="D7" s="21" t="s">
        <v>238</v>
      </c>
    </row>
    <row r="8" spans="2:4" ht="14.25" customHeight="1">
      <c r="B8" s="11" t="s">
        <v>132</v>
      </c>
      <c r="D8" s="20" t="s">
        <v>239</v>
      </c>
    </row>
    <row r="9" spans="2:4" ht="14.25" customHeight="1">
      <c r="B9" s="20" t="s">
        <v>133</v>
      </c>
      <c r="D9" s="20" t="s">
        <v>240</v>
      </c>
    </row>
    <row r="10" spans="2:4" ht="14.25" customHeight="1">
      <c r="B10" s="11" t="s">
        <v>134</v>
      </c>
      <c r="D10" s="21" t="s">
        <v>241</v>
      </c>
    </row>
    <row r="11" spans="2:4" ht="14.25" customHeight="1">
      <c r="B11" s="20" t="s">
        <v>135</v>
      </c>
      <c r="D11" s="20" t="s">
        <v>242</v>
      </c>
    </row>
    <row r="12" spans="2:4" ht="14.25" customHeight="1">
      <c r="B12" s="11" t="s">
        <v>136</v>
      </c>
      <c r="D12" s="21" t="s">
        <v>243</v>
      </c>
    </row>
    <row r="13" spans="2:4" ht="14.25" customHeight="1">
      <c r="B13" s="11" t="s">
        <v>137</v>
      </c>
      <c r="D13" s="20" t="s">
        <v>244</v>
      </c>
    </row>
    <row r="14" spans="2:4" ht="14.25" customHeight="1">
      <c r="B14" s="20" t="s">
        <v>138</v>
      </c>
      <c r="D14" s="21" t="s">
        <v>245</v>
      </c>
    </row>
    <row r="15" spans="2:4" ht="14.25" customHeight="1">
      <c r="B15" s="11" t="s">
        <v>139</v>
      </c>
      <c r="D15" s="20" t="s">
        <v>246</v>
      </c>
    </row>
    <row r="16" spans="2:4" ht="14.25" customHeight="1">
      <c r="B16" s="11" t="s">
        <v>140</v>
      </c>
    </row>
    <row r="17" spans="2:4" ht="14.25" customHeight="1">
      <c r="B17" s="20" t="s">
        <v>141</v>
      </c>
      <c r="D17" s="22" t="s">
        <v>247</v>
      </c>
    </row>
    <row r="18" spans="2:4" ht="14.25" customHeight="1">
      <c r="B18" s="11" t="s">
        <v>142</v>
      </c>
      <c r="D18" s="21" t="s">
        <v>248</v>
      </c>
    </row>
    <row r="19" spans="2:4" ht="14.25" customHeight="1">
      <c r="B19" s="20" t="s">
        <v>143</v>
      </c>
      <c r="D19" s="20" t="s">
        <v>249</v>
      </c>
    </row>
    <row r="20" spans="2:4" ht="14.25" customHeight="1">
      <c r="B20" s="11" t="s">
        <v>144</v>
      </c>
      <c r="D20" s="21" t="s">
        <v>250</v>
      </c>
    </row>
    <row r="21" spans="2:4" ht="14.25" customHeight="1">
      <c r="B21" s="20" t="s">
        <v>145</v>
      </c>
      <c r="D21" s="10" t="s">
        <v>251</v>
      </c>
    </row>
    <row r="22" spans="2:4" ht="14.25" customHeight="1">
      <c r="B22" s="11" t="s">
        <v>146</v>
      </c>
      <c r="D22" s="21" t="s">
        <v>269</v>
      </c>
    </row>
    <row r="23" spans="2:4" ht="14.25" customHeight="1">
      <c r="B23" s="10" t="s">
        <v>148</v>
      </c>
      <c r="D23" s="20" t="s">
        <v>252</v>
      </c>
    </row>
    <row r="24" spans="2:4" ht="14.25" customHeight="1">
      <c r="B24" s="11" t="s">
        <v>147</v>
      </c>
      <c r="D24" s="21" t="s">
        <v>253</v>
      </c>
    </row>
    <row r="25" spans="2:4" ht="14.25" customHeight="1">
      <c r="D25" s="20" t="s">
        <v>254</v>
      </c>
    </row>
    <row r="26" spans="2:4" ht="14.25" customHeight="1">
      <c r="B26" s="9" t="s">
        <v>115</v>
      </c>
      <c r="D26" s="21" t="s">
        <v>255</v>
      </c>
    </row>
    <row r="27" spans="2:4" ht="14.25" customHeight="1">
      <c r="B27" s="21" t="s">
        <v>149</v>
      </c>
      <c r="D27" s="20" t="s">
        <v>256</v>
      </c>
    </row>
    <row r="28" spans="2:4" ht="14.25" customHeight="1">
      <c r="B28" s="20" t="s">
        <v>150</v>
      </c>
      <c r="D28" s="21" t="s">
        <v>257</v>
      </c>
    </row>
    <row r="29" spans="2:4" ht="14.25" customHeight="1">
      <c r="B29" s="21" t="s">
        <v>151</v>
      </c>
      <c r="D29" s="20" t="s">
        <v>258</v>
      </c>
    </row>
    <row r="30" spans="2:4" ht="14.25" customHeight="1">
      <c r="D30" s="20" t="s">
        <v>259</v>
      </c>
    </row>
    <row r="31" spans="2:4" ht="14.25" customHeight="1">
      <c r="B31" s="9" t="s">
        <v>116</v>
      </c>
    </row>
    <row r="32" spans="2:4" ht="14.25" customHeight="1">
      <c r="B32" s="21" t="s">
        <v>152</v>
      </c>
      <c r="D32" s="9" t="s">
        <v>117</v>
      </c>
    </row>
    <row r="33" spans="2:4" ht="14.25" customHeight="1">
      <c r="B33" s="20" t="s">
        <v>153</v>
      </c>
      <c r="D33" s="21" t="s">
        <v>260</v>
      </c>
    </row>
    <row r="34" spans="2:4" ht="14.25" customHeight="1">
      <c r="B34" s="21" t="s">
        <v>154</v>
      </c>
      <c r="D34" s="20" t="s">
        <v>261</v>
      </c>
    </row>
    <row r="35" spans="2:4" ht="14.25" customHeight="1">
      <c r="B35" s="20" t="s">
        <v>155</v>
      </c>
      <c r="D35" s="21" t="s">
        <v>262</v>
      </c>
    </row>
    <row r="36" spans="2:4" ht="14.25" customHeight="1">
      <c r="D36" s="21" t="s">
        <v>263</v>
      </c>
    </row>
    <row r="37" spans="2:4" ht="14.25" customHeight="1">
      <c r="B37" s="9" t="s">
        <v>118</v>
      </c>
      <c r="D37" s="20" t="s">
        <v>264</v>
      </c>
    </row>
    <row r="38" spans="2:4" ht="14.25" customHeight="1">
      <c r="B38" s="21" t="s">
        <v>156</v>
      </c>
      <c r="D38" s="20" t="s">
        <v>265</v>
      </c>
    </row>
    <row r="39" spans="2:4" ht="14.25" customHeight="1">
      <c r="B39" s="20" t="s">
        <v>157</v>
      </c>
      <c r="D39" s="21" t="s">
        <v>266</v>
      </c>
    </row>
    <row r="40" spans="2:4" ht="14.25" customHeight="1">
      <c r="B40" s="20" t="s">
        <v>158</v>
      </c>
      <c r="D40" s="21" t="s">
        <v>267</v>
      </c>
    </row>
    <row r="41" spans="2:4" ht="14.25" customHeight="1">
      <c r="B41" s="21" t="s">
        <v>159</v>
      </c>
      <c r="D41" s="20" t="s">
        <v>268</v>
      </c>
    </row>
    <row r="42" spans="2:4" ht="14.25" customHeight="1">
      <c r="B42" s="21" t="s">
        <v>160</v>
      </c>
    </row>
    <row r="43" spans="2:4" ht="14.25" customHeight="1">
      <c r="B43" s="20" t="s">
        <v>161</v>
      </c>
      <c r="D43" s="9" t="s">
        <v>119</v>
      </c>
    </row>
    <row r="44" spans="2:4" ht="14.25" customHeight="1">
      <c r="B44" s="20" t="s">
        <v>162</v>
      </c>
      <c r="D44" s="21" t="s">
        <v>270</v>
      </c>
    </row>
    <row r="45" spans="2:4" ht="14.25" customHeight="1">
      <c r="B45" s="21" t="s">
        <v>163</v>
      </c>
      <c r="D45" s="20" t="s">
        <v>271</v>
      </c>
    </row>
    <row r="46" spans="2:4" ht="14.25" customHeight="1">
      <c r="B46" s="20" t="s">
        <v>169</v>
      </c>
      <c r="D46" s="20" t="s">
        <v>272</v>
      </c>
    </row>
    <row r="47" spans="2:4" ht="14.25" customHeight="1">
      <c r="B47" s="21" t="s">
        <v>164</v>
      </c>
      <c r="D47" s="21" t="s">
        <v>273</v>
      </c>
    </row>
    <row r="48" spans="2:4" ht="14.25" customHeight="1">
      <c r="B48" s="20" t="s">
        <v>165</v>
      </c>
      <c r="D48" s="20" t="s">
        <v>274</v>
      </c>
    </row>
    <row r="49" spans="2:4" ht="14.25" customHeight="1">
      <c r="B49" s="20" t="s">
        <v>166</v>
      </c>
      <c r="D49" s="21" t="s">
        <v>275</v>
      </c>
    </row>
    <row r="50" spans="2:4" ht="14.25" customHeight="1">
      <c r="B50" s="21" t="s">
        <v>167</v>
      </c>
      <c r="D50" s="10" t="s">
        <v>280</v>
      </c>
    </row>
    <row r="51" spans="2:4" ht="14.25" customHeight="1">
      <c r="B51" s="20" t="s">
        <v>168</v>
      </c>
      <c r="D51" s="21" t="s">
        <v>276</v>
      </c>
    </row>
    <row r="52" spans="2:4" ht="14.25" customHeight="1">
      <c r="B52" s="21" t="s">
        <v>170</v>
      </c>
      <c r="D52" s="20" t="s">
        <v>277</v>
      </c>
    </row>
    <row r="53" spans="2:4" ht="14.25" customHeight="1">
      <c r="B53" s="12" t="s">
        <v>171</v>
      </c>
      <c r="D53" s="20" t="s">
        <v>278</v>
      </c>
    </row>
    <row r="54" spans="2:4" ht="14.25" customHeight="1">
      <c r="B54" s="21" t="s">
        <v>172</v>
      </c>
      <c r="D54" s="20" t="s">
        <v>279</v>
      </c>
    </row>
    <row r="55" spans="2:4" ht="14.25" customHeight="1">
      <c r="B55" s="20" t="s">
        <v>173</v>
      </c>
      <c r="D55" s="20" t="s">
        <v>281</v>
      </c>
    </row>
    <row r="56" spans="2:4" ht="14.25" customHeight="1">
      <c r="D56" s="10"/>
    </row>
    <row r="57" spans="2:4" ht="14.25" customHeight="1">
      <c r="B57" s="9" t="s">
        <v>120</v>
      </c>
      <c r="D57" s="9" t="s">
        <v>121</v>
      </c>
    </row>
    <row r="58" spans="2:4" ht="14.25" customHeight="1">
      <c r="B58" s="21" t="s">
        <v>174</v>
      </c>
      <c r="D58" s="21" t="s">
        <v>282</v>
      </c>
    </row>
    <row r="59" spans="2:4" ht="14.25" customHeight="1">
      <c r="B59" s="21" t="s">
        <v>175</v>
      </c>
      <c r="D59" s="20" t="s">
        <v>283</v>
      </c>
    </row>
    <row r="60" spans="2:4" ht="14.25" customHeight="1">
      <c r="B60" s="20" t="s">
        <v>176</v>
      </c>
      <c r="D60" s="21" t="s">
        <v>284</v>
      </c>
    </row>
    <row r="61" spans="2:4" ht="14.25" customHeight="1">
      <c r="B61" s="21" t="s">
        <v>177</v>
      </c>
      <c r="D61" s="20" t="s">
        <v>285</v>
      </c>
    </row>
    <row r="62" spans="2:4" ht="14.25" customHeight="1">
      <c r="B62" s="20" t="s">
        <v>178</v>
      </c>
      <c r="D62" s="21" t="s">
        <v>289</v>
      </c>
    </row>
    <row r="63" spans="2:4" ht="14.25" customHeight="1">
      <c r="B63" s="10"/>
      <c r="D63" s="20" t="s">
        <v>286</v>
      </c>
    </row>
    <row r="64" spans="2:4" ht="14.25" customHeight="1">
      <c r="B64" s="9" t="s">
        <v>122</v>
      </c>
      <c r="D64" s="21" t="s">
        <v>287</v>
      </c>
    </row>
    <row r="65" spans="2:4" ht="14.25" customHeight="1">
      <c r="B65" s="21" t="s">
        <v>179</v>
      </c>
      <c r="D65" s="21" t="s">
        <v>288</v>
      </c>
    </row>
    <row r="66" spans="2:4" ht="14.25" customHeight="1">
      <c r="B66" s="20" t="s">
        <v>180</v>
      </c>
      <c r="D66" s="10"/>
    </row>
    <row r="67" spans="2:4" ht="14.25" customHeight="1">
      <c r="B67" s="12" t="s">
        <v>181</v>
      </c>
      <c r="D67" s="21"/>
    </row>
    <row r="68" spans="2:4" ht="14.25" customHeight="1">
      <c r="D68" s="20"/>
    </row>
    <row r="69" spans="2:4" ht="14.25" customHeight="1">
      <c r="B69" s="9" t="s">
        <v>123</v>
      </c>
      <c r="D69" s="21" t="s">
        <v>290</v>
      </c>
    </row>
    <row r="70" spans="2:4" ht="14.25" customHeight="1">
      <c r="B70" s="21" t="s">
        <v>182</v>
      </c>
      <c r="D70" s="21" t="s">
        <v>291</v>
      </c>
    </row>
    <row r="71" spans="2:4" ht="14.25" customHeight="1">
      <c r="B71" s="20" t="s">
        <v>183</v>
      </c>
      <c r="D71" s="10"/>
    </row>
    <row r="72" spans="2:4" ht="14.25" customHeight="1">
      <c r="B72" s="21" t="s">
        <v>184</v>
      </c>
      <c r="D72" s="22" t="s">
        <v>292</v>
      </c>
    </row>
    <row r="73" spans="2:4" ht="14.25" customHeight="1">
      <c r="B73" s="20" t="s">
        <v>185</v>
      </c>
      <c r="D73" s="21" t="s">
        <v>293</v>
      </c>
    </row>
    <row r="74" spans="2:4" ht="14.25" customHeight="1">
      <c r="B74" s="20" t="s">
        <v>186</v>
      </c>
      <c r="D74" s="10" t="s">
        <v>124</v>
      </c>
    </row>
    <row r="75" spans="2:4" ht="14.25" customHeight="1">
      <c r="B75" s="21" t="s">
        <v>187</v>
      </c>
      <c r="D75" s="21" t="s">
        <v>294</v>
      </c>
    </row>
    <row r="76" spans="2:4" ht="14.25" customHeight="1">
      <c r="B76" s="21" t="s">
        <v>188</v>
      </c>
      <c r="D76" s="20" t="s">
        <v>295</v>
      </c>
    </row>
    <row r="77" spans="2:4" ht="14.25" customHeight="1">
      <c r="B77" s="20" t="s">
        <v>189</v>
      </c>
      <c r="D77" s="21" t="s">
        <v>296</v>
      </c>
    </row>
    <row r="78" spans="2:4" ht="14.25" customHeight="1">
      <c r="D78" s="20" t="s">
        <v>297</v>
      </c>
    </row>
    <row r="79" spans="2:4" ht="14.25" customHeight="1">
      <c r="B79" s="9" t="s">
        <v>125</v>
      </c>
      <c r="D79" s="20" t="s">
        <v>298</v>
      </c>
    </row>
    <row r="80" spans="2:4" ht="14.25" customHeight="1">
      <c r="B80" s="21" t="s">
        <v>190</v>
      </c>
      <c r="D80" s="21" t="s">
        <v>299</v>
      </c>
    </row>
    <row r="81" spans="2:4" ht="14.25" customHeight="1">
      <c r="B81" s="21" t="s">
        <v>191</v>
      </c>
      <c r="D81" s="20" t="s">
        <v>300</v>
      </c>
    </row>
    <row r="82" spans="2:4" ht="14.25" customHeight="1">
      <c r="B82" s="20" t="s">
        <v>192</v>
      </c>
      <c r="D82" s="20" t="s">
        <v>301</v>
      </c>
    </row>
    <row r="83" spans="2:4" ht="14.25" customHeight="1">
      <c r="B83" s="21" t="s">
        <v>193</v>
      </c>
      <c r="D83" s="21" t="s">
        <v>302</v>
      </c>
    </row>
    <row r="84" spans="2:4" ht="14.25" customHeight="1">
      <c r="B84" s="20" t="s">
        <v>194</v>
      </c>
      <c r="D84" s="20" t="s">
        <v>303</v>
      </c>
    </row>
    <row r="85" spans="2:4" ht="14.25" customHeight="1">
      <c r="B85" s="20" t="s">
        <v>197</v>
      </c>
      <c r="D85" s="20" t="s">
        <v>304</v>
      </c>
    </row>
    <row r="86" spans="2:4" ht="14.25" customHeight="1">
      <c r="B86" s="21" t="s">
        <v>195</v>
      </c>
      <c r="D86" s="21" t="s">
        <v>305</v>
      </c>
    </row>
    <row r="87" spans="2:4" ht="14.25" customHeight="1">
      <c r="B87" s="20" t="s">
        <v>196</v>
      </c>
      <c r="D87" s="20" t="s">
        <v>306</v>
      </c>
    </row>
    <row r="88" spans="2:4" ht="14.25" customHeight="1">
      <c r="B88" s="10"/>
      <c r="D88" s="20" t="s">
        <v>307</v>
      </c>
    </row>
    <row r="89" spans="2:4" ht="14.25" customHeight="1">
      <c r="B89" s="9" t="s">
        <v>126</v>
      </c>
      <c r="D89" s="10"/>
    </row>
    <row r="90" spans="2:4" ht="14.25" customHeight="1">
      <c r="B90" s="20" t="s">
        <v>198</v>
      </c>
      <c r="D90" s="22" t="s">
        <v>308</v>
      </c>
    </row>
    <row r="91" spans="2:4" ht="14.25" customHeight="1">
      <c r="B91" s="20" t="s">
        <v>199</v>
      </c>
      <c r="D91" s="21" t="s">
        <v>320</v>
      </c>
    </row>
    <row r="92" spans="2:4" ht="14.25" customHeight="1">
      <c r="B92" s="20" t="s">
        <v>200</v>
      </c>
      <c r="D92" s="21" t="s">
        <v>309</v>
      </c>
    </row>
    <row r="93" spans="2:4" ht="14.25" customHeight="1">
      <c r="B93" s="20" t="s">
        <v>201</v>
      </c>
      <c r="D93" s="20" t="s">
        <v>310</v>
      </c>
    </row>
    <row r="94" spans="2:4" ht="14.25" customHeight="1">
      <c r="B94" s="20" t="s">
        <v>202</v>
      </c>
      <c r="D94" s="21" t="s">
        <v>311</v>
      </c>
    </row>
    <row r="95" spans="2:4" ht="14.25" customHeight="1">
      <c r="B95" s="10"/>
      <c r="D95" s="20" t="s">
        <v>312</v>
      </c>
    </row>
    <row r="96" spans="2:4" ht="14.25" customHeight="1">
      <c r="B96" s="9" t="s">
        <v>127</v>
      </c>
    </row>
    <row r="97" spans="2:4" ht="14.25" customHeight="1">
      <c r="B97" s="21" t="s">
        <v>203</v>
      </c>
      <c r="D97" s="22" t="s">
        <v>313</v>
      </c>
    </row>
    <row r="98" spans="2:4" ht="14.25" customHeight="1">
      <c r="B98" s="20" t="s">
        <v>204</v>
      </c>
      <c r="D98" s="21" t="s">
        <v>321</v>
      </c>
    </row>
    <row r="99" spans="2:4" ht="14.25" customHeight="1">
      <c r="B99" s="20" t="s">
        <v>205</v>
      </c>
      <c r="D99" s="20" t="s">
        <v>314</v>
      </c>
    </row>
    <row r="100" spans="2:4" ht="14.25" customHeight="1">
      <c r="B100" s="21" t="s">
        <v>206</v>
      </c>
      <c r="D100" s="21" t="s">
        <v>315</v>
      </c>
    </row>
    <row r="101" spans="2:4" ht="14.25" customHeight="1">
      <c r="B101" s="20" t="s">
        <v>207</v>
      </c>
      <c r="D101" s="21" t="s">
        <v>316</v>
      </c>
    </row>
    <row r="102" spans="2:4" ht="14.25" customHeight="1">
      <c r="B102" s="21" t="s">
        <v>208</v>
      </c>
      <c r="D102" s="10" t="s">
        <v>317</v>
      </c>
    </row>
    <row r="103" spans="2:4" ht="14.25" customHeight="1">
      <c r="B103" s="20" t="s">
        <v>209</v>
      </c>
    </row>
    <row r="104" spans="2:4" ht="14.25" customHeight="1">
      <c r="B104" s="10"/>
      <c r="D104" s="22" t="s">
        <v>318</v>
      </c>
    </row>
    <row r="105" spans="2:4" ht="14.25" customHeight="1">
      <c r="B105" s="9" t="s">
        <v>128</v>
      </c>
      <c r="D105" s="21" t="s">
        <v>343</v>
      </c>
    </row>
    <row r="106" spans="2:4" ht="14.25" customHeight="1">
      <c r="B106" s="21" t="s">
        <v>210</v>
      </c>
      <c r="D106" s="20" t="s">
        <v>319</v>
      </c>
    </row>
    <row r="107" spans="2:4" ht="14.25" customHeight="1">
      <c r="B107" s="20" t="s">
        <v>211</v>
      </c>
      <c r="D107" s="21" t="s">
        <v>322</v>
      </c>
    </row>
    <row r="108" spans="2:4" ht="14.25" customHeight="1">
      <c r="B108" s="21" t="s">
        <v>212</v>
      </c>
      <c r="D108" s="21" t="s">
        <v>323</v>
      </c>
    </row>
    <row r="109" spans="2:4" ht="14.25" customHeight="1">
      <c r="B109" s="20" t="s">
        <v>213</v>
      </c>
      <c r="D109" s="20" t="s">
        <v>344</v>
      </c>
    </row>
    <row r="110" spans="2:4" ht="14.25" customHeight="1">
      <c r="B110" s="21" t="s">
        <v>214</v>
      </c>
      <c r="D110" s="21" t="s">
        <v>324</v>
      </c>
    </row>
    <row r="111" spans="2:4" ht="14.25" customHeight="1">
      <c r="B111" s="20" t="s">
        <v>215</v>
      </c>
    </row>
    <row r="112" spans="2:4" ht="14.25" customHeight="1">
      <c r="B112" s="21" t="s">
        <v>216</v>
      </c>
      <c r="D112" s="22" t="s">
        <v>325</v>
      </c>
    </row>
    <row r="113" spans="2:4" ht="14.25" customHeight="1">
      <c r="B113" s="20" t="s">
        <v>217</v>
      </c>
      <c r="D113" s="21" t="s">
        <v>326</v>
      </c>
    </row>
    <row r="114" spans="2:4" ht="14.25" customHeight="1">
      <c r="B114" s="10"/>
      <c r="D114" s="20" t="s">
        <v>327</v>
      </c>
    </row>
    <row r="115" spans="2:4" ht="14.25" customHeight="1">
      <c r="B115" s="22" t="s">
        <v>218</v>
      </c>
      <c r="D115" s="21" t="s">
        <v>328</v>
      </c>
    </row>
    <row r="116" spans="2:4" ht="14.25" customHeight="1">
      <c r="B116" s="20" t="s">
        <v>219</v>
      </c>
      <c r="D116" s="20" t="s">
        <v>329</v>
      </c>
    </row>
    <row r="117" spans="2:4" ht="14.25" customHeight="1">
      <c r="B117" s="20" t="s">
        <v>220</v>
      </c>
      <c r="D117" s="10"/>
    </row>
    <row r="118" spans="2:4" ht="14.25" customHeight="1">
      <c r="B118" s="20" t="s">
        <v>221</v>
      </c>
      <c r="D118" s="22" t="s">
        <v>330</v>
      </c>
    </row>
    <row r="119" spans="2:4" ht="14.25" customHeight="1">
      <c r="B119" s="20" t="s">
        <v>222</v>
      </c>
      <c r="D119" s="20" t="s">
        <v>331</v>
      </c>
    </row>
    <row r="120" spans="2:4" ht="14.25" customHeight="1">
      <c r="B120" s="20" t="s">
        <v>223</v>
      </c>
    </row>
    <row r="121" spans="2:4" ht="14.25" customHeight="1">
      <c r="B121" s="11" t="s">
        <v>345</v>
      </c>
      <c r="D121" s="22" t="s">
        <v>332</v>
      </c>
    </row>
    <row r="122" spans="2:4" ht="14.25" customHeight="1">
      <c r="B122" s="20" t="s">
        <v>224</v>
      </c>
      <c r="C122" s="13"/>
      <c r="D122" s="20" t="s">
        <v>333</v>
      </c>
    </row>
    <row r="123" spans="2:4" ht="14.25" customHeight="1">
      <c r="B123" s="14"/>
      <c r="C123" s="14"/>
      <c r="D123" s="20" t="s">
        <v>342</v>
      </c>
    </row>
    <row r="124" spans="2:4" ht="14.25" customHeight="1">
      <c r="B124" s="9" t="s">
        <v>129</v>
      </c>
      <c r="D124" s="15"/>
    </row>
    <row r="125" spans="2:4" ht="14.25" customHeight="1">
      <c r="B125" s="21" t="s">
        <v>225</v>
      </c>
      <c r="D125" s="22" t="s">
        <v>334</v>
      </c>
    </row>
    <row r="126" spans="2:4" ht="14.25" customHeight="1">
      <c r="B126" s="20" t="s">
        <v>226</v>
      </c>
      <c r="D126" s="20" t="s">
        <v>335</v>
      </c>
    </row>
    <row r="127" spans="2:4" ht="14.25" customHeight="1">
      <c r="B127" s="21" t="s">
        <v>229</v>
      </c>
      <c r="D127" s="20" t="s">
        <v>336</v>
      </c>
    </row>
    <row r="128" spans="2:4" ht="14.25" customHeight="1">
      <c r="B128" s="21" t="s">
        <v>227</v>
      </c>
      <c r="D128" s="20" t="s">
        <v>337</v>
      </c>
    </row>
    <row r="129" spans="2:4">
      <c r="B129" s="20" t="s">
        <v>228</v>
      </c>
      <c r="D129" s="21" t="s">
        <v>338</v>
      </c>
    </row>
    <row r="130" spans="2:4">
      <c r="D130" s="21" t="s">
        <v>339</v>
      </c>
    </row>
    <row r="131" spans="2:4">
      <c r="B131" s="22" t="s">
        <v>230</v>
      </c>
      <c r="D131" s="21" t="s">
        <v>346</v>
      </c>
    </row>
    <row r="132" spans="2:4">
      <c r="B132" s="21" t="s">
        <v>231</v>
      </c>
      <c r="D132" s="21" t="s">
        <v>340</v>
      </c>
    </row>
    <row r="133" spans="2:4">
      <c r="B133" s="20" t="s">
        <v>232</v>
      </c>
      <c r="D133" s="20" t="s">
        <v>341</v>
      </c>
    </row>
    <row r="134" spans="2:4" ht="14.25" customHeight="1"/>
    <row r="135" spans="2:4" ht="14.25" customHeight="1"/>
    <row r="136" spans="2:4" ht="14.25" customHeight="1">
      <c r="B136" s="52" t="s">
        <v>233</v>
      </c>
      <c r="C136" s="53"/>
      <c r="D136" s="53"/>
    </row>
    <row r="137" spans="2:4" ht="14.25" customHeight="1">
      <c r="B137" s="17" t="str">
        <f>"계약자             "&amp;계약서!C10&amp;"                       서명 또는 인"</f>
        <v>계약자             홍길동                       서명 또는 인</v>
      </c>
      <c r="D137" s="17" t="str">
        <f>"연대보증인                 "&amp;계약서!C15&amp;"                 서명 또는 인"</f>
        <v>연대보증인                 (주)퀵배달                 서명 또는 인</v>
      </c>
    </row>
    <row r="138" spans="2:4" s="16" customFormat="1" ht="14.25" customHeight="1">
      <c r="B138" s="17"/>
      <c r="C138" s="18"/>
      <c r="D138" s="17"/>
    </row>
    <row r="139" spans="2:4" ht="14.25" customHeight="1">
      <c r="D139" s="10"/>
    </row>
    <row r="140" spans="2:4" ht="14.25" customHeight="1">
      <c r="D140" s="10"/>
    </row>
    <row r="141" spans="2:4" ht="14.25" customHeight="1">
      <c r="D141" s="10"/>
    </row>
    <row r="142" spans="2:4" ht="14.25" customHeight="1">
      <c r="D142" s="10"/>
    </row>
    <row r="143" spans="2:4" ht="14.25" customHeight="1">
      <c r="D143" s="10"/>
    </row>
    <row r="144" spans="2:4" ht="14.25" customHeight="1"/>
    <row r="145" spans="4:4" ht="14.25" customHeight="1">
      <c r="D145" s="15"/>
    </row>
    <row r="146" spans="4:4" ht="14.25" customHeight="1">
      <c r="D146" s="19"/>
    </row>
    <row r="147" spans="4:4" ht="14.25" customHeight="1">
      <c r="D147" s="10"/>
    </row>
    <row r="148" spans="4:4" ht="48" customHeight="1">
      <c r="D148" s="10"/>
    </row>
    <row r="149" spans="4:4" ht="31.5" customHeight="1">
      <c r="D149" s="10"/>
    </row>
    <row r="151" spans="4:4" ht="21.75" customHeight="1">
      <c r="D151" s="15"/>
    </row>
    <row r="152" spans="4:4" ht="15.75" customHeight="1">
      <c r="D152" s="10"/>
    </row>
    <row r="153" spans="4:4" ht="31.5" customHeight="1">
      <c r="D153" s="10"/>
    </row>
    <row r="154" spans="4:4" ht="31.5" customHeight="1">
      <c r="D154" s="10"/>
    </row>
    <row r="155" spans="4:4">
      <c r="D155" s="10"/>
    </row>
    <row r="156" spans="4:4" ht="21.75" customHeight="1">
      <c r="D156" s="10"/>
    </row>
    <row r="157" spans="4:4" ht="31.5" customHeight="1">
      <c r="D157" s="10"/>
    </row>
    <row r="158" spans="4:4" ht="31.5" customHeight="1">
      <c r="D158" s="10"/>
    </row>
    <row r="159" spans="4:4" ht="31.5" customHeight="1">
      <c r="D159" s="10"/>
    </row>
    <row r="161" spans="4:4" ht="21.75" customHeight="1"/>
    <row r="162" spans="4:4" ht="31.5" customHeight="1"/>
    <row r="163" spans="4:4" ht="31.5" customHeight="1">
      <c r="D163" s="13"/>
    </row>
    <row r="164" spans="4:4" ht="31.5" customHeight="1">
      <c r="D164" s="14"/>
    </row>
    <row r="165" spans="4:4" ht="15.75" customHeight="1"/>
    <row r="167" spans="4:4" ht="21.75" customHeight="1"/>
    <row r="168" spans="4:4" ht="31.5" customHeight="1"/>
    <row r="169" spans="4:4" ht="31.5" customHeight="1"/>
    <row r="171" spans="4:4" ht="21.75" customHeight="1"/>
    <row r="172" spans="4:4" ht="15.75" customHeight="1"/>
    <row r="174" spans="4:4" ht="21.75" customHeight="1"/>
    <row r="175" spans="4:4" ht="31.5" customHeight="1"/>
    <row r="179" ht="21.75" customHeight="1"/>
    <row r="180" ht="15.75" customHeight="1"/>
    <row r="181" ht="15.75" customHeight="1"/>
    <row r="182" ht="15.75" customHeight="1"/>
    <row r="183" ht="15.75" customHeight="1"/>
    <row r="185" ht="21.75" customHeight="1"/>
    <row r="186" ht="48" customHeight="1"/>
    <row r="187" ht="48" customHeight="1"/>
    <row r="188" ht="48" customHeight="1"/>
    <row r="189" ht="31.5" customHeight="1"/>
    <row r="190" ht="31.5" customHeight="1"/>
    <row r="191" ht="31.5" customHeight="1"/>
    <row r="192" ht="31.5" customHeight="1"/>
    <row r="193" ht="15.75" customHeight="1"/>
    <row r="196" ht="21.75" customHeight="1"/>
    <row r="197" ht="31.5" customHeight="1"/>
  </sheetData>
  <mergeCells count="2">
    <mergeCell ref="B1:D1"/>
    <mergeCell ref="B136:D136"/>
  </mergeCells>
  <phoneticPr fontId="39" type="noConversion"/>
  <pageMargins left="0.3" right="0.3" top="0.4" bottom="0.4" header="0.511811023622047" footer="0.511811023622047"/>
  <pageSetup paperSize="9" scale="77" fitToHeight="0" orientation="portrait" horizontalDpi="300" verticalDpi="300" r:id="rId1"/>
  <rowBreaks count="1" manualBreakCount="1"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2026-04-27T02:30:40Z</cp:lastPrinted>
  <dcterms:created xsi:type="dcterms:W3CDTF">2026-04-23T08:36:35Z</dcterms:created>
  <dcterms:modified xsi:type="dcterms:W3CDTF">2026-04-28T10:44:39Z</dcterms:modified>
  <dc:language>en-US</dc:language>
</cp:coreProperties>
</file>