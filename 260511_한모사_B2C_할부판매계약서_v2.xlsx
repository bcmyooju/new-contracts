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2" autoFilterDateGrouping="1"/>
  </bookViews>
  <sheets>
    <sheet xmlns:r="http://schemas.openxmlformats.org/officeDocument/2006/relationships" name="계약리스트" sheetId="1" state="visible" r:id="rId1"/>
    <sheet xmlns:r="http://schemas.openxmlformats.org/officeDocument/2006/relationships" name="계약서" sheetId="2" state="visible" r:id="rId2"/>
    <sheet xmlns:r="http://schemas.openxmlformats.org/officeDocument/2006/relationships" name="이용약관" sheetId="3" state="visible" r:id="rId3"/>
  </sheets>
  <definedNames>
    <definedName name="_xlnm.Print_Area" localSheetId="1">'계약서'!$A$1:$K$52</definedName>
    <definedName name="_xlnm.Print_Area" localSheetId="2">'이용약관'!$A$1:$D$141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0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ejaVu Sans"/>
      <family val="2"/>
      <b val="1"/>
      <color rgb="FFFFFFFF"/>
      <sz val="9"/>
    </font>
    <font>
      <name val="맑은 고딕"/>
      <charset val="129"/>
      <family val="3"/>
      <color rgb="FF000000"/>
      <sz val="10"/>
    </font>
    <font>
      <name val="DejaVu Sans"/>
      <family val="2"/>
      <color rgb="FF000000"/>
      <sz val="10"/>
    </font>
    <font>
      <name val="DejaVu Sans"/>
      <charset val="1"/>
      <family val="2"/>
      <color rgb="FF000000"/>
      <sz val="10"/>
    </font>
    <font>
      <name val="맑은 고딕"/>
      <charset val="129"/>
      <family val="3"/>
      <sz val="10"/>
    </font>
    <font>
      <name val="DejaVu Sans"/>
      <family val="2"/>
      <i val="1"/>
      <color rgb="FF808080"/>
      <sz val="8"/>
    </font>
    <font>
      <name val="DejaVu Sans"/>
      <family val="2"/>
      <b val="1"/>
      <color rgb="FFFFFFFF"/>
      <sz val="18"/>
    </font>
    <font>
      <name val="맑은 고딕"/>
      <charset val="129"/>
      <family val="3"/>
      <b val="1"/>
      <color rgb="FFC00000"/>
      <sz val="12"/>
    </font>
    <font>
      <name val="DejaVu Sans"/>
      <family val="2"/>
      <b val="1"/>
      <color rgb="FF1F3864"/>
      <sz val="10"/>
    </font>
    <font>
      <name val="DejaVu Sans"/>
      <family val="2"/>
      <b val="1"/>
      <color rgb="FF1F3864"/>
      <sz val="9"/>
    </font>
    <font>
      <name val="맑은 고딕"/>
      <charset val="129"/>
      <family val="3"/>
      <b val="1"/>
      <color rgb="FFC00000"/>
      <sz val="11"/>
    </font>
    <font>
      <name val="DejaVu Sans"/>
      <family val="2"/>
      <b val="1"/>
      <color rgb="FFFFFFFF"/>
      <sz val="11"/>
    </font>
    <font>
      <name val="DejaVu Sans"/>
      <family val="2"/>
      <i val="1"/>
      <color rgb="FF595959"/>
      <sz val="8"/>
    </font>
    <font>
      <name val="DejaVu Sans"/>
      <charset val="1"/>
      <family val="2"/>
      <i val="1"/>
      <color rgb="FF595959"/>
      <sz val="8"/>
    </font>
    <font>
      <name val="DejaVu Sans"/>
      <charset val="1"/>
      <family val="2"/>
      <b val="1"/>
      <color rgb="FF1F3864"/>
      <sz val="9"/>
    </font>
    <font>
      <name val="DejaVu Sans"/>
      <charset val="1"/>
      <family val="2"/>
      <b val="1"/>
      <color rgb="FFFFFFFF"/>
      <sz val="11"/>
    </font>
    <font>
      <name val="DejaVu Sans"/>
      <family val="2"/>
      <b val="1"/>
      <color rgb="FFC00000"/>
      <sz val="9"/>
    </font>
    <font>
      <name val="DejaVu Sans"/>
      <family val="2"/>
      <b val="1"/>
      <color rgb="FFC00000"/>
      <sz val="8"/>
    </font>
    <font>
      <name val="DejaVu Sans"/>
      <charset val="129"/>
      <family val="3"/>
      <b val="1"/>
      <color rgb="FFC00000"/>
      <sz val="8"/>
    </font>
    <font>
      <name val="맑은 고딕"/>
      <charset val="129"/>
      <family val="3"/>
      <b val="1"/>
      <color rgb="FFC00000"/>
      <sz val="9"/>
    </font>
    <font>
      <name val="맑은 고딕"/>
      <charset val="129"/>
      <family val="3"/>
      <b val="1"/>
      <color rgb="FFC00000"/>
      <sz val="8"/>
    </font>
    <font>
      <name val="맑은 고딕"/>
      <charset val="129"/>
      <family val="3"/>
      <color rgb="FF404040"/>
      <sz val="8"/>
    </font>
    <font>
      <name val="DejaVu Sans"/>
      <family val="2"/>
      <color rgb="FF404040"/>
      <sz val="8"/>
    </font>
    <font>
      <name val="DejaVu Sans"/>
      <charset val="129"/>
      <family val="3"/>
      <color rgb="FF404040"/>
      <sz val="8"/>
    </font>
    <font>
      <name val="DejaVu Sans"/>
      <charset val="129"/>
      <family val="3"/>
      <b val="1"/>
      <color rgb="FF1F3864"/>
      <sz val="9"/>
    </font>
    <font>
      <name val="DejaVu Sans"/>
      <family val="2"/>
      <color rgb="FF000000"/>
      <sz val="9"/>
    </font>
    <font>
      <name val="DejaVu Sans"/>
      <charset val="1"/>
      <family val="2"/>
      <color rgb="FF000000"/>
      <sz val="9"/>
    </font>
    <font>
      <name val="맑은 고딕"/>
      <charset val="129"/>
      <family val="3"/>
      <b val="1"/>
      <color rgb="FF1F3864"/>
      <sz val="9"/>
    </font>
    <font>
      <name val="DejaVu Sans"/>
      <family val="2"/>
      <b val="1"/>
      <color rgb="FFFFFFFF"/>
      <sz val="14"/>
    </font>
    <font>
      <name val="DejaVu Sans"/>
      <charset val="1"/>
      <family val="2"/>
      <b val="1"/>
      <color rgb="FFFFFFFF"/>
      <sz val="14"/>
    </font>
    <font>
      <name val="DejaVu Sans"/>
      <family val="2"/>
      <color rgb="FF2B2B2B"/>
      <sz val="8"/>
    </font>
    <font>
      <name val="DejaVu Sans"/>
      <charset val="1"/>
      <family val="1"/>
      <color rgb="FF2B2B2B"/>
      <sz val="8"/>
    </font>
    <font>
      <name val="DejaVu Sans"/>
      <charset val="129"/>
      <family val="3"/>
      <color rgb="FF2B2B2B"/>
      <sz val="8"/>
    </font>
    <font>
      <name val="맑은 고딕"/>
      <charset val="129"/>
      <family val="3"/>
      <color rgb="FF2B2B2B"/>
      <sz val="8"/>
    </font>
    <font>
      <name val="돋움"/>
      <charset val="129"/>
      <family val="1"/>
      <color rgb="FF2B2B2B"/>
      <sz val="8"/>
    </font>
    <font>
      <name val="DejaVu Sans"/>
      <charset val="1"/>
      <family val="2"/>
      <color rgb="FF2B2B2B"/>
      <sz val="8"/>
    </font>
    <font>
      <name val="Calibri"/>
      <charset val="129"/>
      <family val="2"/>
      <color theme="1"/>
      <sz val="8"/>
    </font>
    <font>
      <name val="DejaVu Sans"/>
      <family val="2"/>
      <color theme="1"/>
      <sz val="8"/>
    </font>
    <font>
      <name val="맑은 고딕"/>
      <charset val="129"/>
      <family val="3"/>
      <color theme="1"/>
      <sz val="8"/>
    </font>
    <font>
      <name val="돋움"/>
      <charset val="129"/>
      <family val="3"/>
      <color rgb="FF2B2B2B"/>
      <sz val="8"/>
    </font>
    <font>
      <name val="DejaVu Sans"/>
      <charset val="1"/>
      <family val="1"/>
      <color theme="1"/>
      <sz val="8"/>
    </font>
    <font>
      <name val="맑은 고딕"/>
      <charset val="129"/>
      <family val="1"/>
      <color theme="1"/>
      <sz val="8"/>
    </font>
    <font>
      <name val="DejaVu Sans"/>
      <charset val="129"/>
      <family val="3"/>
      <color theme="1"/>
      <sz val="8"/>
    </font>
    <font>
      <name val="돋움"/>
      <charset val="129"/>
      <family val="3"/>
      <color theme="1"/>
      <sz val="8"/>
    </font>
    <font>
      <name val="맑은 고딕"/>
      <charset val="129"/>
      <family val="1"/>
      <color rgb="FF2B2B2B"/>
      <sz val="8"/>
    </font>
    <font>
      <name val="DejaVu Sans"/>
      <charset val="1"/>
      <family val="2"/>
      <sz val="10"/>
    </font>
  </fonts>
  <fills count="14">
    <fill>
      <patternFill/>
    </fill>
    <fill>
      <patternFill patternType="gray125"/>
    </fill>
    <fill>
      <patternFill patternType="solid">
        <fgColor rgb="FF1F4E89"/>
        <bgColor rgb="FF2E5597"/>
      </patternFill>
    </fill>
    <fill>
      <patternFill patternType="solid">
        <fgColor rgb="FF2E5597"/>
        <bgColor rgb="FF1F4E89"/>
      </patternFill>
    </fill>
    <fill>
      <patternFill patternType="solid">
        <fgColor rgb="FF0E2E5C"/>
        <bgColor rgb="FF1F3864"/>
      </patternFill>
    </fill>
    <fill>
      <patternFill patternType="solid">
        <fgColor rgb="FFFFF2CC"/>
        <bgColor rgb="FFFFF4E3"/>
      </patternFill>
    </fill>
    <fill>
      <patternFill patternType="solid">
        <fgColor rgb="FFFFFFFF"/>
        <bgColor rgb="FFF7F9FC"/>
      </patternFill>
    </fill>
    <fill>
      <patternFill patternType="solid">
        <fgColor rgb="FFE8EEF7"/>
        <bgColor rgb="FFEAF0F8"/>
      </patternFill>
    </fill>
    <fill>
      <patternFill patternType="solid">
        <fgColor rgb="FFFFF4E3"/>
        <bgColor rgb="FFFFF2CC"/>
      </patternFill>
    </fill>
    <fill>
      <patternFill patternType="solid">
        <fgColor rgb="FFEAF0F8"/>
        <bgColor rgb="FFE8EEF7"/>
      </patternFill>
    </fill>
    <fill>
      <patternFill patternType="solid">
        <fgColor rgb="FFB22222"/>
        <bgColor rgb="FF993366"/>
      </patternFill>
    </fill>
    <fill>
      <patternFill patternType="solid">
        <fgColor rgb="FFFBE5E5"/>
        <bgColor rgb="FFFFF4E3"/>
      </patternFill>
    </fill>
    <fill>
      <patternFill patternType="solid">
        <fgColor rgb="FFF7F9FC"/>
        <bgColor rgb="FFFFFFFF"/>
      </patternFill>
    </fill>
    <fill>
      <patternFill patternType="solid">
        <fgColor rgb="FF1F3864"/>
        <bgColor rgb="FF0E2E5C"/>
      </patternFill>
    </fill>
  </fills>
  <borders count="1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medium">
        <color rgb="FFC00000"/>
      </bottom>
      <diagonal/>
    </border>
    <border>
      <left/>
      <right/>
      <top/>
      <bottom style="thin">
        <color rgb="FFBFBFBF"/>
      </bottom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/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theme="0" tint="-0.25"/>
      </top>
      <bottom/>
      <diagonal/>
    </border>
    <border>
      <left/>
      <right style="thin">
        <color theme="0" tint="-0.25"/>
      </right>
      <top style="thin">
        <color theme="0" tint="-0.25"/>
      </top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wrapText="1" indent="1"/>
    </xf>
    <xf numFmtId="0" fontId="13" fillId="6" borderId="0" applyAlignment="1" pivotButton="0" quotePrefix="0" xfId="0">
      <alignment horizontal="right" vertical="center" wrapText="1"/>
    </xf>
    <xf numFmtId="0" fontId="14" fillId="6" borderId="2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center" vertical="bottom"/>
    </xf>
    <xf numFmtId="0" fontId="15" fillId="2" borderId="0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15" fillId="2" borderId="3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 indent="1"/>
    </xf>
    <xf numFmtId="0" fontId="16" fillId="8" borderId="1" applyAlignment="1" pivotButton="0" quotePrefix="0" xfId="0">
      <alignment horizontal="left" vertical="center" wrapText="1" indent="1"/>
    </xf>
    <xf numFmtId="0" fontId="15" fillId="3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15" fillId="10" borderId="3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left" vertical="center" wrapText="1" indent="1"/>
    </xf>
    <xf numFmtId="0" fontId="23" fillId="11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 indent="1"/>
    </xf>
    <xf numFmtId="0" fontId="25" fillId="6" borderId="1" applyAlignment="1" pivotButton="0" quotePrefix="0" xfId="0">
      <alignment horizontal="left" vertical="center" wrapText="1" indent="1"/>
    </xf>
    <xf numFmtId="0" fontId="15" fillId="3" borderId="4" applyAlignment="1" pivotButton="0" quotePrefix="0" xfId="0">
      <alignment horizontal="center" vertical="center" wrapText="1"/>
    </xf>
    <xf numFmtId="0" fontId="26" fillId="12" borderId="1" applyAlignment="1" pivotButton="0" quotePrefix="0" xfId="0">
      <alignment horizontal="left" vertical="center" wrapText="1" indent="1"/>
    </xf>
    <xf numFmtId="0" fontId="13" fillId="12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31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2" fillId="13" borderId="0" applyAlignment="1" pivotButton="0" quotePrefix="0" xfId="0">
      <alignment horizontal="center" vertical="center" wrapText="1"/>
    </xf>
    <xf numFmtId="0" fontId="33" fillId="13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 wrapText="1" indent="1"/>
    </xf>
    <xf numFmtId="0" fontId="34" fillId="0" borderId="0" applyAlignment="1" pivotButton="0" quotePrefix="0" xfId="0">
      <alignment horizontal="left" vertical="top" wrapText="1" indent="1"/>
    </xf>
    <xf numFmtId="0" fontId="37" fillId="0" borderId="0" applyAlignment="1" pivotButton="0" quotePrefix="0" xfId="0">
      <alignment horizontal="left" vertical="top" wrapText="1" indent="1"/>
    </xf>
    <xf numFmtId="0" fontId="36" fillId="0" borderId="0" applyAlignment="1" pivotButton="0" quotePrefix="0" xfId="0">
      <alignment horizontal="left" vertical="top" wrapText="1" indent="1"/>
    </xf>
    <xf numFmtId="0" fontId="40" fillId="0" borderId="0" applyAlignment="1" pivotButton="0" quotePrefix="0" xfId="0">
      <alignment horizontal="general" vertical="bottom"/>
    </xf>
    <xf numFmtId="0" fontId="36" fillId="9" borderId="0" applyAlignment="1" pivotButton="0" quotePrefix="0" xfId="0">
      <alignment horizontal="left" vertical="top" wrapText="1" indent="1"/>
    </xf>
    <xf numFmtId="0" fontId="41" fillId="0" borderId="0" applyAlignment="1" pivotButton="0" quotePrefix="0" xfId="0">
      <alignment horizontal="left" vertical="top" wrapText="1" indent="1"/>
    </xf>
    <xf numFmtId="0" fontId="43" fillId="0" borderId="0" applyAlignment="1" pivotButton="0" quotePrefix="0" xfId="0">
      <alignment horizontal="left" vertical="top" wrapText="1" indent="1"/>
    </xf>
    <xf numFmtId="0" fontId="47" fillId="0" borderId="0" applyAlignment="1" pivotButton="0" quotePrefix="0" xfId="0">
      <alignment horizontal="left" vertical="top" wrapText="1" indent="1"/>
    </xf>
    <xf numFmtId="0" fontId="35" fillId="9" borderId="0" applyAlignment="1" pivotButton="0" quotePrefix="0" xfId="0">
      <alignment horizontal="left" vertical="top" wrapText="1" indent="1"/>
    </xf>
    <xf numFmtId="0" fontId="39" fillId="9" borderId="0" applyAlignment="1" pivotButton="0" quotePrefix="0" xfId="0">
      <alignment horizontal="left" vertical="top" wrapText="1" indent="1"/>
    </xf>
    <xf numFmtId="0" fontId="42" fillId="0" borderId="0" applyAlignment="1" pivotButton="0" quotePrefix="0" xfId="0">
      <alignment horizontal="left" vertical="top" wrapText="1" indent="1"/>
    </xf>
    <xf numFmtId="0" fontId="49" fillId="0" borderId="0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 wrapText="1" inden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 indent="1"/>
    </xf>
    <xf numFmtId="0" fontId="6" fillId="0" borderId="1" applyAlignment="1" pivotButton="0" quotePrefix="0" xfId="0">
      <alignment horizontal="left" vertical="center" wrapText="1" indent="1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 wrapText="1"/>
    </xf>
    <xf numFmtId="0" fontId="10" fillId="4" borderId="0" applyAlignment="1" pivotButton="0" quotePrefix="0" xfId="0">
      <alignment horizontal="center" vertical="center" wrapText="1"/>
    </xf>
    <xf numFmtId="0" fontId="11" fillId="5" borderId="1" applyAlignment="1" pivotButton="0" quotePrefix="0" xfId="0">
      <alignment horizontal="center" vertical="center" wrapText="1"/>
    </xf>
    <xf numFmtId="0" fontId="12" fillId="6" borderId="0" applyAlignment="1" pivotButton="0" quotePrefix="0" xfId="0">
      <alignment horizontal="left" vertical="center" wrapText="1" indent="1"/>
    </xf>
    <xf numFmtId="0" fontId="13" fillId="6" borderId="0" applyAlignment="1" pivotButton="0" quotePrefix="0" xfId="0">
      <alignment horizontal="right" vertical="center" wrapText="1"/>
    </xf>
    <xf numFmtId="0" fontId="14" fillId="6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8" fillId="0" borderId="0" applyAlignment="1" pivotButton="0" quotePrefix="0" xfId="0">
      <alignment horizontal="center" vertical="bottom"/>
    </xf>
    <xf numFmtId="0" fontId="15" fillId="2" borderId="0" applyAlignment="1" pivotButton="0" quotePrefix="0" xfId="0">
      <alignment horizontal="center" vertical="center" wrapText="1"/>
    </xf>
    <xf numFmtId="0" fontId="13" fillId="7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 indent="1"/>
    </xf>
    <xf numFmtId="0" fontId="0" fillId="0" borderId="7" pivotButton="0" quotePrefix="0" xfId="0"/>
    <xf numFmtId="0" fontId="15" fillId="2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7" fillId="6" borderId="1" applyAlignment="1" pivotButton="0" quotePrefix="0" xfId="0">
      <alignment horizontal="left" vertical="center" wrapText="1" indent="1"/>
    </xf>
    <xf numFmtId="0" fontId="0" fillId="0" borderId="8" pivotButton="0" quotePrefix="0" xfId="0"/>
    <xf numFmtId="0" fontId="16" fillId="8" borderId="1" applyAlignment="1" pivotButton="0" quotePrefix="0" xfId="0">
      <alignment horizontal="left" vertical="center" wrapText="1" indent="1"/>
    </xf>
    <xf numFmtId="0" fontId="15" fillId="3" borderId="0" applyAlignment="1" pivotButton="0" quotePrefix="0" xfId="0">
      <alignment horizontal="center" vertical="center" wrapText="1"/>
    </xf>
    <xf numFmtId="0" fontId="13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left" vertical="center" wrapText="1" indent="1"/>
    </xf>
    <xf numFmtId="0" fontId="15" fillId="10" borderId="3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center" vertical="center" wrapText="1"/>
    </xf>
    <xf numFmtId="0" fontId="21" fillId="11" borderId="1" applyAlignment="1" pivotButton="0" quotePrefix="0" xfId="0">
      <alignment horizontal="left" vertical="center" wrapText="1" indent="1"/>
    </xf>
    <xf numFmtId="0" fontId="23" fillId="11" borderId="1" applyAlignment="1" pivotButton="0" quotePrefix="0" xfId="0">
      <alignment horizontal="center" vertical="center" wrapText="1"/>
    </xf>
    <xf numFmtId="0" fontId="25" fillId="8" borderId="1" applyAlignment="1" pivotButton="0" quotePrefix="0" xfId="0">
      <alignment horizontal="left" vertical="center" wrapText="1" indent="1"/>
    </xf>
    <xf numFmtId="0" fontId="25" fillId="6" borderId="1" applyAlignment="1" pivotButton="0" quotePrefix="0" xfId="0">
      <alignment horizontal="left" vertical="center" wrapText="1" indent="1"/>
    </xf>
    <xf numFmtId="0" fontId="15" fillId="3" borderId="4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10" pivotButton="0" quotePrefix="0" xfId="0"/>
    <xf numFmtId="0" fontId="26" fillId="12" borderId="1" applyAlignment="1" pivotButton="0" quotePrefix="0" xfId="0">
      <alignment horizontal="left" vertical="center" wrapText="1" indent="1"/>
    </xf>
    <xf numFmtId="0" fontId="13" fillId="12" borderId="1" applyAlignment="1" pivotButton="0" quotePrefix="0" xfId="0">
      <alignment horizontal="center" vertical="center" wrapText="1"/>
    </xf>
    <xf numFmtId="0" fontId="29" fillId="6" borderId="1" applyAlignment="1" pivotButton="0" quotePrefix="0" xfId="0">
      <alignment horizontal="center" vertical="center" wrapText="1"/>
    </xf>
    <xf numFmtId="0" fontId="31" fillId="6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32" fillId="13" borderId="0" applyAlignment="1" pivotButton="0" quotePrefix="0" xfId="0">
      <alignment horizontal="center" vertical="center" wrapText="1"/>
    </xf>
    <xf numFmtId="0" fontId="33" fillId="13" borderId="0" applyAlignment="1" pivotButton="0" quotePrefix="0" xfId="0">
      <alignment horizontal="center" vertical="center" wrapText="1"/>
    </xf>
    <xf numFmtId="0" fontId="13" fillId="9" borderId="0" applyAlignment="1" pivotButton="0" quotePrefix="0" xfId="0">
      <alignment horizontal="left" vertical="center" wrapText="1" indent="1"/>
    </xf>
    <xf numFmtId="0" fontId="34" fillId="0" borderId="0" applyAlignment="1" pivotButton="0" quotePrefix="0" xfId="0">
      <alignment horizontal="left" vertical="top" wrapText="1" indent="1"/>
    </xf>
    <xf numFmtId="0" fontId="37" fillId="0" borderId="0" applyAlignment="1" pivotButton="0" quotePrefix="0" xfId="0">
      <alignment horizontal="left" vertical="top" wrapText="1" indent="1"/>
    </xf>
    <xf numFmtId="0" fontId="36" fillId="0" borderId="0" applyAlignment="1" pivotButton="0" quotePrefix="0" xfId="0">
      <alignment horizontal="left" vertical="top" wrapText="1" indent="1"/>
    </xf>
    <xf numFmtId="0" fontId="40" fillId="0" borderId="0" applyAlignment="1" pivotButton="0" quotePrefix="0" xfId="0">
      <alignment horizontal="general" vertical="bottom"/>
    </xf>
    <xf numFmtId="0" fontId="36" fillId="9" borderId="0" applyAlignment="1" pivotButton="0" quotePrefix="0" xfId="0">
      <alignment horizontal="left" vertical="top" wrapText="1" indent="1"/>
    </xf>
    <xf numFmtId="0" fontId="41" fillId="0" borderId="0" applyAlignment="1" pivotButton="0" quotePrefix="0" xfId="0">
      <alignment horizontal="left" vertical="top" wrapText="1" indent="1"/>
    </xf>
    <xf numFmtId="0" fontId="34" fillId="0" borderId="0" applyAlignment="1" pivotButton="0" quotePrefix="0" xfId="0">
      <alignment horizontal="left" vertical="top" wrapText="1" indent="1"/>
    </xf>
    <xf numFmtId="0" fontId="43" fillId="0" borderId="0" applyAlignment="1" pivotButton="0" quotePrefix="0" xfId="0">
      <alignment horizontal="left" vertical="top" wrapText="1" indent="1"/>
    </xf>
    <xf numFmtId="0" fontId="47" fillId="0" borderId="0" applyAlignment="1" pivotButton="0" quotePrefix="0" xfId="0">
      <alignment horizontal="left" vertical="top" wrapText="1" indent="1"/>
    </xf>
    <xf numFmtId="0" fontId="35" fillId="9" borderId="0" applyAlignment="1" pivotButton="0" quotePrefix="0" xfId="0">
      <alignment horizontal="left" vertical="top" wrapText="1" indent="1"/>
    </xf>
    <xf numFmtId="0" fontId="39" fillId="9" borderId="0" applyAlignment="1" pivotButton="0" quotePrefix="0" xfId="0">
      <alignment horizontal="left" vertical="top" wrapText="1" indent="1"/>
    </xf>
    <xf numFmtId="0" fontId="42" fillId="0" borderId="0" applyAlignment="1" pivotButton="0" quotePrefix="0" xfId="0">
      <alignment horizontal="left" vertical="top" wrapText="1" indent="1"/>
    </xf>
    <xf numFmtId="0" fontId="49" fillId="0" borderId="0" applyAlignment="1" pivotButton="0" quotePrefix="0" xfId="0">
      <alignment horizontal="left" vertical="center" indent="1"/>
    </xf>
    <xf numFmtId="0" fontId="34" fillId="9" borderId="0" applyAlignment="1" pivotButton="0" quotePrefix="0" xfId="0">
      <alignment horizontal="left" vertical="top" wrapText="1" indent="1"/>
    </xf>
    <xf numFmtId="0" fontId="13" fillId="0" borderId="0" applyAlignment="1" pivotButton="0" quotePrefix="0" xfId="0">
      <alignment horizontal="left" vertical="center" wrapText="1" inden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4E89"/>
      <rgbColor rgb="FFBFBFBF"/>
      <rgbColor rgb="FF808080"/>
      <rgbColor rgb="FF9999FF"/>
      <rgbColor rgb="FF993366"/>
      <rgbColor rgb="FFFFF2CC"/>
      <rgbColor rgb="FFEAF0F8"/>
      <rgbColor rgb="FF660066"/>
      <rgbColor rgb="FFFF8080"/>
      <rgbColor rgb="FF2E559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EF7"/>
      <rgbColor rgb="FFF7F9FC"/>
      <rgbColor rgb="FFFFF4E3"/>
      <rgbColor rgb="FF99CCFF"/>
      <rgbColor rgb="FFFF99CC"/>
      <rgbColor rgb="FFCC99FF"/>
      <rgbColor rgb="FFFBE5E5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E2E5C"/>
      <rgbColor rgb="FF339966"/>
      <rgbColor rgb="FF003300"/>
      <rgbColor rgb="FF404040"/>
      <rgbColor rgb="FFB22222"/>
      <rgbColor rgb="FF993366"/>
      <rgbColor rgb="FF1F3864"/>
      <rgbColor rgb="FF2B2B2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2"/>
  <sheetViews>
    <sheetView showFormulas="0" showGridLines="1" showRowColHeaders="1" showZeros="1" rightToLeft="0" tabSelected="0" showOutlineSymbols="1" defaultGridColor="1" view="pageBreakPreview" topLeftCell="A1" colorId="64" zoomScale="100" zoomScaleNormal="100" zoomScalePageLayoutView="100" workbookViewId="0">
      <pane xSplit="1" ySplit="1" topLeftCell="R2" activePane="bottomRight" state="frozen"/>
      <selection pane="topLeft" activeCell="A1" activeCellId="0" sqref="A1"/>
      <selection pane="topRight" activeCell="R1" activeCellId="0" sqref="R1"/>
      <selection pane="bottomLeft" activeCell="A2" activeCellId="0" sqref="A2"/>
      <selection pane="bottomRight" activeCell="AB16" activeCellId="0" sqref="AB16"/>
    </sheetView>
  </sheetViews>
  <sheetFormatPr baseColWidth="8" defaultColWidth="8.66796875" defaultRowHeight="14.25" customHeight="0" zeroHeight="0" outlineLevelRow="0"/>
  <cols>
    <col width="18" customWidth="1" style="50" min="1" max="30"/>
  </cols>
  <sheetData>
    <row r="1" ht="30" customHeight="1" s="51">
      <c r="A1" s="52" t="inlineStr">
        <is>
          <t>계약번호</t>
        </is>
      </c>
      <c r="B1" s="52" t="inlineStr">
        <is>
          <t>계약일자</t>
        </is>
      </c>
      <c r="C1" s="52" t="inlineStr">
        <is>
          <t>차종</t>
        </is>
      </c>
      <c r="D1" s="52" t="inlineStr">
        <is>
          <t>차대번호</t>
        </is>
      </c>
      <c r="E1" s="52" t="inlineStr">
        <is>
          <t>차량번호</t>
        </is>
      </c>
      <c r="F1" s="52" t="inlineStr">
        <is>
          <t>색상</t>
        </is>
      </c>
      <c r="G1" s="52" t="inlineStr">
        <is>
          <t>정비여부</t>
        </is>
      </c>
      <c r="H1" s="52" t="inlineStr">
        <is>
          <t>보험연령</t>
        </is>
      </c>
      <c r="I1" s="52" t="inlineStr">
        <is>
          <t>일사용료</t>
        </is>
      </c>
      <c r="J1" s="52" t="inlineStr">
        <is>
          <t>사용일수</t>
        </is>
      </c>
      <c r="K1" s="52" t="inlineStr">
        <is>
          <t>보증금</t>
        </is>
      </c>
      <c r="L1" s="52" t="inlineStr">
        <is>
          <t>사업장 업체명</t>
        </is>
      </c>
      <c r="M1" s="52" t="inlineStr">
        <is>
          <t>사업자번호</t>
        </is>
      </c>
      <c r="N1" s="52" t="inlineStr">
        <is>
          <t>대표자명</t>
        </is>
      </c>
      <c r="O1" s="52" t="inlineStr">
        <is>
          <t>업체주소</t>
        </is>
      </c>
      <c r="P1" s="52" t="inlineStr">
        <is>
          <t>사업장 연락처</t>
        </is>
      </c>
      <c r="Q1" s="52" t="inlineStr">
        <is>
          <t>사업장 이메일</t>
        </is>
      </c>
      <c r="R1" s="52" t="inlineStr">
        <is>
          <t>대표자 주민번호</t>
        </is>
      </c>
      <c r="S1" s="52" t="inlineStr">
        <is>
          <t>대표자 연락처</t>
        </is>
      </c>
      <c r="T1" s="52" t="inlineStr">
        <is>
          <t>대표자 주소</t>
        </is>
      </c>
      <c r="U1" s="52" t="inlineStr">
        <is>
          <t>계약유형</t>
        </is>
      </c>
      <c r="V1" s="52" t="inlineStr">
        <is>
          <t>상품유형</t>
        </is>
      </c>
      <c r="W1" s="52" t="inlineStr">
        <is>
          <t>납입방법</t>
        </is>
      </c>
      <c r="X1" s="52" t="inlineStr">
        <is>
          <t>납입계좌</t>
        </is>
      </c>
      <c r="Y1" s="52" t="inlineStr">
        <is>
          <t>요금결제일</t>
        </is>
      </c>
      <c r="Z1" s="53" t="inlineStr">
        <is>
          <t>계약유형</t>
        </is>
      </c>
      <c r="AA1" s="53" t="inlineStr">
        <is>
          <t>상품유형</t>
        </is>
      </c>
      <c r="AB1" s="53" t="inlineStr">
        <is>
          <t>납입방법</t>
        </is>
      </c>
      <c r="AC1" s="53" t="inlineStr">
        <is>
          <t>납입계좌</t>
        </is>
      </c>
      <c r="AD1" s="53" t="inlineStr">
        <is>
          <t>요금결제일</t>
        </is>
      </c>
    </row>
    <row r="2" ht="30.75" customHeight="1" s="51">
      <c r="A2" s="54" t="n">
        <v>1</v>
      </c>
      <c r="B2" s="54" t="inlineStr">
        <is>
          <t>2026-04-24</t>
        </is>
      </c>
      <c r="C2" s="54" t="inlineStr">
        <is>
          <t>UHR150</t>
        </is>
      </c>
      <c r="D2" s="54" t="inlineStr">
        <is>
          <t>LWMTDKH95THJ00467</t>
        </is>
      </c>
      <c r="E2" s="54" t="inlineStr">
        <is>
          <t>1나88370</t>
        </is>
      </c>
      <c r="F2" s="55" t="inlineStr">
        <is>
          <t>화이트</t>
        </is>
      </c>
      <c r="G2" s="55" t="inlineStr">
        <is>
          <t>비포함</t>
        </is>
      </c>
      <c r="H2" s="55" t="inlineStr">
        <is>
          <t>만30세</t>
        </is>
      </c>
      <c r="I2" s="54" t="n">
        <v>26400</v>
      </c>
      <c r="J2" s="54" t="n">
        <v>365</v>
      </c>
      <c r="K2" s="54" t="n">
        <v>300000</v>
      </c>
      <c r="L2" s="55" t="inlineStr">
        <is>
          <t>중앙 오토바이 가수점</t>
        </is>
      </c>
      <c r="M2" s="54" t="inlineStr">
        <is>
          <t>737-55-00719</t>
        </is>
      </c>
      <c r="N2" s="55" t="inlineStr">
        <is>
          <t>안종식</t>
        </is>
      </c>
      <c r="O2" s="55" t="inlineStr">
        <is>
          <t>경기도 오산시 가장로 763, 1층 5,6호(가수동)</t>
        </is>
      </c>
      <c r="P2" s="54" t="inlineStr">
        <is>
          <t>010-5813-7336</t>
        </is>
      </c>
      <c r="Q2" s="54" t="inlineStr">
        <is>
          <t>jungang@example.com</t>
        </is>
      </c>
      <c r="R2" s="54" t="inlineStr">
        <is>
          <t>820530-1046518</t>
        </is>
      </c>
      <c r="S2" s="54" t="inlineStr">
        <is>
          <t>010-5813-7336</t>
        </is>
      </c>
      <c r="T2" s="55" t="inlineStr">
        <is>
          <t>경기도 오산시 궐동로 77, 1층(궐동)</t>
        </is>
      </c>
      <c r="U2" s="55" t="inlineStr">
        <is>
          <t>할부판매</t>
        </is>
      </c>
      <c r="V2" s="55" t="inlineStr">
        <is>
          <t>인수형</t>
        </is>
      </c>
      <c r="W2" s="55" t="inlineStr">
        <is>
          <t>계좌이체</t>
        </is>
      </c>
      <c r="X2" s="55" t="inlineStr">
        <is>
          <t>기업은행 929-028075-04-011 포어스바이크(유)</t>
        </is>
      </c>
      <c r="Y2" s="55" t="inlineStr">
        <is>
          <t>월2회(15일,말일)</t>
        </is>
      </c>
      <c r="Z2" s="55" t="inlineStr">
        <is>
          <t>할부 판매</t>
        </is>
      </c>
      <c r="AA2" s="55" t="inlineStr">
        <is>
          <t>인수형</t>
        </is>
      </c>
      <c r="AB2" s="55" t="inlineStr">
        <is>
          <t>계좌이체</t>
        </is>
      </c>
      <c r="AC2" s="55" t="inlineStr">
        <is>
          <t>기업은행 929-028519-04-010</t>
        </is>
      </c>
      <c r="AD2" s="55" t="inlineStr">
        <is>
          <t>월2회(15일, 말일)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L92"/>
  <sheetViews>
    <sheetView showFormulas="0" showGridLines="1" showRowColHeaders="1" showZeros="1" rightToLeft="0" tabSelected="0" showOutlineSymbols="1" defaultGridColor="1" view="pageBreakPreview" topLeftCell="A17" colorId="64" zoomScale="100" zoomScaleNormal="100" zoomScalePageLayoutView="100" workbookViewId="0">
      <selection pane="topLeft" activeCell="F20" activeCellId="0" sqref="F20"/>
    </sheetView>
  </sheetViews>
  <sheetFormatPr baseColWidth="8" defaultColWidth="8.66796875" defaultRowHeight="14.25" customHeight="0" zeroHeight="0" outlineLevelRow="0"/>
  <cols>
    <col width="1.56" customWidth="1" style="50" min="1" max="1"/>
    <col width="10" customWidth="1" style="50" min="2" max="2"/>
    <col width="11.89" customWidth="1" style="50" min="3" max="3"/>
    <col width="17.44" customWidth="1" style="50" min="4" max="4"/>
    <col width="11" customWidth="1" style="50" min="5" max="5"/>
    <col width="16" customWidth="1" style="50" min="6" max="6"/>
    <col width="10" customWidth="1" style="50" min="7" max="7"/>
    <col width="16" customWidth="1" style="50" min="8" max="8"/>
    <col width="10" customWidth="1" style="50" min="9" max="9"/>
    <col width="20.56" customWidth="1" style="50" min="10" max="10"/>
    <col width="2.11" customWidth="1" style="50" min="11" max="11"/>
    <col width="6" customWidth="1" style="50" min="12" max="12"/>
  </cols>
  <sheetData>
    <row r="1" ht="7.5" customHeight="1" s="51">
      <c r="A1" s="56" t="n"/>
      <c r="B1" s="56" t="n"/>
      <c r="C1" s="56" t="n"/>
      <c r="D1" s="56" t="n"/>
      <c r="E1" s="56" t="n"/>
      <c r="F1" s="56" t="n"/>
      <c r="G1" s="56" t="n"/>
      <c r="H1" s="56" t="n"/>
      <c r="I1" s="56" t="n"/>
      <c r="J1" s="56" t="n"/>
      <c r="K1" s="56" t="n"/>
      <c r="L1" s="57" t="inlineStr">
        <is>
          <t>계약번호입력→</t>
        </is>
      </c>
    </row>
    <row r="2" ht="48" customHeight="1" s="51">
      <c r="A2" s="56" t="n"/>
      <c r="B2" s="58" t="inlineStr">
        <is>
          <t>이륜차 할부판매 계약서</t>
        </is>
      </c>
      <c r="K2" s="56" t="n"/>
      <c r="L2" s="59" t="n">
        <v>1</v>
      </c>
    </row>
    <row r="3" ht="24" customHeight="1" s="51">
      <c r="A3" s="56" t="n"/>
      <c r="B3" s="60" t="inlineStr">
        <is>
          <t>한국모터사이클리스 유한회사</t>
        </is>
      </c>
      <c r="F3" s="61" t="inlineStr">
        <is>
          <t>계약번호</t>
        </is>
      </c>
      <c r="I3" s="62">
        <f>IFERROR(TEXT($L$2,"0000"),"")</f>
        <v/>
      </c>
      <c r="J3" s="63" t="n"/>
      <c r="K3" s="56" t="n"/>
      <c r="L3" s="56" t="n"/>
    </row>
    <row r="4" ht="7.5" customHeight="1" s="51">
      <c r="A4" s="56" t="n"/>
      <c r="B4" s="56" t="n"/>
      <c r="C4" s="56" t="n"/>
      <c r="D4" s="56" t="n"/>
      <c r="E4" s="64" t="n"/>
      <c r="F4" s="56" t="n"/>
      <c r="G4" s="56" t="n"/>
      <c r="H4" s="56" t="n"/>
      <c r="I4" s="56" t="n"/>
      <c r="J4" s="56" t="n"/>
      <c r="K4" s="56" t="n"/>
      <c r="L4" s="56" t="n"/>
    </row>
    <row r="5" ht="25.5" customHeight="1" s="51">
      <c r="A5" s="56" t="n"/>
      <c r="B5" s="65" t="inlineStr">
        <is>
          <t>■ 차량 정보</t>
        </is>
      </c>
      <c r="K5" s="56" t="n"/>
      <c r="L5" s="56" t="n"/>
    </row>
    <row r="6" ht="21.75" customHeight="1" s="51">
      <c r="A6" s="56" t="n"/>
      <c r="B6" s="66" t="inlineStr">
        <is>
          <t>차종</t>
        </is>
      </c>
      <c r="C6" s="67">
        <f>IFERROR(IF(VLOOKUP($L$2,[1]계약리스트!$a$2:$AD$10000,3,0)="","",VLOOKUP($L$2,[1]계약리스트!$a$2:$AD$10000,3,0)),"")</f>
        <v/>
      </c>
      <c r="D6" s="68" t="n"/>
      <c r="E6" s="66" t="inlineStr">
        <is>
          <t>차량번호</t>
        </is>
      </c>
      <c r="F6" s="67">
        <f>IFERROR(IF(VLOOKUP($L$2,[1]계약리스트!$a$2:$AD$10000,5,0)="","",VLOOKUP($L$2,[1]계약리스트!$a$2:$AD$10000,5,0)),"")</f>
        <v/>
      </c>
      <c r="G6" s="68" t="n"/>
      <c r="H6" s="66" t="inlineStr">
        <is>
          <t>색상</t>
        </is>
      </c>
      <c r="I6" s="67">
        <f>IFERROR(IF(VLOOKUP($L$2,[1]계약리스트!$a$2:$AD$10000,6,0)="","",VLOOKUP($L$2,[1]계약리스트!$a$2:$AD$10000,6,0)),"")</f>
        <v/>
      </c>
      <c r="J6" s="68" t="n"/>
      <c r="K6" s="56" t="n"/>
      <c r="L6" s="56" t="n"/>
    </row>
    <row r="7" ht="21.75" customHeight="1" s="51">
      <c r="A7" s="56" t="n"/>
      <c r="B7" s="66" t="inlineStr">
        <is>
          <t>차대번호</t>
        </is>
      </c>
      <c r="C7" s="67">
        <f>IFERROR(IF(VLOOKUP($L$2,[1]계약리스트!$a$2:$AD$10000,4,0)="","",VLOOKUP($L$2,[1]계약리스트!$a$2:$AD$10000,4,0)),"")</f>
        <v/>
      </c>
      <c r="D7" s="68" t="n"/>
      <c r="E7" s="66" t="inlineStr">
        <is>
          <t>정비여부</t>
        </is>
      </c>
      <c r="F7" s="67">
        <f>IFERROR(IF(VLOOKUP($L$2,[1]계약리스트!$a$2:$AD$10000,7,0)="","",VLOOKUP($L$2,[1]계약리스트!$a$2:$AD$10000,7,0)),"")</f>
        <v/>
      </c>
      <c r="G7" s="68" t="n"/>
      <c r="H7" s="66" t="inlineStr">
        <is>
          <t>계약일자</t>
        </is>
      </c>
      <c r="I7" s="67">
        <f>IFERROR(IF(VLOOKUP($L$2,[1]계약리스트!$a$2:$AD$10000,2,0)="","",VLOOKUP($L$2,[1]계약리스트!$a$2:$AD$10000,2,0)),"")</f>
        <v/>
      </c>
      <c r="J7" s="68" t="n"/>
      <c r="K7" s="56" t="n"/>
      <c r="L7" s="56" t="n"/>
    </row>
    <row r="8" ht="7.5" customHeight="1" s="51">
      <c r="A8" s="56" t="n"/>
      <c r="B8" s="56" t="n"/>
      <c r="C8" s="56" t="n"/>
      <c r="D8" s="56" t="n"/>
      <c r="E8" s="56" t="n"/>
      <c r="F8" s="56" t="n"/>
      <c r="G8" s="56" t="n"/>
      <c r="H8" s="56" t="n"/>
      <c r="I8" s="56" t="n"/>
      <c r="J8" s="56" t="n"/>
      <c r="K8" s="56" t="n"/>
      <c r="L8" s="56" t="n"/>
    </row>
    <row r="9" ht="25.5" customHeight="1" s="51">
      <c r="A9" s="56" t="n"/>
      <c r="B9" s="69" t="inlineStr">
        <is>
          <t>■ 계약자</t>
        </is>
      </c>
      <c r="C9" s="70" t="n"/>
      <c r="D9" s="70" t="n"/>
      <c r="E9" s="70" t="n"/>
      <c r="F9" s="70" t="n"/>
      <c r="G9" s="70" t="n"/>
      <c r="H9" s="70" t="n"/>
      <c r="I9" s="70" t="n"/>
      <c r="J9" s="70" t="n"/>
      <c r="K9" s="56" t="n"/>
      <c r="L9" s="56" t="n"/>
    </row>
    <row r="10" ht="21.75" customHeight="1" s="51">
      <c r="A10" s="56" t="n"/>
      <c r="B10" s="66" t="inlineStr">
        <is>
          <t>성명</t>
        </is>
      </c>
      <c r="C10" s="67">
        <f>IFERROR(IF(VLOOKUP($L$2,[1]계약리스트!$a$2:$AD$10000,14,0)="","",VLOOKUP($L$2,[1]계약리스트!$a$2:$AD$10000,14,0)),"")</f>
        <v/>
      </c>
      <c r="D10" s="68" t="n"/>
      <c r="E10" s="66" t="inlineStr">
        <is>
          <t>주민등록번호</t>
        </is>
      </c>
      <c r="F10" s="67">
        <f>IFERROR(IF(VLOOKUP($L$2,[1]계약리스트!$a$2:$AD$10000,18,0)="","",VLOOKUP($L$2,[1]계약리스트!$a$2:$AD$10000,18,0)),"")</f>
        <v/>
      </c>
      <c r="G10" s="68" t="n"/>
      <c r="H10" s="66" t="inlineStr">
        <is>
          <t>연락처</t>
        </is>
      </c>
      <c r="I10" s="67">
        <f>IFERROR(IF(VLOOKUP($L$2,[1]계약리스트!$a$2:$AD$10000,19,0)="","",VLOOKUP($L$2,[1]계약리스트!$a$2:$AD$10000,19,0)),"")</f>
        <v/>
      </c>
      <c r="J10" s="68" t="n"/>
      <c r="K10" s="56" t="n"/>
      <c r="L10" s="56" t="n"/>
    </row>
    <row r="11" ht="21.75" customHeight="1" s="51">
      <c r="A11" s="56" t="n"/>
      <c r="B11" s="66" t="inlineStr">
        <is>
          <t>연락처</t>
        </is>
      </c>
      <c r="C11" s="67">
        <f>IFERROR(IF(VLOOKUP($L$2,[1]계약리스트!$a$2:$AD$10000,16,0)="","",VLOOKUP($L$2,[1]계약리스트!$a$2:$AD$10000,16,0)),"")</f>
        <v/>
      </c>
      <c r="D11" s="68" t="n"/>
      <c r="E11" s="66" t="inlineStr">
        <is>
          <t>업체주소</t>
        </is>
      </c>
      <c r="F11" s="71">
        <f>IFERROR(IF(VLOOKUP($L$2,[1]계약리스트!$a$2:$AD$10000,15,0)="","",VLOOKUP($L$2,[1]계약리스트!$a$2:$AD$10000,15,0)),"")</f>
        <v/>
      </c>
      <c r="G11" s="72" t="n"/>
      <c r="H11" s="72" t="n"/>
      <c r="I11" s="72" t="n"/>
      <c r="J11" s="68" t="n"/>
      <c r="K11" s="56" t="n"/>
      <c r="L11" s="56" t="n"/>
    </row>
    <row r="12" ht="19.5" customHeight="1" s="51">
      <c r="A12" s="56" t="n"/>
      <c r="B12" s="73" t="inlineStr">
        <is>
          <t>※ 제출 서류 : 사업자등록증 사본, 대표자 신분증 사본</t>
        </is>
      </c>
      <c r="C12" s="72" t="n"/>
      <c r="D12" s="72" t="n"/>
      <c r="E12" s="72" t="n"/>
      <c r="F12" s="72" t="n"/>
      <c r="G12" s="72" t="n"/>
      <c r="H12" s="72" t="n"/>
      <c r="I12" s="72" t="n"/>
      <c r="J12" s="68" t="n"/>
      <c r="K12" s="56" t="n"/>
      <c r="L12" s="56" t="n"/>
    </row>
    <row r="13" ht="7.5" customHeight="1" s="51">
      <c r="A13" s="56" t="n"/>
      <c r="B13" s="56" t="n"/>
      <c r="C13" s="56" t="n"/>
      <c r="D13" s="56" t="n"/>
      <c r="E13" s="56" t="n"/>
      <c r="F13" s="56" t="n"/>
      <c r="G13" s="56" t="n"/>
      <c r="H13" s="56" t="n"/>
      <c r="I13" s="56" t="n"/>
      <c r="J13" s="56" t="n"/>
      <c r="K13" s="56" t="n"/>
      <c r="L13" s="56" t="n"/>
    </row>
    <row r="14" ht="25.5" customHeight="1" s="51">
      <c r="A14" s="56" t="n"/>
      <c r="B14" s="65" t="inlineStr">
        <is>
          <t>■ 연대보증인</t>
        </is>
      </c>
      <c r="K14" s="56" t="n"/>
      <c r="L14" s="56" t="n"/>
    </row>
    <row r="15" ht="21.75" customHeight="1" s="51">
      <c r="A15" s="56" t="n"/>
      <c r="B15" s="66" t="inlineStr">
        <is>
          <t>업체명</t>
        </is>
      </c>
      <c r="C15" s="67">
        <f>IFERROR(IF(VLOOKUP($L$2,[1]계약리스트!$a$2:$AD$10000,12,0)="","",VLOOKUP($L$2,[1]계약리스트!$a$2:$AD$10000,12,0)),"")</f>
        <v/>
      </c>
      <c r="D15" s="68" t="n"/>
      <c r="E15" s="66" t="inlineStr">
        <is>
          <t>사업자번호</t>
        </is>
      </c>
      <c r="F15" s="67">
        <f>IFERROR(IF(VLOOKUP($L$2,[1]계약리스트!$a$2:$AD$10000,13,0)="","",VLOOKUP($L$2,[1]계약리스트!$a$2:$AD$10000,13,0)),"")</f>
        <v/>
      </c>
      <c r="G15" s="68" t="n"/>
      <c r="H15" s="66" t="inlineStr">
        <is>
          <t>대표자명</t>
        </is>
      </c>
      <c r="I15" s="67">
        <f>IFERROR(IF(VLOOKUP($L$2,[1]계약리스트!$a$2:$AD$10000,14,0)="","",VLOOKUP($L$2,[1]계약리스트!$a$2:$AD$10000,14,0)),"")</f>
        <v/>
      </c>
      <c r="J15" s="68" t="n"/>
      <c r="K15" s="56" t="n"/>
      <c r="L15" s="56" t="n"/>
    </row>
    <row r="16" ht="21.75" customHeight="1" s="51">
      <c r="A16" s="56" t="n"/>
      <c r="B16" s="66" t="inlineStr">
        <is>
          <t>주소</t>
        </is>
      </c>
      <c r="C16" s="71">
        <f>IFERROR(IF(VLOOKUP($L$2,[1]계약리스트!$a$2:$AD$10000,20,0)="","",VLOOKUP($L$2,[1]계약리스트!$a$2:$AD$10000,20,0)),"")</f>
        <v/>
      </c>
      <c r="D16" s="72" t="n"/>
      <c r="E16" s="72" t="n"/>
      <c r="F16" s="72" t="n"/>
      <c r="G16" s="72" t="n"/>
      <c r="H16" s="72" t="n"/>
      <c r="I16" s="72" t="n"/>
      <c r="J16" s="68" t="n"/>
      <c r="K16" s="56" t="n"/>
      <c r="L16" s="56" t="n"/>
    </row>
    <row r="17" ht="21.75" customHeight="1" s="51">
      <c r="A17" s="56" t="n"/>
      <c r="B17" s="73" t="inlineStr">
        <is>
          <t>※ 제출 서류 : 대표자 신분증 사본  |  보증 기한 : 2년  |  보증 한도 : 전체 이용료의 130%</t>
        </is>
      </c>
      <c r="C17" s="72" t="n"/>
      <c r="D17" s="72" t="n"/>
      <c r="E17" s="72" t="n"/>
      <c r="F17" s="72" t="n"/>
      <c r="G17" s="72" t="n"/>
      <c r="H17" s="72" t="n"/>
      <c r="I17" s="72" t="n"/>
      <c r="J17" s="68" t="n"/>
      <c r="K17" s="56" t="n"/>
      <c r="L17" s="56" t="n"/>
    </row>
    <row r="18" ht="7.5" customHeight="1" s="51">
      <c r="A18" s="56" t="n"/>
      <c r="B18" s="56" t="n"/>
      <c r="C18" s="56" t="n"/>
      <c r="D18" s="56" t="n"/>
      <c r="E18" s="56" t="n"/>
      <c r="F18" s="56" t="n"/>
      <c r="G18" s="56" t="n"/>
      <c r="H18" s="56" t="n"/>
      <c r="I18" s="56" t="n"/>
      <c r="J18" s="56" t="n"/>
      <c r="K18" s="56" t="n"/>
      <c r="L18" s="56" t="n"/>
    </row>
    <row r="19" ht="25.5" customHeight="1" s="51">
      <c r="A19" s="56" t="n"/>
      <c r="B19" s="74" t="inlineStr">
        <is>
          <t>■ 계약 조건</t>
        </is>
      </c>
      <c r="K19" s="56" t="n"/>
      <c r="L19" s="56" t="n"/>
    </row>
    <row r="20" ht="21.75" customHeight="1" s="51">
      <c r="A20" s="56" t="n"/>
      <c r="B20" s="75" t="inlineStr">
        <is>
          <t>계약유형</t>
        </is>
      </c>
      <c r="C20" s="67">
        <f>IFERROR(IF(VLOOKUP($L$2,계약리스트!$A$2:$AD$10000,21,0)="","",VLOOKUP($L$2,계약리스트!$A$2:$AD$10000,21,0)),"")</f>
        <v/>
      </c>
      <c r="D20" s="68" t="n"/>
      <c r="E20" s="75" t="inlineStr">
        <is>
          <t>상품유형</t>
        </is>
      </c>
      <c r="F20" s="67">
        <f>IFERROR(IF(VLOOKUP($L$2,계약리스트!$A$2:$AD$10000,27,0)="","",VLOOKUP($L$2,계약리스트!$A$2:$AD$10000,27,0)),"")</f>
        <v/>
      </c>
      <c r="G20" s="68" t="n"/>
      <c r="H20" s="75" t="inlineStr">
        <is>
          <t>할부판매기간</t>
        </is>
      </c>
      <c r="I20" s="67">
        <f>IFERROR(VLOOKUP($L$2,계약리스트!$A$2:$AD$10000,10,0)&amp;"일","")</f>
        <v/>
      </c>
      <c r="J20" s="68" t="n"/>
      <c r="K20" s="56" t="n"/>
      <c r="L20" s="56" t="n"/>
    </row>
    <row r="21" ht="21.75" customHeight="1" s="51">
      <c r="A21" s="56" t="n"/>
      <c r="B21" s="75" t="inlineStr">
        <is>
          <t>일사용료
(VAT포함)</t>
        </is>
      </c>
      <c r="C21" s="67">
        <f>IFERROR(TEXT(VLOOKUP($L$2,계약리스트!$A$2:$AD$10000,9,0),"#,##0")&amp;" 원","")</f>
        <v/>
      </c>
      <c r="D21" s="68" t="n"/>
      <c r="E21" s="75" t="inlineStr">
        <is>
          <t>보증금</t>
        </is>
      </c>
      <c r="F21" s="67">
        <f>IFERROR(TEXT(VLOOKUP($L$2,계약리스트!$A$2:$AD$10000,11,0),"#,##0")&amp;" 원","")</f>
        <v/>
      </c>
      <c r="G21" s="68" t="n"/>
      <c r="H21" s="75" t="inlineStr">
        <is>
          <t>요금결제일</t>
        </is>
      </c>
      <c r="I21" s="67">
        <f>IFERROR(IF(VLOOKUP($L$2,계약리스트!$A$2:$AD$10000,30,0)="","",VLOOKUP($L$2,계약리스트!$A$2:$AD$10000,30,0)),"")</f>
        <v/>
      </c>
      <c r="J21" s="68" t="n"/>
      <c r="K21" s="56" t="n"/>
      <c r="L21" s="56" t="n"/>
    </row>
    <row r="22" ht="21.75" customHeight="1" s="51">
      <c r="A22" s="56" t="n"/>
      <c r="B22" s="75" t="inlineStr">
        <is>
          <t>납입방법</t>
        </is>
      </c>
      <c r="C22" s="76" t="inlineStr">
        <is>
          <t>계좌이체</t>
        </is>
      </c>
      <c r="D22" s="68" t="n"/>
      <c r="E22" s="75" t="inlineStr">
        <is>
          <t>청구시작일</t>
        </is>
      </c>
      <c r="F22" s="76" t="inlineStr">
        <is>
          <t>차량 인도일부터</t>
        </is>
      </c>
      <c r="G22" s="72" t="n"/>
      <c r="H22" s="72" t="n"/>
      <c r="I22" s="72" t="n"/>
      <c r="J22" s="68" t="n"/>
      <c r="K22" s="56" t="n"/>
      <c r="L22" s="56" t="n"/>
    </row>
    <row r="23" ht="21.75" customHeight="1" s="51">
      <c r="A23" s="56" t="n"/>
      <c r="B23" s="75" t="inlineStr">
        <is>
          <t>납입계좌</t>
        </is>
      </c>
      <c r="C23" s="71">
        <f>IFERROR(IF(VLOOKUP($L$2,[1]계약리스트!$a$2:$AD$10000,24,0)="","",VLOOKUP($L$2,[1]계약리스트!$a$2:$AD$10000,24,0)),"")</f>
        <v/>
      </c>
      <c r="D23" s="72" t="n"/>
      <c r="E23" s="72" t="n"/>
      <c r="F23" s="72" t="n"/>
      <c r="G23" s="72" t="n"/>
      <c r="H23" s="72" t="n"/>
      <c r="I23" s="72" t="n"/>
      <c r="J23" s="68" t="n"/>
      <c r="K23" s="56" t="n"/>
      <c r="L23" s="56" t="n"/>
    </row>
    <row r="24" ht="7.5" customHeight="1" s="51">
      <c r="A24" s="56" t="n"/>
      <c r="B24" s="56" t="n"/>
      <c r="C24" s="56" t="n"/>
      <c r="D24" s="56" t="n"/>
      <c r="E24" s="56" t="n"/>
      <c r="F24" s="56" t="n"/>
      <c r="G24" s="56" t="n"/>
      <c r="H24" s="56" t="n"/>
      <c r="I24" s="56" t="n"/>
      <c r="J24" s="56" t="n"/>
      <c r="K24" s="56" t="n"/>
      <c r="L24" s="56" t="n"/>
    </row>
    <row r="25" ht="25.5" customHeight="1" s="51">
      <c r="A25" s="56" t="n"/>
      <c r="B25" s="74" t="inlineStr">
        <is>
          <t>■ 회사 정보 (공급자)</t>
        </is>
      </c>
      <c r="K25" s="56" t="n"/>
      <c r="L25" s="56" t="n"/>
    </row>
    <row r="26" ht="21.75" customHeight="1" s="51">
      <c r="A26" s="56" t="n"/>
      <c r="B26" s="75" t="inlineStr">
        <is>
          <t>상호</t>
        </is>
      </c>
      <c r="C26" s="76" t="inlineStr">
        <is>
          <t>한국모터사이클리스 유한회사</t>
        </is>
      </c>
      <c r="D26" s="68" t="n"/>
      <c r="E26" s="75" t="inlineStr">
        <is>
          <t>사업자번호</t>
        </is>
      </c>
      <c r="F26" s="67" t="inlineStr">
        <is>
          <t>647-86-03800</t>
        </is>
      </c>
      <c r="G26" s="68" t="n"/>
      <c r="H26" s="75" t="inlineStr">
        <is>
          <t>대표이사</t>
        </is>
      </c>
      <c r="I26" s="76" t="inlineStr">
        <is>
          <t>김현수</t>
        </is>
      </c>
      <c r="J26" s="68" t="n"/>
      <c r="K26" s="56" t="n"/>
      <c r="L26" s="56" t="n"/>
    </row>
    <row r="27" ht="21.75" customHeight="1" s="51">
      <c r="A27" s="56" t="n"/>
      <c r="B27" s="75" t="inlineStr">
        <is>
          <t>주소</t>
        </is>
      </c>
      <c r="C27" s="76" t="inlineStr">
        <is>
          <t>경기도 수원시 권선구 입북로59번길 15</t>
        </is>
      </c>
      <c r="D27" s="72" t="n"/>
      <c r="E27" s="72" t="n"/>
      <c r="F27" s="68" t="n"/>
      <c r="G27" s="75" t="inlineStr">
        <is>
          <t>고객센터</t>
        </is>
      </c>
      <c r="H27" s="67" t="inlineStr">
        <is>
          <t>010-2730-7845</t>
        </is>
      </c>
      <c r="I27" s="72" t="n"/>
      <c r="J27" s="68" t="n"/>
      <c r="K27" s="56" t="n"/>
      <c r="L27" s="56" t="n"/>
    </row>
    <row r="28" ht="7.5" customHeight="1" s="51">
      <c r="A28" s="56" t="n"/>
      <c r="B28" s="56" t="n"/>
      <c r="C28" s="56" t="n"/>
      <c r="D28" s="56" t="n"/>
      <c r="E28" s="56" t="n"/>
      <c r="F28" s="56" t="n"/>
      <c r="G28" s="56" t="n"/>
      <c r="H28" s="56" t="n"/>
      <c r="I28" s="56" t="n"/>
      <c r="J28" s="56" t="n"/>
      <c r="K28" s="56" t="n"/>
      <c r="L28" s="56" t="n"/>
    </row>
    <row r="29" ht="25.5" customHeight="1" s="51">
      <c r="A29" s="56" t="n"/>
      <c r="B29" s="77" t="inlineStr">
        <is>
          <t>⚠ 주요 확인사항 (서명 전 필독)</t>
        </is>
      </c>
      <c r="C29" s="70" t="n"/>
      <c r="D29" s="70" t="n"/>
      <c r="E29" s="70" t="n"/>
      <c r="F29" s="70" t="n"/>
      <c r="G29" s="70" t="n"/>
      <c r="H29" s="70" t="n"/>
      <c r="I29" s="70" t="n"/>
      <c r="J29" s="70" t="n"/>
      <c r="K29" s="56" t="n"/>
      <c r="L29" s="56" t="n"/>
    </row>
    <row r="30" ht="31.5" customHeight="1" s="51">
      <c r="A30" s="56" t="n"/>
      <c r="B30" s="78" t="inlineStr">
        <is>
          <t>운행자성</t>
        </is>
      </c>
      <c r="C30" s="68" t="n"/>
      <c r="D30" s="79" t="inlineStr">
        <is>
          <t>회사는 본 차량의 소유자이나 자동차손해배상보장법상 "운행자"가 아니며, 운행자성(운행지배·운행이익)은 전적으로 계약자에게 있습니다. 따라서 운행 중 발생하는 모든 인적·물적 손해의 운행자 책임은 계약자가 부담합니다.</t>
        </is>
      </c>
      <c r="E30" s="72" t="n"/>
      <c r="F30" s="72" t="n"/>
      <c r="G30" s="72" t="n"/>
      <c r="H30" s="72" t="n"/>
      <c r="I30" s="72" t="n"/>
      <c r="J30" s="68" t="n"/>
      <c r="K30" s="56" t="n"/>
      <c r="L30" s="56" t="n"/>
    </row>
    <row r="31" ht="31.5" customHeight="1" s="51">
      <c r="A31" s="56" t="n"/>
      <c r="B31" s="78" t="inlineStr">
        <is>
          <t>사고 즉시 고지 의무</t>
        </is>
      </c>
      <c r="C31" s="68" t="n"/>
      <c r="D31" s="79" t="inlineStr">
        <is>
          <t>회사는 운행자가 아니므로 사고 발생 사실을 직접 인지할 수 없습니다. 사고(인적·물적 손해, 단독사고, 차량 파손, 도난, 멸실 등 일체) 발생 시 계약자는 즉시 회사에 고지하여야 하며, 미고지·지연 고지로 발생하는 모든 손해(보험 미보장분, 회사 추가 부담 비용 등)는 계약자가 전적으로 책임지며 회사는 본 계약을 즉시 해지하고 차량을 회수할 수 있습니다.</t>
        </is>
      </c>
      <c r="E31" s="72" t="n"/>
      <c r="F31" s="72" t="n"/>
      <c r="G31" s="72" t="n"/>
      <c r="H31" s="72" t="n"/>
      <c r="I31" s="72" t="n"/>
      <c r="J31" s="68" t="n"/>
      <c r="K31" s="56" t="n"/>
      <c r="L31" s="56" t="n"/>
    </row>
    <row r="32" ht="31.5" customHeight="1" s="51">
      <c r="A32" s="56" t="n"/>
      <c r="B32" s="78" t="inlineStr">
        <is>
          <t>운전자 범위 (기명 1인 한정)</t>
        </is>
      </c>
      <c r="C32" s="68" t="n"/>
      <c r="D32" s="79" t="inlineStr">
        <is>
          <t>본 차량의 보험은 계약자(기명 1인)를 운전자로 지정하여 가입되며, 계약자만 운행할 수 있습니다. 계약자 외의 자가 운행하여 발생한 사고·손해·보험사 구상금은 보험사 면책 가능성과 무관하게 계약자가 전적으로 책임지며, 회사의 라이더 신원·연령 확인 여부와 관계없습니다.</t>
        </is>
      </c>
      <c r="E32" s="72" t="n"/>
      <c r="F32" s="72" t="n"/>
      <c r="G32" s="72" t="n"/>
      <c r="H32" s="72" t="n"/>
      <c r="I32" s="72" t="n"/>
      <c r="J32" s="68" t="n"/>
      <c r="K32" s="56" t="n"/>
      <c r="L32" s="56" t="n"/>
    </row>
    <row r="33" ht="31.5" customHeight="1" s="51">
      <c r="A33" s="56" t="n"/>
      <c r="B33" s="80" t="inlineStr">
        <is>
          <t>12대 중과실·면책사고</t>
        </is>
      </c>
      <c r="C33" s="68" t="n"/>
      <c r="D33" s="79" t="inlineStr">
        <is>
          <t>신호위반·중앙선침범·무면허·음주운전 등 12대 중과실 또는 보험약관상 면책사항(고의·약물·범죄·운행자 범위 외 운전·도난중 운행 등)에 해당하는 사고로 회사에 보험사 구상금이 청구되는 경우, 계약자는 통보 후 7일 이내에 전액 변제하여야 합니다.</t>
        </is>
      </c>
      <c r="E33" s="72" t="n"/>
      <c r="F33" s="72" t="n"/>
      <c r="G33" s="72" t="n"/>
      <c r="H33" s="72" t="n"/>
      <c r="I33" s="72" t="n"/>
      <c r="J33" s="68" t="n"/>
      <c r="K33" s="56" t="n"/>
      <c r="L33" s="56" t="n"/>
    </row>
    <row r="34" ht="31.5" customHeight="1" s="51">
      <c r="A34" s="56" t="n"/>
      <c r="B34" s="78" t="inlineStr">
        <is>
          <t>미변제 시 즉시 처리</t>
        </is>
      </c>
      <c r="C34" s="68" t="n"/>
      <c r="D34" s="79" t="inlineStr">
        <is>
          <t>위 구상금을 7일 이내 변제하지 아니하는 경우 본 계약은 자동 해지되고, 회사는 차량을 즉시 회수하며, 보증금은 반환하지 아니합니다(위약금·손해배상금은 별도 청구).</t>
        </is>
      </c>
      <c r="E34" s="72" t="n"/>
      <c r="F34" s="72" t="n"/>
      <c r="G34" s="72" t="n"/>
      <c r="H34" s="72" t="n"/>
      <c r="I34" s="72" t="n"/>
      <c r="J34" s="68" t="n"/>
      <c r="K34" s="56" t="n"/>
      <c r="L34" s="56" t="n"/>
    </row>
    <row r="35" ht="27.75" customHeight="1" s="51">
      <c r="A35" s="56" t="n"/>
      <c r="B35" s="81" t="inlineStr">
        <is>
          <t>1. 본 계약에 따른 모든 대금(할부금·보증금·부대비용 등)의 수납 업무는 포어스바이크(유)가 대행하며, 세금계산서는 한국모터사이클리스 유한회사 명의로 발행됩니다. 타 계좌 입금 시 입금 확인이 불가합니다.</t>
        </is>
      </c>
      <c r="C35" s="72" t="n"/>
      <c r="D35" s="72" t="n"/>
      <c r="E35" s="72" t="n"/>
      <c r="F35" s="72" t="n"/>
      <c r="G35" s="72" t="n"/>
      <c r="H35" s="72" t="n"/>
      <c r="I35" s="72" t="n"/>
      <c r="J35" s="68" t="n"/>
      <c r="K35" s="56" t="n"/>
      <c r="L35" s="56" t="n"/>
    </row>
    <row r="36" ht="27.75" customHeight="1" s="51">
      <c r="A36" s="56" t="n"/>
      <c r="B36" s="82" t="inlineStr">
        <is>
          <t>2. 계약 취소·중도 해지 시 계약자는 이륜차 및 배달통·슬라이더 등 무상 지원 비품을 회사가 지정하는 장소로 반납하여야 하며, 보증금은 반환되지 아니하고 위약금과는 별도로 회수비용(출장비·운송비·원상복구비)은 계약자가 부담합니다.</t>
        </is>
      </c>
      <c r="C36" s="72" t="n"/>
      <c r="D36" s="72" t="n"/>
      <c r="E36" s="72" t="n"/>
      <c r="F36" s="72" t="n"/>
      <c r="G36" s="72" t="n"/>
      <c r="H36" s="72" t="n"/>
      <c r="I36" s="72" t="n"/>
      <c r="J36" s="68" t="n"/>
      <c r="K36" s="56" t="n"/>
      <c r="L36" s="56" t="n"/>
    </row>
    <row r="37" ht="27.75" customHeight="1" s="51">
      <c r="A37" s="56" t="n"/>
      <c r="B37" s="81" t="inlineStr">
        <is>
          <t>3. 보증금 지급 유예 기간 내 미지급으로 계약이 자동 해지되는 경우, 계약자는 차량 반환과 동시에 (1) 인도일부터 반환일까지의 일할 사용료, (2) 감가손실액, (3) 등록비·번호판·보험료 등 회사가 이미 지출한 부대비용을 배상합니다.</t>
        </is>
      </c>
      <c r="C37" s="72" t="n"/>
      <c r="D37" s="72" t="n"/>
      <c r="E37" s="72" t="n"/>
      <c r="F37" s="72" t="n"/>
      <c r="G37" s="72" t="n"/>
      <c r="H37" s="72" t="n"/>
      <c r="I37" s="72" t="n"/>
      <c r="J37" s="68" t="n"/>
      <c r="K37" s="56" t="n"/>
      <c r="L37" s="56" t="n"/>
    </row>
    <row r="38" ht="27.75" customHeight="1" s="51">
      <c r="A38" s="56" t="n"/>
      <c r="B38" s="82" t="inlineStr">
        <is>
          <t>4. 세금계산서 또는 현금영수증은 회사 명의로 발행되며, 연대보증인이 있는 경우 연대보증인(사업장)의 사업자등록번호를 기준으로 세금계산서를, 없는 경우 계약자의 주민등록번호를 기준으로 현금영수증을 발급합니다.</t>
        </is>
      </c>
      <c r="C38" s="72" t="n"/>
      <c r="D38" s="72" t="n"/>
      <c r="E38" s="72" t="n"/>
      <c r="F38" s="72" t="n"/>
      <c r="G38" s="72" t="n"/>
      <c r="H38" s="72" t="n"/>
      <c r="I38" s="72" t="n"/>
      <c r="J38" s="68" t="n"/>
      <c r="K38" s="56" t="n"/>
      <c r="L38" s="56" t="n"/>
    </row>
    <row r="39" ht="7.5" customHeight="1" s="51">
      <c r="A39" s="56" t="n"/>
      <c r="B39" s="56" t="n"/>
      <c r="C39" s="56" t="n"/>
      <c r="D39" s="56" t="n"/>
      <c r="E39" s="56" t="n"/>
      <c r="F39" s="56" t="n"/>
      <c r="G39" s="56" t="n"/>
      <c r="H39" s="56" t="n"/>
      <c r="I39" s="56" t="n"/>
      <c r="J39" s="56" t="n"/>
      <c r="K39" s="56" t="n"/>
      <c r="L39" s="56" t="n"/>
    </row>
    <row r="40" ht="25.5" customHeight="1" s="51">
      <c r="A40" s="56" t="n"/>
      <c r="B40" s="83" t="inlineStr">
        <is>
          <t>■ 개인(신용)정보 수집·이용, 금융거래정보 제공, 업무위탁 동의</t>
        </is>
      </c>
      <c r="C40" s="84" t="n"/>
      <c r="D40" s="84" t="n"/>
      <c r="E40" s="84" t="n"/>
      <c r="F40" s="84" t="n"/>
      <c r="G40" s="84" t="n"/>
      <c r="H40" s="84" t="n"/>
      <c r="I40" s="84" t="n"/>
      <c r="J40" s="85" t="n"/>
      <c r="K40" s="56" t="n"/>
      <c r="L40" s="56" t="n"/>
    </row>
    <row r="41" ht="27.75" customHeight="1" s="51">
      <c r="A41" s="56" t="n"/>
      <c r="B41" s="75" t="inlineStr">
        <is>
          <t>수집·이용 목적</t>
        </is>
      </c>
      <c r="C41" s="68" t="n"/>
      <c r="D41" s="86" t="inlineStr">
        <is>
          <t>거래관계 설정·유지, 상품 제공, 법령상 의무 이행, 분쟁 처리, 차량 분실 방지, 사고 대응, 보험사고 처리, 운전자 확인 및 보험연령 검증, 채권 관리 등 계약 이행 전반</t>
        </is>
      </c>
      <c r="E41" s="72" t="n"/>
      <c r="F41" s="72" t="n"/>
      <c r="G41" s="72" t="n"/>
      <c r="H41" s="72" t="n"/>
      <c r="I41" s="72" t="n"/>
      <c r="J41" s="68" t="n"/>
      <c r="K41" s="56" t="n"/>
      <c r="L41" s="56" t="n"/>
    </row>
    <row r="42" ht="27.75" customHeight="1" s="51">
      <c r="A42" s="56" t="n"/>
      <c r="B42" s="75" t="inlineStr">
        <is>
          <t>수집 항목</t>
        </is>
      </c>
      <c r="C42" s="68" t="n"/>
      <c r="D42" s="86" t="inlineStr">
        <is>
          <t>계약자 — 성명(실명)·주민등록번호·휴대전화번호·이메일·현주소·신분증 정보·거래카드·계좌 정보·차량 위치정보(FMS 수집 포함)
연대보증인(지정 시) — 사업장 상호·사업자번호·주소·연락처·이메일, 대표자 성명·주민등록번호·휴대전화번호·주소</t>
        </is>
      </c>
      <c r="E42" s="72" t="n"/>
      <c r="F42" s="72" t="n"/>
      <c r="G42" s="72" t="n"/>
      <c r="H42" s="72" t="n"/>
      <c r="I42" s="72" t="n"/>
      <c r="J42" s="68" t="n"/>
      <c r="K42" s="56" t="n"/>
      <c r="L42" s="56" t="n"/>
    </row>
    <row r="43" ht="27.75" customHeight="1" s="51">
      <c r="A43" s="56" t="n"/>
      <c r="B43" s="75" t="inlineStr">
        <is>
          <t>보유·이용 기간</t>
        </is>
      </c>
      <c r="C43" s="68" t="n"/>
      <c r="D43" s="86" t="inlineStr">
        <is>
          <t>수집·이용 목적 달성 후 파기. 단, 전자상거래법 등 관련 법령에 따라 계약·결제 기록 5년, 채권 관리 기록 5년, 불량이용자 재가입 방지 기록 해지 후 1년 보존</t>
        </is>
      </c>
      <c r="E43" s="72" t="n"/>
      <c r="F43" s="72" t="n"/>
      <c r="G43" s="72" t="n"/>
      <c r="H43" s="72" t="n"/>
      <c r="I43" s="72" t="n"/>
      <c r="J43" s="68" t="n"/>
      <c r="K43" s="56" t="n"/>
      <c r="L43" s="56" t="n"/>
    </row>
    <row r="44" ht="27.75" customHeight="1" s="51">
      <c r="A44" s="56" t="n"/>
      <c r="B44" s="75" t="inlineStr">
        <is>
          <t>금융거래정보 제공</t>
        </is>
      </c>
      <c r="C44" s="68" t="n"/>
      <c r="D44" s="86" t="inlineStr">
        <is>
          <t>신용카드·자동이체 등록·해지 시까지 수납기관(및 결제대행사)에 거래정보 제공 (금융실명법에 따라 동의)</t>
        </is>
      </c>
      <c r="E44" s="72" t="n"/>
      <c r="F44" s="72" t="n"/>
      <c r="G44" s="72" t="n"/>
      <c r="H44" s="72" t="n"/>
      <c r="I44" s="72" t="n"/>
      <c r="J44" s="68" t="n"/>
      <c r="K44" s="56" t="n"/>
      <c r="L44" s="56" t="n"/>
    </row>
    <row r="45" ht="27.75" customHeight="1" s="51">
      <c r="A45" s="56" t="n"/>
      <c r="B45" s="75" t="inlineStr">
        <is>
          <t>자동이체 동의</t>
        </is>
      </c>
      <c r="C45" s="68" t="n"/>
      <c r="D45" s="86" t="inlineStr">
        <is>
          <t>매월 발생하는 이륜차 할부금, 보증금, 위약금, 과태료, 범칙금, 보험사 구상금 등을 신용카드 자동승인 또는 계좌 자동이체로 출금 거래 신청</t>
        </is>
      </c>
      <c r="E45" s="72" t="n"/>
      <c r="F45" s="72" t="n"/>
      <c r="G45" s="72" t="n"/>
      <c r="H45" s="72" t="n"/>
      <c r="I45" s="72" t="n"/>
      <c r="J45" s="68" t="n"/>
      <c r="K45" s="56" t="n"/>
      <c r="L45" s="56" t="n"/>
    </row>
    <row r="46" ht="27.75" customHeight="1" s="51">
      <c r="A46" s="56" t="n"/>
      <c r="B46" s="75" t="inlineStr">
        <is>
          <t>업무위탁 내역</t>
        </is>
      </c>
      <c r="C46" s="68" t="n"/>
      <c r="D46" s="86" t="inlineStr">
        <is>
          <t>협력사(공급·운송·출고 정보), 수납대행사 포어스바이크(유)(대금 수납·채권관리), 배달대행사(고객정보), 차량등록소(등록 사무), 효성에프엠에스(자동이체)</t>
        </is>
      </c>
      <c r="E46" s="72" t="n"/>
      <c r="F46" s="72" t="n"/>
      <c r="G46" s="72" t="n"/>
      <c r="H46" s="72" t="n"/>
      <c r="I46" s="72" t="n"/>
      <c r="J46" s="68" t="n"/>
      <c r="K46" s="56" t="n"/>
      <c r="L46" s="56" t="n"/>
    </row>
    <row r="47" ht="25.5" customHeight="1" s="51">
      <c r="A47" s="56" t="n"/>
      <c r="B47" s="87" t="inlineStr">
        <is>
          <t xml:space="preserve">상기 "개인(신용)정보 수집·이용·제공 동의", "금융거래정보 제공 동의", "업무위탁 동의"에 대하여       □ 동의안함       □ 전부 동의함 </t>
        </is>
      </c>
      <c r="C47" s="72" t="n"/>
      <c r="D47" s="72" t="n"/>
      <c r="E47" s="72" t="n"/>
      <c r="F47" s="72" t="n"/>
      <c r="G47" s="72" t="n"/>
      <c r="H47" s="72" t="n"/>
      <c r="I47" s="72" t="n"/>
      <c r="J47" s="68" t="n"/>
      <c r="K47" s="56" t="n"/>
      <c r="L47" s="56" t="n"/>
    </row>
    <row r="48" ht="12" customHeight="1" s="51">
      <c r="A48" s="56" t="n"/>
      <c r="B48" s="56" t="n"/>
      <c r="C48" s="56" t="n"/>
      <c r="D48" s="56" t="n"/>
      <c r="E48" s="56" t="n"/>
      <c r="F48" s="56" t="n"/>
      <c r="G48" s="56" t="n"/>
      <c r="H48" s="56" t="n"/>
      <c r="I48" s="56" t="n"/>
      <c r="J48" s="56" t="n"/>
      <c r="K48" s="56" t="n"/>
      <c r="L48" s="56" t="n"/>
    </row>
    <row r="49" ht="25.5" customHeight="1" s="51">
      <c r="A49" s="56" t="n"/>
      <c r="B49" s="74" t="inlineStr">
        <is>
          <t>■ 계약 체결</t>
        </is>
      </c>
      <c r="K49" s="56" t="n"/>
      <c r="L49" s="56" t="n"/>
    </row>
    <row r="50" ht="31.5" customHeight="1" s="51">
      <c r="A50" s="56" t="n"/>
      <c r="B50" s="88" t="inlineStr">
        <is>
          <t>본인은 본 이륜차 할부판매 계약서와 별지 이용약관의 내용을 전부 설명 듣고 확인하였으며, 본 계약에 따른 권리·의무와 제반 동의 사항에 이의 없이 동의합니다.</t>
        </is>
      </c>
      <c r="C50" s="72" t="n"/>
      <c r="D50" s="72" t="n"/>
      <c r="E50" s="72" t="n"/>
      <c r="F50" s="72" t="n"/>
      <c r="G50" s="72" t="n"/>
      <c r="H50" s="72" t="n"/>
      <c r="I50" s="72" t="n"/>
      <c r="J50" s="68" t="n"/>
      <c r="K50" s="56" t="n"/>
      <c r="L50" s="56" t="n"/>
    </row>
    <row r="51" ht="48" customHeight="1" s="51">
      <c r="A51" s="56" t="n"/>
      <c r="B51" s="75" t="inlineStr">
        <is>
          <t>계약자</t>
        </is>
      </c>
      <c r="C51" s="88">
        <f>IFERROR(IF(VLOOKUP($L$2,계약리스트!$A$2:$AD$10000,14,0)="","",VLOOKUP($L$2,계약리스트!$A$2:$AD$10000,14,0)),"")</f>
        <v/>
      </c>
      <c r="D51" s="72" t="n"/>
      <c r="E51" s="68" t="n"/>
      <c r="F51" s="89" t="inlineStr">
        <is>
          <t>(인)</t>
        </is>
      </c>
      <c r="G51" s="75" t="inlineStr">
        <is>
          <t>연대보증인</t>
        </is>
      </c>
      <c r="H51" s="88">
        <f>IFERROR(IF(VLOOKUP($L$2,계약리스트!$A$2:$AD$10000,12,0)="","",VLOOKUP($L$2,계약리스트!$A$2:$AD$10000,12,0)),"")</f>
        <v/>
      </c>
      <c r="I51" s="68" t="n"/>
      <c r="J51" s="89" t="inlineStr">
        <is>
          <t>(인)</t>
        </is>
      </c>
      <c r="K51" s="56" t="n"/>
      <c r="L51" s="56" t="n"/>
    </row>
    <row r="52" ht="24" customHeight="1" s="51">
      <c r="A52" s="56" t="n"/>
      <c r="B52" s="66" t="inlineStr">
        <is>
          <t>공급자</t>
        </is>
      </c>
      <c r="C52" s="90" t="inlineStr">
        <is>
          <t>한국모터사이클리스 유한회사</t>
        </is>
      </c>
      <c r="D52" s="72" t="n"/>
      <c r="E52" s="72" t="n"/>
      <c r="F52" s="72" t="n"/>
      <c r="G52" s="72" t="n"/>
      <c r="H52" s="72" t="n"/>
      <c r="I52" s="68" t="n"/>
      <c r="J52" s="89" t="inlineStr">
        <is>
          <t>(인)</t>
        </is>
      </c>
      <c r="K52" s="56" t="n"/>
      <c r="L52" s="56" t="n"/>
    </row>
    <row r="53" ht="15" customHeight="1" s="51">
      <c r="A53" s="56" t="n"/>
      <c r="B53" s="56" t="n"/>
      <c r="C53" s="56" t="n"/>
      <c r="D53" s="56" t="n"/>
      <c r="E53" s="56" t="n"/>
      <c r="F53" s="56" t="n"/>
      <c r="G53" s="56" t="n"/>
      <c r="H53" s="56" t="n"/>
      <c r="I53" s="56" t="n"/>
      <c r="J53" s="56" t="n"/>
      <c r="K53" s="56" t="n"/>
      <c r="L53" s="56" t="n"/>
    </row>
    <row r="54" ht="15" customHeight="1" s="51">
      <c r="A54" s="56" t="n"/>
      <c r="B54" s="56" t="n"/>
      <c r="C54" s="56" t="n"/>
      <c r="D54" s="56" t="n"/>
      <c r="E54" s="56" t="n"/>
      <c r="F54" s="56" t="n"/>
      <c r="G54" s="56" t="n"/>
      <c r="H54" s="56" t="n"/>
      <c r="I54" s="56" t="n"/>
      <c r="J54" s="56" t="n"/>
      <c r="K54" s="56" t="n"/>
      <c r="L54" s="56" t="n"/>
    </row>
    <row r="55" ht="15" customHeight="1" s="51">
      <c r="A55" s="56" t="n"/>
      <c r="B55" s="56" t="n"/>
      <c r="C55" s="56" t="n"/>
      <c r="D55" s="56" t="n"/>
      <c r="E55" s="56" t="n"/>
      <c r="F55" s="56" t="n"/>
      <c r="G55" s="56" t="n"/>
      <c r="H55" s="56" t="n"/>
      <c r="I55" s="56" t="n"/>
      <c r="J55" s="56" t="n"/>
      <c r="K55" s="56" t="n"/>
      <c r="L55" s="56" t="n"/>
    </row>
    <row r="56" ht="15" customHeight="1" s="51">
      <c r="A56" s="56" t="n"/>
      <c r="B56" s="56" t="n"/>
      <c r="C56" s="56" t="n"/>
      <c r="D56" s="56" t="n"/>
      <c r="E56" s="56" t="n"/>
      <c r="F56" s="56" t="n"/>
      <c r="G56" s="56" t="n"/>
      <c r="H56" s="56" t="n"/>
      <c r="I56" s="56" t="n"/>
      <c r="J56" s="56" t="n"/>
      <c r="K56" s="56" t="n"/>
      <c r="L56" s="56" t="n"/>
    </row>
    <row r="57" ht="15" customHeight="1" s="51">
      <c r="A57" s="56" t="n"/>
      <c r="B57" s="56" t="n"/>
      <c r="C57" s="56" t="n"/>
      <c r="D57" s="56" t="n"/>
      <c r="E57" s="56" t="n"/>
      <c r="F57" s="56" t="n"/>
      <c r="G57" s="56" t="n"/>
      <c r="H57" s="56" t="n"/>
      <c r="I57" s="56" t="n"/>
      <c r="J57" s="56" t="n"/>
      <c r="K57" s="56" t="n"/>
      <c r="L57" s="56" t="n"/>
    </row>
    <row r="58" ht="15" customHeight="1" s="51">
      <c r="A58" s="56" t="n"/>
      <c r="B58" s="56" t="n"/>
      <c r="C58" s="56" t="n"/>
      <c r="D58" s="56" t="n"/>
      <c r="E58" s="56" t="n"/>
      <c r="F58" s="56" t="n"/>
      <c r="G58" s="56" t="n"/>
      <c r="H58" s="56" t="n"/>
      <c r="I58" s="56" t="n"/>
      <c r="J58" s="56" t="n"/>
      <c r="K58" s="56" t="n"/>
      <c r="L58" s="56" t="n"/>
    </row>
    <row r="59" ht="15" customHeight="1" s="51">
      <c r="A59" s="56" t="n"/>
      <c r="B59" s="56" t="n"/>
      <c r="C59" s="56" t="n"/>
      <c r="D59" s="56" t="n"/>
      <c r="E59" s="56" t="n"/>
      <c r="F59" s="56" t="n"/>
      <c r="G59" s="56" t="n"/>
      <c r="H59" s="56" t="n"/>
      <c r="I59" s="56" t="n"/>
      <c r="J59" s="56" t="n"/>
      <c r="K59" s="56" t="n"/>
      <c r="L59" s="56" t="n"/>
    </row>
    <row r="60" ht="15" customHeight="1" s="51">
      <c r="A60" s="56" t="n"/>
      <c r="B60" s="56" t="n"/>
      <c r="C60" s="56" t="n"/>
      <c r="D60" s="56" t="n"/>
      <c r="E60" s="56" t="n"/>
      <c r="F60" s="56" t="n"/>
      <c r="G60" s="56" t="n"/>
      <c r="H60" s="56" t="n"/>
      <c r="I60" s="56" t="n"/>
      <c r="J60" s="56" t="n"/>
      <c r="K60" s="56" t="n"/>
      <c r="L60" s="56" t="n"/>
    </row>
    <row r="61" ht="15" customHeight="1" s="51">
      <c r="A61" s="56" t="n"/>
      <c r="B61" s="56" t="n"/>
      <c r="C61" s="56" t="n"/>
      <c r="D61" s="56" t="n"/>
      <c r="E61" s="56" t="n"/>
      <c r="F61" s="56" t="n"/>
      <c r="G61" s="56" t="n"/>
      <c r="H61" s="56" t="n"/>
      <c r="I61" s="56" t="n"/>
      <c r="J61" s="56" t="n"/>
      <c r="K61" s="56" t="n"/>
      <c r="L61" s="56" t="n"/>
    </row>
    <row r="62" ht="15" customHeight="1" s="51">
      <c r="A62" s="56" t="n"/>
      <c r="B62" s="56" t="n"/>
      <c r="C62" s="56" t="n"/>
      <c r="D62" s="56" t="n"/>
      <c r="E62" s="56" t="n"/>
      <c r="F62" s="56" t="n"/>
      <c r="G62" s="56" t="n"/>
      <c r="H62" s="56" t="n"/>
      <c r="I62" s="56" t="n"/>
      <c r="J62" s="56" t="n"/>
      <c r="K62" s="56" t="n"/>
      <c r="L62" s="56" t="n"/>
    </row>
    <row r="63" ht="15" customHeight="1" s="51">
      <c r="A63" s="56" t="n"/>
      <c r="B63" s="56" t="n"/>
      <c r="C63" s="56" t="n"/>
      <c r="D63" s="56" t="n"/>
      <c r="E63" s="56" t="n"/>
      <c r="F63" s="56" t="n"/>
      <c r="G63" s="56" t="n"/>
      <c r="H63" s="56" t="n"/>
      <c r="I63" s="56" t="n"/>
      <c r="J63" s="56" t="n"/>
      <c r="K63" s="56" t="n"/>
      <c r="L63" s="56" t="n"/>
    </row>
    <row r="64" ht="15" customHeight="1" s="51">
      <c r="A64" s="56" t="n"/>
      <c r="B64" s="56" t="n"/>
      <c r="C64" s="56" t="n"/>
      <c r="D64" s="56" t="n"/>
      <c r="E64" s="56" t="n"/>
      <c r="F64" s="56" t="n"/>
      <c r="G64" s="56" t="n"/>
      <c r="H64" s="56" t="n"/>
      <c r="I64" s="56" t="n"/>
      <c r="J64" s="56" t="n"/>
      <c r="K64" s="56" t="n"/>
      <c r="L64" s="56" t="n"/>
    </row>
    <row r="65" ht="15" customHeight="1" s="51">
      <c r="A65" s="56" t="n"/>
      <c r="B65" s="56" t="n"/>
      <c r="C65" s="56" t="n"/>
      <c r="D65" s="56" t="n"/>
      <c r="E65" s="56" t="n"/>
      <c r="F65" s="56" t="n"/>
      <c r="G65" s="56" t="n"/>
      <c r="H65" s="56" t="n"/>
      <c r="I65" s="56" t="n"/>
      <c r="J65" s="56" t="n"/>
      <c r="K65" s="56" t="n"/>
      <c r="L65" s="56" t="n"/>
    </row>
    <row r="66" ht="15" customHeight="1" s="51">
      <c r="A66" s="56" t="n"/>
      <c r="B66" s="56" t="n"/>
      <c r="C66" s="56" t="n"/>
      <c r="D66" s="56" t="n"/>
      <c r="E66" s="56" t="n"/>
      <c r="F66" s="56" t="n"/>
      <c r="G66" s="56" t="n"/>
      <c r="H66" s="56" t="n"/>
      <c r="I66" s="56" t="n"/>
      <c r="J66" s="56" t="n"/>
      <c r="K66" s="56" t="n"/>
      <c r="L66" s="56" t="n"/>
    </row>
    <row r="67" ht="15" customHeight="1" s="51">
      <c r="A67" s="56" t="n"/>
      <c r="B67" s="56" t="n"/>
      <c r="C67" s="56" t="n"/>
      <c r="D67" s="56" t="n"/>
      <c r="E67" s="56" t="n"/>
      <c r="F67" s="56" t="n"/>
      <c r="G67" s="56" t="n"/>
      <c r="H67" s="56" t="n"/>
      <c r="I67" s="56" t="n"/>
      <c r="J67" s="56" t="n"/>
      <c r="K67" s="56" t="n"/>
      <c r="L67" s="56" t="n"/>
    </row>
    <row r="68" ht="15" customHeight="1" s="51">
      <c r="A68" s="56" t="n"/>
      <c r="B68" s="56" t="n"/>
      <c r="C68" s="56" t="n"/>
      <c r="D68" s="56" t="n"/>
      <c r="E68" s="56" t="n"/>
      <c r="F68" s="56" t="n"/>
      <c r="G68" s="56" t="n"/>
      <c r="H68" s="56" t="n"/>
      <c r="I68" s="56" t="n"/>
      <c r="J68" s="56" t="n"/>
      <c r="K68" s="56" t="n"/>
      <c r="L68" s="56" t="n"/>
    </row>
    <row r="69" ht="15" customHeight="1" s="51">
      <c r="A69" s="56" t="n"/>
      <c r="B69" s="56" t="n"/>
      <c r="C69" s="56" t="n"/>
      <c r="D69" s="56" t="n"/>
      <c r="E69" s="56" t="n"/>
      <c r="F69" s="56" t="n"/>
      <c r="G69" s="56" t="n"/>
      <c r="H69" s="56" t="n"/>
      <c r="I69" s="56" t="n"/>
      <c r="J69" s="56" t="n"/>
      <c r="K69" s="56" t="n"/>
      <c r="L69" s="56" t="n"/>
    </row>
    <row r="70" ht="15" customHeight="1" s="51">
      <c r="A70" s="56" t="n"/>
      <c r="B70" s="56" t="n"/>
      <c r="C70" s="56" t="n"/>
      <c r="D70" s="56" t="n"/>
      <c r="E70" s="56" t="n"/>
      <c r="F70" s="56" t="n"/>
      <c r="G70" s="56" t="n"/>
      <c r="H70" s="56" t="n"/>
      <c r="I70" s="56" t="n"/>
      <c r="J70" s="56" t="n"/>
      <c r="K70" s="56" t="n"/>
      <c r="L70" s="56" t="n"/>
    </row>
    <row r="71" ht="15" customHeight="1" s="51">
      <c r="A71" s="56" t="n"/>
      <c r="B71" s="56" t="n"/>
      <c r="C71" s="56" t="n"/>
      <c r="D71" s="56" t="n"/>
      <c r="E71" s="56" t="n"/>
      <c r="F71" s="56" t="n"/>
      <c r="G71" s="56" t="n"/>
      <c r="H71" s="56" t="n"/>
      <c r="I71" s="56" t="n"/>
      <c r="J71" s="56" t="n"/>
      <c r="K71" s="56" t="n"/>
      <c r="L71" s="56" t="n"/>
    </row>
    <row r="72" ht="15" customHeight="1" s="51">
      <c r="A72" s="56" t="n"/>
      <c r="B72" s="56" t="n"/>
      <c r="C72" s="56" t="n"/>
      <c r="D72" s="56" t="n"/>
      <c r="E72" s="56" t="n"/>
      <c r="F72" s="56" t="n"/>
      <c r="G72" s="56" t="n"/>
      <c r="H72" s="56" t="n"/>
      <c r="I72" s="56" t="n"/>
      <c r="J72" s="56" t="n"/>
      <c r="K72" s="56" t="n"/>
      <c r="L72" s="56" t="n"/>
    </row>
    <row r="73" ht="15" customHeight="1" s="51">
      <c r="A73" s="56" t="n"/>
      <c r="B73" s="56" t="n"/>
      <c r="C73" s="56" t="n"/>
      <c r="D73" s="56" t="n"/>
      <c r="E73" s="56" t="n"/>
      <c r="F73" s="56" t="n"/>
      <c r="G73" s="56" t="n"/>
      <c r="H73" s="56" t="n"/>
      <c r="I73" s="56" t="n"/>
      <c r="J73" s="56" t="n"/>
      <c r="K73" s="56" t="n"/>
      <c r="L73" s="56" t="n"/>
    </row>
    <row r="74" ht="15" customHeight="1" s="51">
      <c r="A74" s="56" t="n"/>
      <c r="B74" s="56" t="n"/>
      <c r="C74" s="56" t="n"/>
      <c r="D74" s="56" t="n"/>
      <c r="E74" s="56" t="n"/>
      <c r="F74" s="56" t="n"/>
      <c r="G74" s="56" t="n"/>
      <c r="H74" s="56" t="n"/>
      <c r="I74" s="56" t="n"/>
      <c r="J74" s="56" t="n"/>
      <c r="K74" s="56" t="n"/>
      <c r="L74" s="56" t="n"/>
    </row>
    <row r="75" ht="15" customHeight="1" s="51">
      <c r="A75" s="56" t="n"/>
      <c r="B75" s="56" t="n"/>
      <c r="C75" s="56" t="n"/>
      <c r="D75" s="56" t="n"/>
      <c r="E75" s="56" t="n"/>
      <c r="F75" s="56" t="n"/>
      <c r="G75" s="56" t="n"/>
      <c r="H75" s="56" t="n"/>
      <c r="I75" s="56" t="n"/>
      <c r="J75" s="56" t="n"/>
      <c r="K75" s="56" t="n"/>
      <c r="L75" s="56" t="n"/>
    </row>
    <row r="76" ht="15" customHeight="1" s="51">
      <c r="A76" s="56" t="n"/>
      <c r="B76" s="56" t="n"/>
      <c r="C76" s="56" t="n"/>
      <c r="D76" s="56" t="n"/>
      <c r="E76" s="56" t="n"/>
      <c r="F76" s="56" t="n"/>
      <c r="G76" s="56" t="n"/>
      <c r="H76" s="56" t="n"/>
      <c r="I76" s="56" t="n"/>
      <c r="J76" s="56" t="n"/>
      <c r="K76" s="56" t="n"/>
      <c r="L76" s="56" t="n"/>
    </row>
    <row r="77" ht="15" customHeight="1" s="51">
      <c r="A77" s="56" t="n"/>
      <c r="B77" s="56" t="n"/>
      <c r="C77" s="56" t="n"/>
      <c r="D77" s="56" t="n"/>
      <c r="E77" s="56" t="n"/>
      <c r="F77" s="56" t="n"/>
      <c r="G77" s="56" t="n"/>
      <c r="H77" s="56" t="n"/>
      <c r="I77" s="56" t="n"/>
      <c r="J77" s="56" t="n"/>
      <c r="K77" s="56" t="n"/>
      <c r="L77" s="56" t="n"/>
    </row>
    <row r="78" ht="15" customHeight="1" s="51">
      <c r="A78" s="56" t="n"/>
      <c r="B78" s="56" t="n"/>
      <c r="C78" s="56" t="n"/>
      <c r="D78" s="56" t="n"/>
      <c r="E78" s="56" t="n"/>
      <c r="F78" s="56" t="n"/>
      <c r="G78" s="56" t="n"/>
      <c r="H78" s="56" t="n"/>
      <c r="I78" s="56" t="n"/>
      <c r="J78" s="56" t="n"/>
      <c r="K78" s="56" t="n"/>
      <c r="L78" s="56" t="n"/>
    </row>
    <row r="79" ht="15" customHeight="1" s="51">
      <c r="A79" s="56" t="n"/>
      <c r="B79" s="56" t="n"/>
      <c r="C79" s="56" t="n"/>
      <c r="D79" s="56" t="n"/>
      <c r="E79" s="56" t="n"/>
      <c r="F79" s="56" t="n"/>
      <c r="G79" s="56" t="n"/>
      <c r="H79" s="56" t="n"/>
      <c r="I79" s="56" t="n"/>
      <c r="J79" s="56" t="n"/>
      <c r="K79" s="56" t="n"/>
      <c r="L79" s="56" t="n"/>
    </row>
    <row r="80" ht="15" customHeight="1" s="51">
      <c r="A80" s="56" t="n"/>
      <c r="B80" s="56" t="n"/>
      <c r="C80" s="56" t="n"/>
      <c r="D80" s="56" t="n"/>
      <c r="E80" s="56" t="n"/>
      <c r="F80" s="56" t="n"/>
      <c r="G80" s="56" t="n"/>
      <c r="H80" s="56" t="n"/>
      <c r="I80" s="56" t="n"/>
      <c r="J80" s="56" t="n"/>
      <c r="K80" s="56" t="n"/>
      <c r="L80" s="56" t="n"/>
    </row>
    <row r="81" ht="15" customHeight="1" s="51">
      <c r="A81" s="56" t="n"/>
      <c r="B81" s="56" t="n"/>
      <c r="C81" s="56" t="n"/>
      <c r="D81" s="56" t="n"/>
      <c r="E81" s="56" t="n"/>
      <c r="F81" s="56" t="n"/>
      <c r="G81" s="56" t="n"/>
      <c r="H81" s="56" t="n"/>
      <c r="I81" s="56" t="n"/>
      <c r="J81" s="56" t="n"/>
      <c r="K81" s="56" t="n"/>
      <c r="L81" s="56" t="n"/>
    </row>
    <row r="82" ht="15" customHeight="1" s="51">
      <c r="A82" s="56" t="n"/>
      <c r="B82" s="56" t="n"/>
      <c r="C82" s="56" t="n"/>
      <c r="D82" s="56" t="n"/>
      <c r="E82" s="56" t="n"/>
      <c r="F82" s="56" t="n"/>
      <c r="G82" s="56" t="n"/>
      <c r="H82" s="56" t="n"/>
      <c r="I82" s="56" t="n"/>
      <c r="J82" s="56" t="n"/>
      <c r="K82" s="56" t="n"/>
      <c r="L82" s="56" t="n"/>
    </row>
    <row r="83" ht="15" customHeight="1" s="51">
      <c r="A83" s="56" t="n"/>
      <c r="B83" s="56" t="n"/>
      <c r="C83" s="56" t="n"/>
      <c r="D83" s="56" t="n"/>
      <c r="E83" s="56" t="n"/>
      <c r="F83" s="56" t="n"/>
      <c r="G83" s="56" t="n"/>
      <c r="H83" s="56" t="n"/>
      <c r="I83" s="56" t="n"/>
      <c r="J83" s="56" t="n"/>
      <c r="K83" s="56" t="n"/>
      <c r="L83" s="56" t="n"/>
    </row>
    <row r="84" ht="15" customHeight="1" s="51">
      <c r="A84" s="56" t="n"/>
      <c r="B84" s="56" t="n"/>
      <c r="C84" s="56" t="n"/>
      <c r="D84" s="56" t="n"/>
      <c r="E84" s="56" t="n"/>
      <c r="F84" s="56" t="n"/>
      <c r="G84" s="56" t="n"/>
      <c r="H84" s="56" t="n"/>
      <c r="I84" s="56" t="n"/>
      <c r="J84" s="56" t="n"/>
      <c r="K84" s="56" t="n"/>
      <c r="L84" s="56" t="n"/>
    </row>
    <row r="85" ht="15" customHeight="1" s="51">
      <c r="A85" s="56" t="n"/>
      <c r="B85" s="56" t="n"/>
      <c r="C85" s="56" t="n"/>
      <c r="D85" s="56" t="n"/>
      <c r="E85" s="56" t="n"/>
      <c r="F85" s="56" t="n"/>
      <c r="G85" s="56" t="n"/>
      <c r="H85" s="56" t="n"/>
      <c r="I85" s="56" t="n"/>
      <c r="J85" s="56" t="n"/>
      <c r="K85" s="56" t="n"/>
      <c r="L85" s="56" t="n"/>
    </row>
    <row r="86" ht="15" customHeight="1" s="51">
      <c r="A86" s="56" t="n"/>
      <c r="B86" s="56" t="n"/>
      <c r="C86" s="56" t="n"/>
      <c r="D86" s="56" t="n"/>
      <c r="E86" s="56" t="n"/>
      <c r="F86" s="56" t="n"/>
      <c r="G86" s="56" t="n"/>
      <c r="H86" s="56" t="n"/>
      <c r="I86" s="56" t="n"/>
      <c r="J86" s="56" t="n"/>
      <c r="K86" s="56" t="n"/>
      <c r="L86" s="56" t="n"/>
    </row>
    <row r="87" ht="15" customHeight="1" s="51">
      <c r="A87" s="56" t="n"/>
      <c r="B87" s="56" t="n"/>
      <c r="C87" s="56" t="n"/>
      <c r="D87" s="56" t="n"/>
      <c r="E87" s="56" t="n"/>
      <c r="F87" s="56" t="n"/>
      <c r="G87" s="56" t="n"/>
      <c r="H87" s="56" t="n"/>
      <c r="I87" s="56" t="n"/>
      <c r="J87" s="56" t="n"/>
      <c r="K87" s="56" t="n"/>
      <c r="L87" s="56" t="n"/>
    </row>
    <row r="88" ht="15" customHeight="1" s="51">
      <c r="A88" s="56" t="n"/>
      <c r="B88" s="56" t="n"/>
      <c r="C88" s="56" t="n"/>
      <c r="D88" s="56" t="n"/>
      <c r="E88" s="56" t="n"/>
      <c r="F88" s="56" t="n"/>
      <c r="G88" s="56" t="n"/>
      <c r="H88" s="56" t="n"/>
      <c r="I88" s="56" t="n"/>
      <c r="J88" s="56" t="n"/>
      <c r="K88" s="56" t="n"/>
      <c r="L88" s="56" t="n"/>
    </row>
    <row r="89" ht="15" customHeight="1" s="51">
      <c r="A89" s="56" t="n"/>
      <c r="B89" s="56" t="n"/>
      <c r="C89" s="56" t="n"/>
      <c r="D89" s="56" t="n"/>
      <c r="E89" s="56" t="n"/>
      <c r="F89" s="56" t="n"/>
      <c r="G89" s="56" t="n"/>
      <c r="H89" s="56" t="n"/>
      <c r="I89" s="56" t="n"/>
      <c r="J89" s="56" t="n"/>
      <c r="K89" s="56" t="n"/>
      <c r="L89" s="56" t="n"/>
    </row>
    <row r="90" ht="15" customHeight="1" s="51">
      <c r="A90" s="56" t="n"/>
      <c r="B90" s="56" t="n"/>
      <c r="C90" s="56" t="n"/>
      <c r="D90" s="56" t="n"/>
      <c r="E90" s="56" t="n"/>
      <c r="F90" s="56" t="n"/>
      <c r="G90" s="56" t="n"/>
      <c r="H90" s="56" t="n"/>
      <c r="I90" s="56" t="n"/>
      <c r="J90" s="56" t="n"/>
      <c r="K90" s="56" t="n"/>
      <c r="L90" s="56" t="n"/>
    </row>
    <row r="91" ht="15" customHeight="1" s="51">
      <c r="A91" s="56" t="n"/>
      <c r="B91" s="56" t="n"/>
      <c r="C91" s="56" t="n"/>
      <c r="D91" s="56" t="n"/>
      <c r="E91" s="56" t="n"/>
      <c r="F91" s="56" t="n"/>
      <c r="G91" s="56" t="n"/>
      <c r="H91" s="56" t="n"/>
      <c r="I91" s="56" t="n"/>
      <c r="J91" s="56" t="n"/>
      <c r="K91" s="56" t="n"/>
      <c r="L91" s="56" t="n"/>
    </row>
    <row r="92" ht="15" customHeight="1" s="51">
      <c r="A92" s="56" t="n"/>
      <c r="B92" s="56" t="n"/>
      <c r="C92" s="56" t="n"/>
      <c r="D92" s="56" t="n"/>
      <c r="E92" s="56" t="n"/>
      <c r="F92" s="56" t="n"/>
      <c r="G92" s="56" t="n"/>
      <c r="H92" s="56" t="n"/>
      <c r="I92" s="56" t="n"/>
      <c r="J92" s="56" t="n"/>
      <c r="K92" s="56" t="n"/>
      <c r="L92" s="56" t="n"/>
    </row>
  </sheetData>
  <mergeCells count="74">
    <mergeCell ref="C52:I52"/>
    <mergeCell ref="C6:D6"/>
    <mergeCell ref="I6:J6"/>
    <mergeCell ref="F11:J11"/>
    <mergeCell ref="F10:G10"/>
    <mergeCell ref="C15:D15"/>
    <mergeCell ref="I15:J15"/>
    <mergeCell ref="B14:J14"/>
    <mergeCell ref="B46:C46"/>
    <mergeCell ref="B17:J17"/>
    <mergeCell ref="F6:G6"/>
    <mergeCell ref="D30:J30"/>
    <mergeCell ref="B31:C31"/>
    <mergeCell ref="D42:J42"/>
    <mergeCell ref="F3:H3"/>
    <mergeCell ref="D33:J33"/>
    <mergeCell ref="C26:D26"/>
    <mergeCell ref="I26:J26"/>
    <mergeCell ref="B38:J38"/>
    <mergeCell ref="F7:G7"/>
    <mergeCell ref="B43:C43"/>
    <mergeCell ref="B29:J29"/>
    <mergeCell ref="C20:D20"/>
    <mergeCell ref="F21:G21"/>
    <mergeCell ref="C51:E51"/>
    <mergeCell ref="B19:J19"/>
    <mergeCell ref="C10:D10"/>
    <mergeCell ref="B37:J37"/>
    <mergeCell ref="F15:G15"/>
    <mergeCell ref="D44:J44"/>
    <mergeCell ref="I7:J7"/>
    <mergeCell ref="F20:G20"/>
    <mergeCell ref="C16:J16"/>
    <mergeCell ref="H27:J27"/>
    <mergeCell ref="B40:J40"/>
    <mergeCell ref="B9:J9"/>
    <mergeCell ref="D34:J34"/>
    <mergeCell ref="B42:C42"/>
    <mergeCell ref="B3:E3"/>
    <mergeCell ref="C22:D22"/>
    <mergeCell ref="B49:J49"/>
    <mergeCell ref="H51:I51"/>
    <mergeCell ref="F26:G26"/>
    <mergeCell ref="I3:J3"/>
    <mergeCell ref="I21:J21"/>
    <mergeCell ref="D31:J31"/>
    <mergeCell ref="D46:J46"/>
    <mergeCell ref="B44:C44"/>
    <mergeCell ref="B5:J5"/>
    <mergeCell ref="C21:D21"/>
    <mergeCell ref="C11:D11"/>
    <mergeCell ref="B34:C34"/>
    <mergeCell ref="B36:J36"/>
    <mergeCell ref="D45:J45"/>
    <mergeCell ref="B50:J50"/>
    <mergeCell ref="C27:F27"/>
    <mergeCell ref="B35:J35"/>
    <mergeCell ref="F22:J22"/>
    <mergeCell ref="C23:J23"/>
    <mergeCell ref="B47:J47"/>
    <mergeCell ref="B25:J25"/>
    <mergeCell ref="B30:C30"/>
    <mergeCell ref="D32:J32"/>
    <mergeCell ref="C7:D7"/>
    <mergeCell ref="I20:J20"/>
    <mergeCell ref="B33:C33"/>
    <mergeCell ref="D41:J41"/>
    <mergeCell ref="I10:J10"/>
    <mergeCell ref="B45:C45"/>
    <mergeCell ref="B32:C32"/>
    <mergeCell ref="B41:C41"/>
    <mergeCell ref="B12:J12"/>
    <mergeCell ref="D43:J43"/>
    <mergeCell ref="B2:J2"/>
  </mergeCells>
  <printOptions horizontalCentered="1" verticalCentered="0" headings="0" gridLines="0" gridLinesSet="1"/>
  <pageMargins left="0.3" right="0.3" top="0.4" bottom="0.4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B1:E172"/>
  <sheetViews>
    <sheetView showFormulas="0" showGridLines="0" showRowColHeaders="1" showZeros="1" rightToLeft="0" tabSelected="1" showOutlineSymbols="1" defaultGridColor="1" view="pageBreakPreview" topLeftCell="A110" colorId="64" zoomScale="115" zoomScaleNormal="115" zoomScalePageLayoutView="115" workbookViewId="0">
      <selection pane="topLeft" activeCell="D127" activeCellId="0" sqref="D127"/>
    </sheetView>
  </sheetViews>
  <sheetFormatPr baseColWidth="8" defaultColWidth="8.66796875" defaultRowHeight="14.25" customHeight="0" zeroHeight="0" outlineLevelRow="0"/>
  <cols>
    <col width="2" customWidth="1" style="50" min="1" max="1"/>
    <col width="66.67" customWidth="1" style="50" min="2" max="2"/>
    <col width="1.56" customWidth="1" style="50" min="3" max="3"/>
    <col width="65.67" customWidth="1" style="50" min="4" max="5"/>
    <col width="2" customWidth="1" style="50" min="6" max="6"/>
  </cols>
  <sheetData>
    <row r="1" ht="27.75" customHeight="1" s="51">
      <c r="B1" s="91" t="inlineStr">
        <is>
          <t>이륜차 할부판매 계약 이용약관</t>
        </is>
      </c>
      <c r="E1" s="92" t="n"/>
    </row>
    <row r="2" ht="6" customHeight="1" s="51"/>
    <row r="3" ht="13.5" customHeight="1" s="51">
      <c r="B3" s="93" t="inlineStr">
        <is>
          <t>제1조 (목적)</t>
        </is>
      </c>
      <c r="D3" s="94" t="inlineStr">
        <is>
          <t>② 결제방법이란, 회사가 안내한 수납대행사 은행계좌로 한국은행 발행 통화를 지급하거나 결제 수</t>
        </is>
      </c>
      <c r="E3" s="93" t="n"/>
    </row>
    <row r="4" ht="13.5" customHeight="1" s="51">
      <c r="B4" s="94" t="inlineStr">
        <is>
          <t>이 약관은 한국모터사이클리스 유한회사(이하 "회사")와 본 계약을 체결한 계약자(이하 "계약자")간</t>
        </is>
      </c>
      <c r="D4" s="94" t="inlineStr">
        <is>
          <t>단을 통해 납부하는 것을 의미한다.</t>
        </is>
      </c>
      <c r="E4" s="94" t="n"/>
    </row>
    <row r="5" ht="13.5" customHeight="1" s="51">
      <c r="B5" s="94" t="inlineStr">
        <is>
          <t>의 이륜차 할부판매에 관한 권리·의무를 규정함을 목적으로 한다.</t>
        </is>
      </c>
      <c r="D5" s="94" t="inlineStr">
        <is>
          <t>③ 매도인의 가격 인상, 정부 정책 등 불가피한 사정으로 할부금이 변동될 경우 회사는 계약자에게 개</t>
        </is>
      </c>
      <c r="E5" s="94" t="n"/>
    </row>
    <row r="6" ht="12.75" customHeight="1" s="51">
      <c r="D6" s="94" t="inlineStr">
        <is>
          <t>별 통지하며, 계약자는 이륜차 출고 이전까지 계약을 취소할 수 있다.</t>
        </is>
      </c>
      <c r="E6" s="94" t="n"/>
    </row>
    <row r="7" ht="13.5" customHeight="1" s="51">
      <c r="B7" s="93" t="inlineStr">
        <is>
          <t>제2조 (용어의 정의)</t>
        </is>
      </c>
      <c r="D7" s="94" t="inlineStr">
        <is>
          <t>④ 이륜차의 도난·멸실·훼손으로 운행이 불가능한 사유가 발생하더라도 계약자는 할부금 지급 의무를</t>
        </is>
      </c>
      <c r="E7" s="94" t="n"/>
    </row>
    <row r="8" ht="13.5" customHeight="1" s="51">
      <c r="B8" s="95" t="inlineStr">
        <is>
          <t>① "할부판매 계약"이란, 계약자가 요청한 기종의 이륜차를 회사가 판매하고 계약자가 그 대금을 일</t>
        </is>
      </c>
      <c r="D8" s="94" t="inlineStr">
        <is>
          <t>거부할 수 없다.</t>
        </is>
      </c>
      <c r="E8" s="94" t="n"/>
    </row>
    <row r="9" ht="13.5" customHeight="1" s="51">
      <c r="B9" s="94" t="inlineStr">
        <is>
          <t>정 기간에 걸쳐 분할 지급하는 매매계약을 말한다.</t>
        </is>
      </c>
      <c r="D9" s="94" t="inlineStr">
        <is>
          <t>⑤ 납부주기 변경으로 할부금이 조정되는 경우 최초 계약 당시의 단가표 기준에 따라 산정·적용한다.</t>
        </is>
      </c>
      <c r="E9" s="94" t="n"/>
    </row>
    <row r="10" ht="13.5" customHeight="1" s="51">
      <c r="B10" s="95" t="inlineStr">
        <is>
          <t>② "이륜차"란, 회사가 계약자의 요청에 따라 본 계약서에 특정한 이륜차를 말하며, 인도 시 부착된</t>
        </is>
      </c>
      <c r="D10" s="94" t="inlineStr">
        <is>
          <t>⑥ 본 계약상 모든 미납금(할부금·과태료·범칙금·구상금·취·등록세·수리비·위약금·손해배상금 등)에 대하여</t>
        </is>
      </c>
      <c r="E10" s="94" t="n"/>
    </row>
    <row r="11" ht="13.5" customHeight="1" s="51">
      <c r="B11" s="94" t="inlineStr">
        <is>
          <t>부속품 및 장착물을 포함한다.</t>
        </is>
      </c>
      <c r="D11" s="94" t="inlineStr">
        <is>
          <t>연체·미납이 발생하는 경우, 회사는 계약자의 별도 동의 없이 (1) 신용정보집중기관에 채무불이행 사실을</t>
        </is>
      </c>
      <c r="E11" s="94" t="n"/>
    </row>
    <row r="12" ht="13.5" customHeight="1" s="51">
      <c r="B12" s="95" t="inlineStr">
        <is>
          <t>③ "계약기간"이란, 계약자가 본 계약에 따라 이륜차를 인도받아 사용하는 기간을 말한다.</t>
        </is>
      </c>
      <c r="D12" s="94" t="inlineStr">
        <is>
          <t>등록하거나, (2) 신용정보업체 등 채권추심 전문기관에 채권추심을 위임할 수 있다. 수납대행사인 포어스</t>
        </is>
      </c>
      <c r="E12" s="94" t="n"/>
    </row>
    <row r="13" ht="13.5" customHeight="1" s="51">
      <c r="D13" s="94" t="inlineStr">
        <is>
          <t>바이크 유한회사는 회사를 대리하여 계약자에게 미납금 납부 독촉을 할 수 있다.</t>
        </is>
      </c>
    </row>
    <row r="14" ht="13.5" customHeight="1" s="51">
      <c r="D14" s="94" t="inlineStr">
        <is>
          <t>⑦ 계약자가 가맹중인 배달플랫폼 본사와 회사 간의 제휴계약이 체결되어 있는 경우, 해당 플랫폼사의</t>
        </is>
      </c>
    </row>
    <row r="15" ht="13.5" customHeight="1" s="51">
      <c r="D15" s="94" t="inlineStr">
        <is>
          <t>페이를 통하여 할부금·과태료 등의 납부가 가능하다. 단, (1) 계약자와 플랫폼사 간 가맹계약 종료, (2)</t>
        </is>
      </c>
    </row>
    <row r="16" ht="13.5" customHeight="1" s="51">
      <c r="D16" s="94" t="inlineStr">
        <is>
          <t>회사와 플랫폼 간 제휴계약 종료, (3) 플랫폼사의 페이가 72시간 연속으로 회사가 요청하는 금액만큼</t>
        </is>
      </c>
    </row>
    <row r="17" ht="13.5" customHeight="1" s="51">
      <c r="D17" s="94" t="inlineStr">
        <is>
          <t>회사 계좌로 출금되지 아니한 경우, 일차감 프로그램은 즉시 중단되고 본 조 제1항·제2항에 따라</t>
        </is>
      </c>
    </row>
    <row r="18" ht="13.5" customHeight="1" s="51">
      <c r="B18" s="95" t="inlineStr">
        <is>
          <t>④ "보증금"이란, 할부금 지급 및 본 계약상 채무이행을 담보하기 위해 계약자가 회사에 납부하는 금</t>
        </is>
      </c>
      <c r="D18" s="94" t="n"/>
      <c r="E18" s="93" t="n"/>
    </row>
    <row r="19" ht="13.5" customHeight="1" s="51">
      <c r="B19" s="94" t="inlineStr">
        <is>
          <t>원을 말하며, 계약기간 만료 시 계약자가 모든 채무를 이행 완료한 경우 반환한다.</t>
        </is>
      </c>
      <c r="D19" s="93" t="inlineStr">
        <is>
          <t>제8조 (지연손해금 및 반환지연금)</t>
        </is>
      </c>
      <c r="E19" s="94" t="n"/>
    </row>
    <row r="20" ht="13.5" customHeight="1" s="51">
      <c r="B20" s="95" t="inlineStr">
        <is>
          <t>⑤ "계약자"는 본 계약 1면에 "계약자"로 기재된 라이더 본인을 말하며, 본 계약상 주채무자이자 본</t>
        </is>
      </c>
      <c r="D20" s="94" t="inlineStr">
        <is>
          <t>① 계약자가 약정 금액을 기한 내에 이행하지 않는 경우 위약금이 발생하며, 계약자는 회사의 청구일</t>
        </is>
      </c>
      <c r="E20" s="94" t="n"/>
    </row>
    <row r="21" ht="13.5" customHeight="1" s="51">
      <c r="B21" s="94" t="inlineStr">
        <is>
          <t>계약 차량을 실제 운행하는 자이다.</t>
        </is>
      </c>
      <c r="D21" s="94" t="inlineStr">
        <is>
          <t>로부터 5일 이내에 지급하여야 한다.</t>
        </is>
      </c>
      <c r="E21" s="94" t="n"/>
    </row>
    <row r="22" ht="13.5" customHeight="1" s="51">
      <c r="B22" s="94" t="n"/>
      <c r="D22" s="94" t="inlineStr">
        <is>
          <t>② 지연손해금 계산식: 지연손해금 = 연체금액 × 경과일수 × 연 20%</t>
        </is>
      </c>
      <c r="E22" s="94" t="n"/>
    </row>
    <row r="23" ht="13.5" customHeight="1" s="51">
      <c r="B23" s="94" t="n"/>
      <c r="D23" s="94" t="inlineStr">
        <is>
          <t>③ 반환지연금은 계약 만료·해지에도 불구하고 계약자가 이륜차를 반환하지 않고 점유·사용을 계속</t>
        </is>
      </c>
      <c r="E23" s="94" t="n"/>
    </row>
    <row r="24" ht="13.5" customHeight="1" s="51">
      <c r="B24" s="94" t="n"/>
      <c r="D24" s="94" t="inlineStr">
        <is>
          <t>하는 경우 발생하며, 계산식은 다음과 같다. ㆍ반환지연금 = 1일 사용료 × 경과일수 × 연20%</t>
        </is>
      </c>
      <c r="E24" s="94" t="n"/>
    </row>
    <row r="25" ht="13.5" customHeight="1" s="51">
      <c r="B25" s="96" t="inlineStr">
        <is>
          <t>⑥ "위약금"이란, 계약자의 귀책사유로 주문 취소 또는 중도 해지 시 회사에 지급하여야 하는 금액을</t>
        </is>
      </c>
      <c r="D25" s="94" t="inlineStr">
        <is>
          <t>④ 지연손해금과 반환지연금은 회사의 손해배상청구와 별도로 부과될 수 있다.</t>
        </is>
      </c>
      <c r="E25" s="94" t="n"/>
    </row>
    <row r="26" ht="13.5" customHeight="1" s="51">
      <c r="B26" s="94" t="inlineStr">
        <is>
          <t>말한다.</t>
        </is>
      </c>
      <c r="D26" s="94" t="inlineStr">
        <is>
          <t>⑤ 연체·미납이 발생하는 경우 회사는 계약자의 별도 동의 없이 해당 채무를 신용정보집중기관</t>
        </is>
      </c>
      <c r="E26" s="94" t="n"/>
    </row>
    <row r="27" ht="13.5" customHeight="1" s="51">
      <c r="B27" s="96" t="inlineStr">
        <is>
          <t>⑦ "지연손해금"이란, 계약자가 할부금·위약금·과태료 등의 납부를 지체한 경우 발생하는 추가 비용</t>
        </is>
      </c>
      <c r="D27" s="94" t="inlineStr">
        <is>
          <t>에 등록하거나 신용정보업체에 채권추심을 의뢰할 수 있다.</t>
        </is>
      </c>
      <c r="E27" s="94" t="n"/>
    </row>
    <row r="28" ht="13.5" customHeight="1" s="51">
      <c r="B28" s="94" t="inlineStr">
        <is>
          <t>을 말한다.</t>
        </is>
      </c>
      <c r="D28" s="97" t="n"/>
      <c r="E28" s="94" t="n"/>
    </row>
    <row r="29" ht="13.5" customHeight="1" s="51">
      <c r="B29" s="96" t="inlineStr">
        <is>
          <t>⑧ "계약이관"이란, 계약자가 본 계약상의 권리와 의무를 제3자에게 승계하는 것을 말한다.</t>
        </is>
      </c>
      <c r="D29" s="98" t="n"/>
      <c r="E29" s="93" t="n"/>
    </row>
    <row r="30" ht="13.5" customHeight="1" s="51">
      <c r="B30" s="96" t="inlineStr">
        <is>
          <t>⑨ "구상금"이란, 본 계약 차량 운행 중 발생한 사고로 보험사 또는 제3자가 회사에 청구하는 금액 일</t>
        </is>
      </c>
      <c r="D30" s="94" t="n"/>
      <c r="E30" s="94" t="n"/>
    </row>
    <row r="31" ht="13.5" customHeight="1" s="51">
      <c r="B31" s="94" t="inlineStr">
        <is>
          <t>체를 말한다.</t>
        </is>
      </c>
      <c r="D31" s="94" t="n"/>
      <c r="E31" s="94" t="n"/>
    </row>
    <row r="32" ht="13.5" customHeight="1" s="51">
      <c r="B32" s="96" t="inlineStr">
        <is>
          <t>⑩ "미수선처리"란, 사고 발생 시 계약자가 차량을 수리하지 아니하고 임의로 수리비 전부 또는 일부 금액을 현금으로 지급받는 행위를 말한다.</t>
        </is>
      </c>
      <c r="D32" s="94" t="n"/>
    </row>
    <row r="33" ht="13.5" customHeight="1" s="51">
      <c r="B33" s="96" t="inlineStr">
        <is>
          <t>⑪ "플랫폼 일차감 프로그램"이란, 계약자가 가맹중인 배달플랫폼 본사와 회사 간의 제휴계약이 체결되어 있는 경우 해당 플랫폼사의 페이를 통해 할부금·과태료 등 납부가 가능한 전산 시스템을 말한다.</t>
        </is>
      </c>
      <c r="D33" s="94" t="n"/>
    </row>
    <row r="34" ht="13.5" customHeight="1" s="51">
      <c r="D34" s="94" t="n"/>
      <c r="E34" s="94" t="n"/>
    </row>
    <row r="35" ht="13.5" customHeight="1" s="51">
      <c r="B35" s="93" t="inlineStr">
        <is>
          <t>제3조 (서류 제출 및 이륜차 인도)</t>
        </is>
      </c>
      <c r="D35" s="94" t="n"/>
      <c r="E35" s="94" t="n"/>
    </row>
    <row r="36" ht="13.5" customHeight="1" s="51">
      <c r="B36" s="94" t="inlineStr">
        <is>
          <t>① 계약자는 본 계약 체결에 필요한 서류를 회사에 제출하여야 하며, 보완 요구에도 성실히 응한다.</t>
        </is>
      </c>
      <c r="D36" s="94" t="n"/>
      <c r="E36" s="94" t="n"/>
    </row>
    <row r="37" ht="13.5" customHeight="1" s="51">
      <c r="B37" s="99" t="inlineStr">
        <is>
          <t>제출된 서류는 어떠한 경우에도 반환하지 아니한다.</t>
        </is>
      </c>
      <c r="D37" s="94" t="n"/>
      <c r="E37" s="94" t="n"/>
    </row>
    <row r="38" ht="13.5" customHeight="1" s="51">
      <c r="B38" s="94" t="inlineStr">
        <is>
          <t>② 회사는 청구시작일부터 지정 장소에 이륜차를 인도하며, 해당 날짜부터 계약이 개시된다. 인도 이</t>
        </is>
      </c>
      <c r="D38" s="94" t="n"/>
      <c r="E38" s="94" t="n"/>
    </row>
    <row r="39" ht="13.5" customHeight="1" s="51">
      <c r="B39" s="94" t="inlineStr">
        <is>
          <t>후에는 계약자는 이륜차의 하자·결함을 이유로 할부금 지급의무를 거부할 수 없다.</t>
        </is>
      </c>
      <c r="D39" s="94" t="n"/>
      <c r="E39" s="93" t="n"/>
    </row>
    <row r="40" ht="13.5" customHeight="1" s="51">
      <c r="B40" s="94" t="n"/>
      <c r="D40" s="100" t="n"/>
      <c r="E40" s="94" t="n"/>
    </row>
    <row r="41" ht="13.5" customHeight="1" s="51">
      <c r="B41" s="93" t="inlineStr">
        <is>
          <t>제4조 (소유권 유보 및 이전)</t>
        </is>
      </c>
      <c r="D41" s="100" t="n"/>
      <c r="E41" s="101" t="n"/>
    </row>
    <row r="42" ht="13.5" customHeight="1" s="51">
      <c r="B42" s="94" t="inlineStr">
        <is>
          <t>① 본 계약에 따른 이륜차의 소유권은 계약자가 모든 채무를 전액 이행할 때까지 회사에 유보된다.</t>
        </is>
      </c>
      <c r="D42" s="94" t="n"/>
      <c r="E42" s="101" t="n"/>
    </row>
    <row r="43" ht="13.5" customHeight="1" s="51">
      <c r="B43" s="94" t="inlineStr">
        <is>
          <t>② 인수형 계약의 경우, 계약자가 모든 채무를 완전히 이행한 때 회사는 회사의 내부 행정 절차에 따라</t>
        </is>
      </c>
      <c r="D43" s="93" t="inlineStr">
        <is>
          <t>제9조 (운행자성 및 운행지배)</t>
        </is>
      </c>
      <c r="E43" s="94" t="n"/>
    </row>
    <row r="44" ht="13.5" customHeight="1" s="51">
      <c r="B44" s="99" t="inlineStr">
        <is>
          <t>이륜차의 소유권을 계약자에게 이전한다.</t>
        </is>
      </c>
      <c r="D44" s="99" t="inlineStr">
        <is>
          <t>① 본 계약 차량의 소유권은 회사에 있으나, 회사는 자동차손해배상보장법 제3조에서 정한 "자기</t>
        </is>
      </c>
      <c r="E44" s="101" t="n"/>
    </row>
    <row r="45" ht="13.5" customHeight="1" s="51">
      <c r="B45" s="94" t="inlineStr">
        <is>
          <t>③ 반납형 계약의 경우 이륜차의 소유권은 계약 종료 후에도 회사에 귀속된다.</t>
        </is>
      </c>
      <c r="D45" s="94" t="inlineStr">
        <is>
          <t>기를 위하여 자동차를 운행하는 자"(이하 "운행자")에 해당하지 아니한다. 회사는 본 계약 차량에</t>
        </is>
      </c>
      <c r="E45" s="94" t="n"/>
    </row>
    <row r="46" ht="13.5" customHeight="1" s="51">
      <c r="B46" s="94" t="inlineStr">
        <is>
          <t>④ 인수형 계약이라 하더라도 계약기간 만료 및 약정 금액의 완납 전에는 계약자는 이륜차의 소유권</t>
        </is>
      </c>
      <c r="D46" s="94" t="inlineStr">
        <is>
          <t>대한 운행지배 및 운행이익을 갖지 아니한다.</t>
        </is>
      </c>
      <c r="E46" s="94" t="n"/>
    </row>
    <row r="47" ht="13.5" customHeight="1" s="51">
      <c r="B47" s="94" t="inlineStr">
        <is>
          <t>을 주장할 수 없다.</t>
        </is>
      </c>
      <c r="D47" s="99" t="inlineStr">
        <is>
          <t>② 본 계약 차량의 보험은 계약자가 직접 가입하며, 회사는 보험계약의 당사자가 아니다.</t>
        </is>
      </c>
      <c r="E47" s="101" t="n"/>
    </row>
    <row r="48" ht="13.5" customHeight="1" s="51">
      <c r="B48" s="94" t="n"/>
      <c r="D48" s="99" t="inlineStr">
        <is>
          <t>③ 이륜차 보관·사용 등으로 제3자에게 손해가 발생한 경우 회사의 고의·과실이 없는 한 그 책임은</t>
        </is>
      </c>
      <c r="E48" s="94" t="n"/>
    </row>
    <row r="49" ht="13.5" customHeight="1" s="51">
      <c r="B49" s="93" t="inlineStr">
        <is>
          <t>제5조 (계약자의 책임)</t>
        </is>
      </c>
      <c r="D49" s="94" t="inlineStr">
        <is>
          <t>계약자가 부담한다. 계약자는 본인 명의로 본 계약 차량의 자동차보험에 가입할 의무가 있으며, 본 차량이 유상</t>
        </is>
      </c>
      <c r="E49" s="101" t="n"/>
    </row>
    <row r="50" ht="13.5" customHeight="1" s="51">
      <c r="B50" s="99" t="inlineStr">
        <is>
          <t>① 계약자는 선량한 관리자의 주의로 이륜차를 유지·관리하여야 하며, 운행 중 발생하는 모든 사고에</t>
        </is>
      </c>
      <c r="D50" s="94" t="inlineStr">
        <is>
          <t>운송 목적으로 사용되는 점을 고려하여 유상운송 용도에 적합한 보험에 가입하여야 한다. 부적합 보험</t>
        </is>
      </c>
      <c r="E50" s="101" t="n"/>
    </row>
    <row r="51" ht="13.5" customHeight="1" s="51">
      <c r="B51" s="99" t="inlineStr">
        <is>
          <t>대해 책임을 부담한다.</t>
        </is>
      </c>
      <c r="D51" s="94" t="inlineStr">
        <is>
          <t>가입, 보장 한도 부족, 계약자 본인 명의가 아닌 보험 가입, 또는 계약자의 귀책사유로 보험처리가 불</t>
        </is>
      </c>
      <c r="E51" s="93" t="n"/>
    </row>
    <row r="52" ht="13.5" customHeight="1" s="51">
      <c r="B52" s="94" t="inlineStr">
        <is>
          <t>② 계약자는 계약기간 중 임의로 타부착물을 장착하거나 이륜차의 구조를 변경할 수 없다.</t>
        </is>
      </c>
      <c r="D52" s="94" t="inlineStr">
        <is>
          <t>가하거나 보험금으로 충당되지 않는 손해는 전적으로 계약자가 부담한다.</t>
        </is>
      </c>
      <c r="E52" s="93" t="n"/>
    </row>
    <row r="53" ht="13.5" customHeight="1" s="51">
      <c r="B53" s="94" t="inlineStr">
        <is>
          <t xml:space="preserve">③ 이륜차의 소유권은 회사에 있으며, 계약자는 본 계약의 목적 범위 내에서 본인이 직접 사용·수익할 </t>
        </is>
      </c>
      <c r="D53" s="99" t="inlineStr">
        <is>
          <t>④ 제3자가 회사를 상대로 운행자 책임을 청구하는 경우 계약자는 자신의 비용·책임으로 회사를 면책</t>
        </is>
      </c>
      <c r="E53" s="94" t="n"/>
    </row>
    <row r="54" ht="13.5" customHeight="1" s="51">
      <c r="B54" s="99" t="inlineStr">
        <is>
          <t>권리와 운행이익권만을 가진다. 계약자는 이륜차를 제3자에게 양도·전대·담보 제공하거나 사용·수익</t>
        </is>
      </c>
      <c r="D54" s="99" t="inlineStr">
        <is>
          <t>시켜야 하며, 회사가 부득이 배상한 경우 그 금액 및 관련 비용 일체를 즉시 회사에 상환하여야 한다.</t>
        </is>
      </c>
      <c r="E54" s="94" t="n"/>
    </row>
    <row r="55" ht="13.5" customHeight="1" s="51">
      <c r="B55" s="99" t="inlineStr">
        <is>
          <t>하게 할 수 없다. 또한, 제15조·제16조에 따라 계약이 해지된 경우 계약자는 즉시 운행을 중단하고 이</t>
        </is>
      </c>
      <c r="D55" s="102" t="n"/>
      <c r="E55" s="94" t="n"/>
    </row>
    <row r="56" ht="13.5" customHeight="1" s="51">
      <c r="B56" s="99" t="inlineStr">
        <is>
          <t>륜차를 반환하여야 한다.</t>
        </is>
      </c>
      <c r="D56" s="93" t="inlineStr">
        <is>
          <t>제10조 (계약의 이관 및 승계)</t>
        </is>
      </c>
      <c r="E56" s="101" t="n"/>
    </row>
    <row r="57" ht="13.5" customHeight="1" s="51">
      <c r="B57" s="94" t="inlineStr">
        <is>
          <t>④ 계약자는 인수형 할부판매라 하더라도 계약기간 만료 및 약정 금액 완납 전에는 이륜차의 소유권</t>
        </is>
      </c>
      <c r="D57" s="94" t="inlineStr">
        <is>
          <t>① 계약자는 회사의 사전 승인 없이 본 계약상의 권리·의무를 제3자에게 임의로 승계할 수 없다.</t>
        </is>
      </c>
      <c r="E57" s="103" t="n"/>
    </row>
    <row r="58" ht="13.5" customHeight="1" s="51">
      <c r="B58" s="99" t="inlineStr">
        <is>
          <t>을 주장할 수 없다.</t>
        </is>
      </c>
      <c r="D58" s="94" t="inlineStr">
        <is>
          <t>② 계약자가 제3자에게 승계하고자 하는 경우 인적사항·신용상태·영업상황 등 필요 정보를 제</t>
        </is>
      </c>
      <c r="E58" s="104" t="n"/>
    </row>
    <row r="59" ht="13.5" customHeight="1" s="51">
      <c r="B59" s="94" t="inlineStr">
        <is>
          <t>⑤ 제3자가 이륜차에 대하여 권리를 주장하거나 보전처분·강제집행 등으로 회사의 소유권을 침해할</t>
        </is>
      </c>
      <c r="D59" s="94" t="inlineStr">
        <is>
          <t>공하여야 하며, 회사는 심사기준에 부합하지 않으면 거절할 수 있다.</t>
        </is>
      </c>
      <c r="E59" s="104" t="n"/>
    </row>
    <row r="60" ht="13.5" customHeight="1" s="51">
      <c r="B60" s="99" t="inlineStr">
        <is>
          <t>위험이 있는 경우, 계약자는 이륜차가 회사의 소유임을 주장·입증하여 침해를 방지하고 즉시 그 사</t>
        </is>
      </c>
      <c r="D60" s="94" t="inlineStr">
        <is>
          <t>③ 회사의 승인 없이 계약자가 제3자에게 넘긴 경우, 계약자는 할부금 지급의무 및 기타 채무를</t>
        </is>
      </c>
      <c r="E60" s="94" t="n"/>
    </row>
    <row r="61" ht="13.5" customHeight="1" s="51">
      <c r="B61" s="99" t="inlineStr">
        <is>
          <t>실을 회사에 통지하여야 한다.</t>
        </is>
      </c>
      <c r="D61" s="94" t="inlineStr">
        <is>
          <t xml:space="preserve"> 계속 이행하여야 한다.</t>
        </is>
      </c>
      <c r="E61" s="101" t="n"/>
    </row>
    <row r="62" ht="13.5" customHeight="1" s="51">
      <c r="B62" s="94" t="inlineStr">
        <is>
          <t>⑥ 계약자는 이륜차를 인도받은 시점부터 반환 시까지 도난·멸실·훼손 등 일체의 사고에 대한 책임을</t>
        </is>
      </c>
      <c r="D62" s="94" t="inlineStr">
        <is>
          <t>④ 계약이관을 하기 위해서는 할부금·수리비·위약금·과태료 등 일체 미납금이 없어야 한다.</t>
        </is>
      </c>
      <c r="E62" s="94" t="n"/>
    </row>
    <row r="63" ht="13.5" customHeight="1" s="51">
      <c r="B63" s="99" t="inlineStr">
        <is>
          <t>부담한다.</t>
        </is>
      </c>
      <c r="D63" s="94" t="inlineStr">
        <is>
          <t>⑤ 승계받고자 하는 제3자가 계약이관서에 서명함으로써 절차는 완료된 것으로 본다.</t>
        </is>
      </c>
      <c r="E63" s="93" t="n"/>
    </row>
    <row r="64" ht="13.5" customHeight="1" s="51">
      <c r="B64" s="94" t="inlineStr">
        <is>
          <t>⑦ 이륜차 도난·멸실·훼손 시 계약자는 지체 없이 회사에 통보하고, 자신의 비용으로 (1) 이륜차를 원상</t>
        </is>
      </c>
      <c r="D64" s="94" t="n"/>
      <c r="E64" s="94" t="n"/>
    </row>
    <row r="65" ht="13.5" customHeight="1" s="51">
      <c r="B65" s="99" t="inlineStr">
        <is>
          <t>태로 완전복구 또는 (2) 동일모델·사양으로 교체 중 하나를 이행해야 한다.</t>
        </is>
      </c>
      <c r="D65" s="93" t="inlineStr">
        <is>
          <t>제11조 (차량 위치정보 등 제공 동의)</t>
        </is>
      </c>
      <c r="E65" s="94" t="n"/>
    </row>
    <row r="66" ht="13.5" customHeight="1" s="51">
      <c r="B66" s="94" t="inlineStr">
        <is>
          <t>⑧ 계약자는 계약 개시 시점에 차량·키·일체의 부속품을 인수하므로, 계약 종료 시까지 관련 도</t>
        </is>
      </c>
      <c r="D66" s="94" t="inlineStr">
        <is>
          <t xml:space="preserve">① 해당 이륜차에는 도난·멸실·분실 위험 방지를 위하여 위치정보 수집 장치가 부착되어 있으며, </t>
        </is>
      </c>
      <c r="E66" s="101" t="n"/>
    </row>
    <row r="67" ht="13.5" customHeight="1" s="51">
      <c r="B67" s="99" t="inlineStr">
        <is>
          <t>난·멸실·훼손에 대한 모든 책임을 부담한다.</t>
        </is>
      </c>
      <c r="D67" s="94" t="inlineStr">
        <is>
          <t>계약자는 이를 인지하고 동의한다.</t>
        </is>
      </c>
      <c r="E67" s="94" t="n"/>
    </row>
    <row r="68" ht="13.5" customHeight="1" s="51">
      <c r="B68" s="99" t="n"/>
      <c r="D68" s="94" t="inlineStr">
        <is>
          <t>② 계약자는 이륜차가 운행되는 전 기간에 대하여 위치정보 수집·이용·제공의 적법성을 확보할 책</t>
        </is>
      </c>
      <c r="E68" s="101" t="n"/>
    </row>
    <row r="69" ht="13.5" customHeight="1" s="51">
      <c r="B69" s="93" t="inlineStr">
        <is>
          <t>제6조 (보증금 및 계약금)</t>
        </is>
      </c>
      <c r="D69" s="94" t="inlineStr">
        <is>
          <t>임을 부담하며, 이와 관련하여 제3자로부터 회사에 제기되는 일체의 청구·손해·과태료에 대하여</t>
        </is>
      </c>
      <c r="E69" s="94" t="n"/>
    </row>
    <row r="70" ht="13.5" customHeight="1" s="51">
      <c r="B70" s="94" t="inlineStr">
        <is>
          <t>① 계약자는 계약 체결 시 회사가 지정하는 계좌(포어스바이크 유한회사)로 보증금을 지급한다. 사전</t>
        </is>
      </c>
      <c r="D70" s="94" t="inlineStr">
        <is>
          <t>계약자가 전적으로 책임을 진다.</t>
        </is>
      </c>
      <c r="E70" s="93" t="n"/>
    </row>
    <row r="71" ht="13.5" customHeight="1" s="51">
      <c r="B71" s="94" t="inlineStr">
        <is>
          <t>동의를 받아 보증금 지급이 지연된 경우 회사는 최대 7일의 유예기간을 둘 수 있다.</t>
        </is>
      </c>
      <c r="D71" s="94" t="inlineStr">
        <is>
          <t>③ 계약자는 위치정보 장치를 임의로 변경·제거·훼손할 수 없다.</t>
        </is>
      </c>
      <c r="E71" s="94" t="n"/>
    </row>
    <row r="72" ht="13.5" customHeight="1" s="51">
      <c r="B72" s="94" t="inlineStr">
        <is>
          <t>② 전항의 유예기간 내 지급이 이루어지지 않을 경우 본 계약은 자동 해지되며, 계약자는 즉시</t>
        </is>
      </c>
      <c r="D72" s="94" t="inlineStr">
        <is>
          <t>④ 회사는 채무불이행, 계약 해지, 회수 절차, 보험사고 처리 등 본 계약 이행·관리에 필요한 범위내</t>
        </is>
      </c>
      <c r="E72" s="101" t="n"/>
    </row>
    <row r="73" ht="13.5" customHeight="1" s="51">
      <c r="B73" s="99" t="inlineStr">
        <is>
          <t xml:space="preserve"> 이륜차를 반환함과 동시에 (1) 인도일부터 반환일까지의 일할 사용료, (2) 이륜차의 감가손실액,</t>
        </is>
      </c>
      <c r="D73" s="94" t="inlineStr">
        <is>
          <t>에서만 위치정보를 활용한다.</t>
        </is>
      </c>
      <c r="E73" s="94" t="n"/>
    </row>
    <row r="74" ht="13.5" customHeight="1" s="51">
      <c r="B74" s="105" t="inlineStr">
        <is>
          <t>(3) 차량 등록비·번호판 비용 등 회사가 이미 지출한 부대비용 일체를 회사에 배상하여야 한다.</t>
        </is>
      </c>
      <c r="E74" s="94" t="n"/>
    </row>
    <row r="75" ht="13.5" customHeight="1" s="51">
      <c r="B75" s="94" t="inlineStr">
        <is>
          <t>③ 보증금은 계약기간 만료·계약자가 모든 채무를 이행한 뒤 수납대행사를 통해 반환한다. 다만, 미납</t>
        </is>
      </c>
      <c r="D75" s="93" t="inlineStr">
        <is>
          <t>제12조 (이륜차 유지비용 및 제세공과금)</t>
        </is>
      </c>
      <c r="E75" s="94" t="n"/>
    </row>
    <row r="76" ht="13.5" customHeight="1" s="51">
      <c r="B76" s="99" t="inlineStr">
        <is>
          <t>과태료·수리비 등이 확인될 수 있으므로 계약기간 만료일로부터 1개월이 경과한 이후에 반환한다.</t>
        </is>
      </c>
      <c r="D76" s="94" t="inlineStr">
        <is>
          <t>① 계약자는 관련 법령과 관할관청·회사의 지시를 준수한다.</t>
        </is>
      </c>
      <c r="E76" s="93" t="n"/>
    </row>
    <row r="77" ht="13.5" customHeight="1" s="51">
      <c r="B77" s="94" t="inlineStr">
        <is>
          <t>④ 반환된 이륜차 상태에 따라 보증금에서 수리비를 공제하며, 수리비가 보증금을 초과하면 계약자는</t>
        </is>
      </c>
      <c r="D77" s="94" t="inlineStr">
        <is>
          <t>② 회사는 계약기간 중 언제든 계약자의 본 계약 준수 여부를 점검할 수 있으며, 계약자는 성실히 협조</t>
        </is>
      </c>
      <c r="E77" s="94" t="n"/>
    </row>
    <row r="78" ht="13.5" customHeight="1" s="51">
      <c r="B78" s="99" t="inlineStr">
        <is>
          <t>차액을 추가 납부하여야 한다.</t>
        </is>
      </c>
      <c r="D78" s="94" t="inlineStr">
        <is>
          <t>조하여야 한다.</t>
        </is>
      </c>
      <c r="E78" s="101" t="n"/>
    </row>
    <row r="79" ht="13.5" customHeight="1" s="51">
      <c r="B79" s="94" t="inlineStr">
        <is>
          <t>⑤ 미납 과태료·범칙금은 보증금에서 공제하고 잔액을 반환하며, 초과분은 계약자가 추가 납부하여야</t>
        </is>
      </c>
      <c r="D79" s="94" t="inlineStr">
        <is>
          <t>③ 이륜차 보관·사용 등으로 제3자에게 손해가 발생한 경우 회사의 고의·과실이 없는 한 그 책임은 계</t>
        </is>
      </c>
      <c r="E79" s="94" t="n"/>
    </row>
    <row r="80" ht="13.5" customHeight="1" s="51">
      <c r="B80" s="99" t="inlineStr">
        <is>
          <t>한다.</t>
        </is>
      </c>
      <c r="D80" s="94" t="inlineStr">
        <is>
          <t>약자가 부담한다. 보험 가입·처리 책임은 전적으로 계약자에게 있으며, 본 차량이 유상운송 목적으</t>
        </is>
      </c>
      <c r="E80" s="94" t="n"/>
    </row>
    <row r="81" ht="13.5" customHeight="1" s="51">
      <c r="B81" s="94" t="inlineStr">
        <is>
          <t>⑥ 계약이 중도 해지된 경우 계약자는 어떠한 사유로도 납부한 보증금 및 계약금을 반환받을 수 없다.</t>
        </is>
      </c>
      <c r="D81" s="94" t="inlineStr">
        <is>
          <t>로 사용되는 점을 고려하여 계약자는 본인 명의로 유상운송 용도에 적합한 보험에 가입할 의무가 있다.</t>
        </is>
      </c>
      <c r="E81" s="94" t="n"/>
    </row>
    <row r="82" ht="13.5" customHeight="1" s="51">
      <c r="B82" s="94" t="n"/>
      <c r="D82" s="94" t="inlineStr">
        <is>
          <t>부적합 보험 가입, 보장 한도 부족, 본인 명의가 아닌 보험 가입 또는 계약자의 귀책사유로 보험처리가</t>
        </is>
      </c>
      <c r="E82" s="94" t="n"/>
    </row>
    <row r="83" ht="13.5" customHeight="1" s="51">
      <c r="B83" s="93" t="inlineStr">
        <is>
          <t>제7조 (할부금 및 기타 지급금)</t>
        </is>
      </c>
      <c r="D83" s="94" t="inlineStr">
        <is>
          <t>불가하거나 보험금으로 충당되지 않는 손해는 전적으로 계약자가 부담한다.</t>
        </is>
      </c>
      <c r="E83" s="93" t="n"/>
    </row>
    <row r="84" ht="13.5" customHeight="1" s="51">
      <c r="B84" s="94" t="inlineStr">
        <is>
          <t>① 계약자는 계약서에 기재된 할부금 및 운행 관련 제 비용을 공휴일과 무관하게 정해진 결제일에</t>
        </is>
      </c>
      <c r="D84" s="94" t="inlineStr">
        <is>
          <t>④ 이륜차의 등록·유지·사용·등록말소·폐차 등과 관련하여 할부금에 포함되지 않은 비용 및 제세공과</t>
        </is>
      </c>
      <c r="E84" s="94" t="n"/>
    </row>
    <row r="85" ht="13.5" customHeight="1" s="51">
      <c r="B85" s="94" t="inlineStr">
        <is>
          <t>에 수납대행사(포어스바이크 유한회사) 명의 계좌로 납부하여야 한다.</t>
        </is>
      </c>
      <c r="D85" s="94" t="inlineStr">
        <is>
          <t>과금(과태료·범칙금·벌과금 등)은 전적으로 계약자가 부담한다.</t>
        </is>
      </c>
      <c r="E85" s="101" t="n"/>
    </row>
    <row r="86" ht="13.5" customHeight="1" s="51">
      <c r="B86" s="93" t="inlineStr">
        <is>
          <t>제13조 (금지행위)</t>
        </is>
      </c>
      <c r="D86" s="93" t="inlineStr">
        <is>
          <t>제19조 (계약만료 후 처리)</t>
        </is>
      </c>
      <c r="E86" s="94" t="n"/>
    </row>
    <row r="87" ht="13.5" customHeight="1" s="51">
      <c r="B87" s="94" t="inlineStr">
        <is>
          <t>계약자는 다음 행위를 하여서는 아니된다: (1) 이륜차를 양도·전대 또는 본 계약상 권리를 제3자에게</t>
        </is>
      </c>
      <c r="D87" s="94" t="inlineStr">
        <is>
          <t>① 계약자는 계약만료일 이후 이륜차를 운행하여서는 아니되며, 만료 후 임의 운행으로 발생하는 사</t>
        </is>
      </c>
      <c r="E87" s="94" t="n"/>
    </row>
    <row r="88" ht="13.5" customHeight="1" s="51">
      <c r="B88" s="94" t="inlineStr">
        <is>
          <t>양도하는 행위, (2) 계약자 본인 명의가 아닌 보험 또는 보장 한도가 부족한 보험으로 운행하는 행위, (3) 이륜차 규격·성능</t>
        </is>
      </c>
      <c r="D88" s="94" t="inlineStr">
        <is>
          <t>고에 회사는 민·형사상 책임을 지지 않는다.</t>
        </is>
      </c>
      <c r="E88" s="94" t="n"/>
    </row>
    <row r="89" ht="13.5" customHeight="1" s="51">
      <c r="B89" s="95" t="inlineStr">
        <is>
          <t>·기능을 임의로 변경하거나 번호판을 훼손하는 행위, (4) 이륜차를 제3자에게 담보 목적으로 제공하</t>
        </is>
      </c>
      <c r="D89" s="94" t="inlineStr">
        <is>
          <t>② 인수형 계약의 경우 (1) 계약자 명의 이전 시 보험가입증명서·신분증 제출, (2) 사용폐지 시 만료일</t>
        </is>
      </c>
      <c r="E89" s="101" t="n"/>
    </row>
    <row r="90" ht="13.5" customHeight="1" s="51">
      <c r="B90" s="94" t="inlineStr">
        <is>
          <t>는 등 회사의 소유권 침해 행위, (5) 이륜차 부착 표지를 제거·훼손하거나 내용·위치를 변경하는 행위.</t>
        </is>
      </c>
      <c r="D90" s="94" t="inlineStr">
        <is>
          <t>익일에 번호판을 등기우편 발송 중 하나를 선택한다.</t>
        </is>
      </c>
      <c r="E90" s="101" t="n"/>
    </row>
    <row r="91" ht="13.5" customHeight="1" s="51">
      <c r="B91" s="94" t="inlineStr">
        <is>
          <t>본 조의 행위가 있는 경우 회사는 사전 통지·최고 없이 본 계약을  즉시 해지하고 차량을 회수하며, 제</t>
        </is>
      </c>
      <c r="D91" s="94" t="inlineStr">
        <is>
          <t>③ 인수형 계약에서 명의이전이 이루어지는 경우, 취·등록세는 미납금 존재 여부와 관계없이 계약자</t>
        </is>
      </c>
      <c r="E91" s="94" t="n"/>
    </row>
    <row r="92" ht="13.5" customHeight="1" s="51">
      <c r="B92" s="95" t="inlineStr">
        <is>
          <t>18조에 따른 위약금 및 원상복구비 등 일체의 손해를 청구할 수 있다.</t>
        </is>
      </c>
      <c r="D92" s="94" t="inlineStr">
        <is>
          <t>가 부담하며, 신고는 회사가 대행한다. 회사는 취·등록세를 보증금에서 차감할 수 있고, 영수증을 발</t>
        </is>
      </c>
      <c r="E92" s="101" t="n"/>
    </row>
    <row r="93" ht="13.5" customHeight="1" s="51">
      <c r="B93" s="94" t="n"/>
      <c r="D93" s="94" t="inlineStr">
        <is>
          <t>송하는 경우 계약자는 즉시 납부하여야 한다.</t>
        </is>
      </c>
      <c r="E93" s="101" t="n"/>
    </row>
    <row r="94" ht="13.5" customHeight="1" s="51">
      <c r="B94" s="93" t="inlineStr">
        <is>
          <t>제14조 (제3자에 대한 면책)</t>
        </is>
      </c>
      <c r="D94" s="94" t="inlineStr">
        <is>
          <t>④ 인수형 계약에 미납금이 있는 경우 계약만료일까지 전액 완납되어야 인수가 가능하며, 만료일(D)</t>
        </is>
      </c>
      <c r="E94" s="94" t="n"/>
    </row>
    <row r="95" ht="13.5" customHeight="1" s="51">
      <c r="B95" s="94" t="inlineStr">
        <is>
          <t>① 이륜차 인수일부터 반환일까지의 기간 동안 발생한 사유로 인하여 제3자(보험사 구상금 청구 포</t>
        </is>
      </c>
      <c r="D95" s="94" t="inlineStr">
        <is>
          <t>이후 D+3일까지 미납 시 차량 회수가 진행되고, D+15일까지 미완납 시 계약자는 기한이익을 상실</t>
        </is>
      </c>
      <c r="E95" s="101" t="n"/>
    </row>
    <row r="96" ht="13.5" customHeight="1" s="51">
      <c r="B96" s="94" t="inlineStr">
        <is>
          <t>함)가 그 청구 시점이 계약 만료·해지 이후라도 회사를 상대로 인적·물적 손해배상 또는 구상금을</t>
        </is>
      </c>
      <c r="D96" s="94" t="inlineStr">
        <is>
          <t>하며 회사는 차량을 자체 처분할 수 있다.</t>
        </is>
      </c>
      <c r="E96" s="101" t="n"/>
    </row>
    <row r="97" ht="13.5" customHeight="1" s="51">
      <c r="B97" s="94" t="inlineStr">
        <is>
          <t>청구하는 경우 계약자는 자신의 비용·책임으로 회사를 면책시켜야 한다.</t>
        </is>
      </c>
      <c r="D97" s="94" t="inlineStr">
        <is>
          <t>⑤ 반납형 계약의 경우 만료일 익일에 이륜차를 반환한다. 회사는 수리견적을 작성하여 수리비를 보</t>
        </is>
      </c>
      <c r="E97" s="94" t="n"/>
    </row>
    <row r="98" ht="13.5" customHeight="1" s="51">
      <c r="B98" s="94" t="inlineStr">
        <is>
          <t>② 회사가 소유자라는 이유로 직접 손해배상을 한 경우 계약자는 회사가 제3자에게 지급한 금액과 관</t>
        </is>
      </c>
      <c r="D98" s="94" t="inlineStr">
        <is>
          <t>증금에서 차감 후 잔액을 계약자에게 지급하며, 수리비가 보증금을 초과하는 경우 차액을 계약자가</t>
        </is>
      </c>
      <c r="E98" s="101" t="n"/>
    </row>
    <row r="99" ht="13.5" customHeight="1" s="51">
      <c r="B99" s="94" t="inlineStr">
        <is>
          <t>련 제비용을 즉시 상환하여야 한다.</t>
        </is>
      </c>
      <c r="D99" s="94" t="inlineStr">
        <is>
          <t>납부한다.</t>
        </is>
      </c>
      <c r="E99" s="94" t="n"/>
    </row>
    <row r="100" ht="13.5" customHeight="1" s="51">
      <c r="B100" s="94" t="inlineStr">
        <is>
          <t>③ 회사가 제3자 청구에 방어를 한 경우 계약자는 방어 관련 지출된 소송비용 등 일체를 부담하여야</t>
        </is>
      </c>
      <c r="D100" s="94" t="inlineStr">
        <is>
          <t>⑥ 명의이전·폐지·반납 절차에 필요한 서류 전달(번호판 등기 발송, 보험가입증명서·신분증 제출 등</t>
        </is>
      </c>
      <c r="E100" s="94" t="n"/>
    </row>
    <row r="101" ht="13.5" customHeight="1" s="51">
      <c r="B101" s="94" t="inlineStr">
        <is>
          <t>한다.</t>
        </is>
      </c>
      <c r="D101" s="94" t="inlineStr">
        <is>
          <t>포함)은 만료일 익일까지 완료되어야 하며, 이를 지체하는 경우 계약자는 제8조에 따른 손해배상금</t>
        </is>
      </c>
      <c r="E101" s="93" t="n"/>
    </row>
    <row r="102" ht="13.5" customHeight="1" s="51">
      <c r="B102" s="94" t="inlineStr">
        <is>
          <t>④ 본 계약은 계약자가 보험에 가입하는 할부판매 상품으로 회사는 보험계약의 당사자가 아니므로 보</t>
        </is>
      </c>
      <c r="D102" s="94" t="inlineStr">
        <is>
          <t>및 부당사용이익을 회사에 납부하여야 한다.</t>
        </is>
      </c>
      <c r="E102" s="94" t="n"/>
    </row>
    <row r="103" ht="13.5" customHeight="1" s="51">
      <c r="B103" s="94" t="inlineStr">
        <is>
          <t xml:space="preserve">험료·자기부담금·구상금·면책금·사고처리비용 등 보험과 관련된 일체의 비용은 계약자가 전적으로 </t>
        </is>
      </c>
      <c r="D103" s="94" t="n"/>
      <c r="E103" s="94" t="n"/>
    </row>
    <row r="104" ht="13.5" customHeight="1" s="51">
      <c r="B104" s="94" t="inlineStr">
        <is>
          <t>부담하며, 회사는 이에 대해 일절 책임을 지지 아니한다.</t>
        </is>
      </c>
      <c r="D104" s="93" t="inlineStr">
        <is>
          <t>제20조 (계약만료 전 할부금 완납 시 절차)</t>
        </is>
      </c>
      <c r="E104" s="101" t="n"/>
    </row>
    <row r="105" ht="13.5" customHeight="1" s="51">
      <c r="B105" s="94" t="inlineStr">
        <is>
          <t>⑤ 운행 중 사고로 보험사가 회사에 구상금을 청구하거나 보험 보장 범위를 초과하는 손해가 발생</t>
        </is>
      </c>
      <c r="D105" s="94" t="inlineStr">
        <is>
          <t>① 계약자는 계약만료일까지 이륜차를 운행할 수 있다.</t>
        </is>
      </c>
      <c r="E105" s="94" t="n"/>
    </row>
    <row r="106" ht="13.5" customHeight="1" s="51">
      <c r="B106" s="94" t="inlineStr">
        <is>
          <t>한 경우, 계약자는 이를 인지한 즉시 회사에 고지하여야 한다. 보험사가 회사에 구상금을 청구한 경</t>
        </is>
      </c>
      <c r="D106" s="94" t="inlineStr">
        <is>
          <t>② 계약 만료 전 할부금을 모두 완납하여 계약이 종료되는 경우 계약자는 제19조에서 정한 절차를</t>
        </is>
      </c>
      <c r="E106" s="94" t="n"/>
    </row>
    <row r="107" ht="13.5" customHeight="1" s="51">
      <c r="B107" s="94" t="inlineStr">
        <is>
          <t>우 계약자는 통보 후 7일 이내에 그 전액을 회사에 변제하여야 한다.</t>
        </is>
      </c>
      <c r="D107" s="94" t="inlineStr">
        <is>
          <t>진행한다.</t>
        </is>
      </c>
      <c r="E107" s="94" t="n"/>
    </row>
    <row r="108" ht="13.5" customHeight="1" s="51">
      <c r="B108" s="94" t="inlineStr">
        <is>
          <t>⑥ 계약자가 전항의 고지·변제 의무를 위반한 경우 회사는 본 계약을 즉시 해지하고 차량을 회수할</t>
        </is>
      </c>
      <c r="D108" s="94" t="inlineStr">
        <is>
          <t>③ 계약자의 요청에 따라 만료일보다 일찍 명의이전·사용폐지를 진행하는 경우 보험환급금 등 추가</t>
        </is>
      </c>
      <c r="E108" s="93" t="n"/>
    </row>
    <row r="109" ht="13.5" customHeight="1" s="51">
      <c r="B109" s="94" t="inlineStr">
        <is>
          <t>수 있으며, 회사가 부득이 직접 배상한 경우 그 금액 및 관련 비용 일체를 즉시 회사에 상환한다.</t>
        </is>
      </c>
      <c r="D109" s="94" t="inlineStr">
        <is>
          <t>환급은 청구할 수 없다.</t>
        </is>
      </c>
      <c r="E109" s="94" t="n"/>
    </row>
    <row r="110" ht="13.5" customHeight="1" s="51">
      <c r="D110" s="94" t="n"/>
      <c r="E110" s="94" t="n"/>
    </row>
    <row r="111" ht="13.5" customHeight="1" s="51">
      <c r="B111" s="93" t="inlineStr">
        <is>
          <t>제15조 (계약자에 의한 중도 해지)</t>
        </is>
      </c>
      <c r="D111" s="93" t="inlineStr">
        <is>
          <t>제21조 (변제충당 순서)</t>
        </is>
      </c>
      <c r="E111" s="94" t="n"/>
    </row>
    <row r="112" ht="13.5" customHeight="1" s="51">
      <c r="B112" s="94" t="inlineStr">
        <is>
          <t>① 계약자가 본 계약을 중도 해지하고자 하는 경우 해지 예정일로부터 최소 10일 전에 회사에 사전</t>
        </is>
      </c>
      <c r="D112" s="94" t="inlineStr">
        <is>
          <t>① 계약자가 납입한 금액이 납입일 현재 채무 전액을 충당하기에 부족한 경우, 회사는 납기일 기준</t>
        </is>
      </c>
      <c r="E112" s="94" t="n"/>
    </row>
    <row r="113" ht="13.5" customHeight="1" s="51">
      <c r="B113" s="94" t="inlineStr">
        <is>
          <t>통보하여야 한다.</t>
        </is>
      </c>
      <c r="D113" s="94" t="inlineStr">
        <is>
          <t>으로 먼저 도래한 채무액부터 우선 충당한다.</t>
        </is>
      </c>
      <c r="E113" s="94" t="n"/>
    </row>
    <row r="114" ht="13.5" customHeight="1" s="51">
      <c r="B114" s="94" t="inlineStr">
        <is>
          <t>② 회사의 중대한 귀책사유가 아닌 경우 계약자는 제8조 및 계약에서 정한 위약금 및 관련 비용을 회</t>
        </is>
      </c>
      <c r="D114" s="94" t="inlineStr">
        <is>
          <t>② 연체이자가 있는 경우 연체이자, 지연손해금, 위약금, 원금의 순으로 충당한다.</t>
        </is>
      </c>
      <c r="E114" s="93" t="n"/>
    </row>
    <row r="115" ht="13.5" customHeight="1" s="51">
      <c r="B115" s="94" t="inlineStr">
        <is>
          <t>사에 지급하여야 한다.</t>
        </is>
      </c>
      <c r="D115" s="94" t="inlineStr">
        <is>
          <t>③ 각 계약자별 납부금은 해당 계약자 본인 명의 계좌로부터 입금된 금원에 한하여 충당되며, 타 계</t>
        </is>
      </c>
      <c r="E115" s="94" t="n"/>
    </row>
    <row r="116" ht="13.5" customHeight="1" s="51">
      <c r="B116" s="94" t="inlineStr">
        <is>
          <t>③ 계약자는 해지 예정일까지 회사가 지정하는 장소에 이륜차를 반환하여야 하며, 관련 비용은 계약</t>
        </is>
      </c>
      <c r="D116" s="94" t="inlineStr">
        <is>
          <t>약자의 입금은 타인의 채무에 충당되지 아니한다.</t>
        </is>
      </c>
      <c r="E116" s="101" t="n"/>
    </row>
    <row r="117" ht="13.5" customHeight="1" s="51">
      <c r="B117" s="94" t="inlineStr">
        <is>
          <t>자가 부담한다.</t>
        </is>
      </c>
      <c r="D117" s="94" t="n"/>
      <c r="E117" s="101" t="n"/>
    </row>
    <row r="118" ht="13.5" customHeight="1" s="51">
      <c r="B118" s="94" t="inlineStr">
        <is>
          <t>④ 최종 해지일은 이륜차가 회사에 반환된 날을 기준으로 하며, 계약자는 회사의 평가·정산 절차에</t>
        </is>
      </c>
      <c r="D118" s="93" t="inlineStr">
        <is>
          <t>제22조 (현금영수증 발급)</t>
        </is>
      </c>
      <c r="E118" s="94" t="n"/>
    </row>
    <row r="119" ht="13.5" customHeight="1" s="51">
      <c r="B119" s="94" t="inlineStr">
        <is>
          <t>성실히 협조하여야 한다.</t>
        </is>
      </c>
      <c r="D119" s="94" t="inlineStr">
        <is>
          <t>① 현금영수증은 한국모터사이클리스 유한회사 명의로 계약자의 주민등록번호를 기준으로 발급한다.</t>
        </is>
      </c>
      <c r="E119" s="94" t="n"/>
    </row>
    <row r="120" ht="13.5" customHeight="1" s="51">
      <c r="D120" s="94" t="n"/>
      <c r="E120" s="94" t="n"/>
    </row>
    <row r="121" ht="13.5" customHeight="1" s="51">
      <c r="B121" s="93" t="inlineStr">
        <is>
          <t>제16조 (계약의 해지 사유)</t>
        </is>
      </c>
      <c r="D121" s="94" t="n"/>
      <c r="E121" s="93" t="n"/>
    </row>
    <row r="122" ht="13.5" customHeight="1" s="51">
      <c r="B122" s="99" t="inlineStr">
        <is>
          <t>다음 각 호에 해당하는 경우 계약자는 사전 통지·최고 없이 기한이익을 상실하며, 회사는 본 계약을</t>
        </is>
      </c>
      <c r="D122" s="94" t="inlineStr">
        <is>
          <t>② 발행 대상이 변경되는 경우 계약자는 익월 5일까지 회사에 통지한다.</t>
        </is>
      </c>
      <c r="E122" s="94" t="n"/>
    </row>
    <row r="123" ht="13.5" customHeight="1" s="51">
      <c r="B123" s="94" t="inlineStr">
        <is>
          <t>해지하고 차량 인도를 청구할 수 있다: (1) 이륜차 무단 양도·전대,</t>
        </is>
      </c>
      <c r="D123" s="94" t="inlineStr">
        <is>
          <t>③ 계약자는 주소·전화번호·상호·사업자등록번호 등 발행에 영향을 미치는 사항에 변경이 발</t>
        </is>
      </c>
      <c r="E123" s="93" t="n"/>
    </row>
    <row r="124" ht="13.5" customHeight="1" s="51">
      <c r="B124" s="96" t="inlineStr">
        <is>
          <t>(2) 보험연령 미달자 운전 사실 발견, (3) 정해진 입금일에 할부금 미납 및 7일 이상 지체, (4) 통</t>
        </is>
      </c>
      <c r="D124" s="94" t="inlineStr">
        <is>
          <t>생한 경우 즉시 회사에 통지하며, 통지의무 해태로 발생하는 불이익은 계약자가 부담한다.</t>
        </is>
      </c>
      <c r="E124" s="94" t="n"/>
    </row>
    <row r="125" ht="13.5" customHeight="1" s="51">
      <c r="B125" s="99" t="inlineStr">
        <is>
          <t>지받은 수리비·과태료·구상금 등을 정당한 사유 없이 5일 이내 미납, (5) 무면허·음주운전등 운전자 귀</t>
        </is>
      </c>
      <c r="D125" s="94" t="n"/>
      <c r="E125" s="101" t="n"/>
    </row>
    <row r="126" ht="13.5" customHeight="1" s="51">
      <c r="B126" s="99" t="inlineStr">
        <is>
          <t xml:space="preserve"> 귀책 배상금 청구 후 5일 이내 미납, (6) 제3자 담보 제공 등 회사 소유권 침해 또는 차량 규격·성능</t>
        </is>
      </c>
      <c r="D126" s="93" t="inlineStr">
        <is>
          <t>제23조 (약관에 정하지 않은 사항)</t>
        </is>
      </c>
      <c r="E126" s="93" t="n"/>
    </row>
    <row r="127" ht="13.5" customHeight="1" s="51">
      <c r="B127" s="105" t="inlineStr">
        <is>
          <t xml:space="preserve">·표지의 무단 변경·훼손, (7) 위치정보 장치 훼손·은닉, (8) 보험사 구상금 통보 후 7일 이내 미변제, (9) </t>
        </is>
      </c>
      <c r="D127" s="94" t="inlineStr">
        <is>
          <t>본 계약에서 정하지 아니한 사항에 관하여는 관계 법령 및 회사의 관련 규정을 따른다.</t>
        </is>
      </c>
      <c r="E127" s="94" t="n"/>
    </row>
    <row r="128" ht="13.5" customHeight="1" s="51">
      <c r="B128" s="99" t="inlineStr">
        <is>
          <t>사고 발생 시 고지 의무 위반.</t>
        </is>
      </c>
      <c r="E128" s="94" t="n"/>
    </row>
    <row r="129" ht="13.5" customHeight="1" s="51">
      <c r="D129" s="93" t="inlineStr">
        <is>
          <t>제24조 (준거법 및 관할)</t>
        </is>
      </c>
      <c r="E129" s="94" t="n"/>
    </row>
    <row r="130" ht="13.5" customHeight="1" s="51">
      <c r="B130" s="93" t="inlineStr">
        <is>
          <t>제17조 (해지위약금 등의 부과방법)</t>
        </is>
      </c>
      <c r="D130" s="94" t="inlineStr">
        <is>
          <t>본 계약은 대한민국 법률에 따라 해석·적용하며, 본 계약과 관련하여 분쟁이 발생하는 경우 수원지방</t>
        </is>
      </c>
      <c r="E130" s="94" t="n"/>
    </row>
    <row r="131" ht="13.5" customHeight="1" s="51">
      <c r="B131" s="94" t="inlineStr">
        <is>
          <t>① 위약금 산식: 위약금 = 보증금 + (잔여기간에 대한 총 할부금 × 20%). 계약자는 위약금을 계약해지</t>
        </is>
      </c>
      <c r="D131" s="94" t="inlineStr">
        <is>
          <t>법원을 전속 관할 법원으로 한다.</t>
        </is>
      </c>
      <c r="E131" s="94" t="n"/>
    </row>
    <row r="132" ht="13.5" customHeight="1" s="51">
      <c r="B132" s="94" t="inlineStr">
        <is>
          <t>일까지 회사에 지급하여야 한다.</t>
        </is>
      </c>
      <c r="E132" s="94" t="n"/>
    </row>
    <row r="133" ht="13.5" customHeight="1" s="51">
      <c r="B133" s="94" t="inlineStr">
        <is>
          <t>② 선납한 보증금은 어떠한 경우에도 반환되지 않는다.</t>
        </is>
      </c>
      <c r="D133" s="93" t="inlineStr">
        <is>
          <t>제25조 (차량 평가 및 감가 기준)</t>
        </is>
      </c>
      <c r="E133" s="94" t="n"/>
    </row>
    <row r="134" ht="13.5" customHeight="1" s="51">
      <c r="B134" s="94" t="inlineStr">
        <is>
          <t>③ 반환된 이륜차·부착물·키 부속품 일체에 파손이 있는 경우 계약자는 원상복구 수리비를 회사 청구</t>
        </is>
      </c>
      <c r="D134" s="94" t="inlineStr">
        <is>
          <t>계약 만료 또는 해지로 이륜차가 회사에 반환된 경우, 회사는 반환된 이륜차의 상태를 평가하여</t>
        </is>
      </c>
      <c r="E134" s="94" t="n"/>
    </row>
    <row r="135" ht="13.5" customHeight="1" s="51">
      <c r="B135" s="94" t="inlineStr">
        <is>
          <t>일로부터 5일 이내에 지급하여야 한다.</t>
        </is>
      </c>
      <c r="D135" s="94" t="inlineStr">
        <is>
          <t xml:space="preserve"> 보증금에서 수리비를 공제하거나 계약자에게 추가 납부를 청구할 수 있으며, 그 감가액 산정기준</t>
        </is>
      </c>
      <c r="E135" s="94" t="n"/>
    </row>
    <row r="136" ht="13.5" customHeight="1" s="51">
      <c r="D136" s="94" t="inlineStr">
        <is>
          <t>은 다음 각 호와 같다.</t>
        </is>
      </c>
      <c r="E136" s="94" t="n"/>
    </row>
    <row r="137" ht="13.5" customHeight="1" s="51">
      <c r="B137" s="93" t="inlineStr">
        <is>
          <t>제18조 (이륜차 반환 및 회수)</t>
        </is>
      </c>
      <c r="D137" s="94" t="inlineStr">
        <is>
          <t>① 커버류의 교체 또는 수리가 필요한 경우: 해당 부위당 감가율 4%를 적용한다.</t>
        </is>
      </c>
      <c r="E137" s="94" t="n"/>
    </row>
    <row r="138" ht="13.5" customHeight="1" s="51">
      <c r="B138" s="94" t="inlineStr">
        <is>
          <t>① 제15조·제16조에 따라 계약이 해지되는 경우 계약자는 즉시 회사가 지정하는 장소로 이륜차를 반</t>
        </is>
      </c>
      <c r="D138" s="94" t="inlineStr">
        <is>
          <t>② 차대의 교체 또는 수리가 필요한 경우: 해당 부위당 감가율 6%를 적용한다.</t>
        </is>
      </c>
      <c r="E138" s="106" t="n"/>
    </row>
    <row r="139" ht="13.5" customHeight="1" s="51">
      <c r="B139" s="94" t="inlineStr">
        <is>
          <t>환하여야 한다.</t>
        </is>
      </c>
      <c r="D139" s="94" t="inlineStr">
        <is>
          <t>③ 도장·판금 작업이 필요한 경우: 30만원 ~ 50만원 범위에서 산정한다.</t>
        </is>
      </c>
      <c r="E139" s="94" t="n"/>
    </row>
    <row r="140" ht="13.5" customHeight="1" s="51">
      <c r="B140" s="94" t="inlineStr">
        <is>
          <t>② 계약자가 반환을 지연·거부하는 경우 회사는 이륜차를 임의로 회수할 수 있으며, 계약자는 민·형사</t>
        </is>
      </c>
      <c r="D140" s="94" t="inlineStr">
        <is>
          <t>④ 제1호부터 제3호까지의 기준에도 불구하고 실제 수리비가 본 기준 금액을 초과하는 경우, 회사는</t>
        </is>
      </c>
      <c r="E140" s="94" t="n"/>
    </row>
    <row r="141" ht="13.5" customHeight="1" s="51">
      <c r="B141" s="94" t="inlineStr">
        <is>
          <t>상 어떠한 이의도 제기할 수 없다.</t>
        </is>
      </c>
      <c r="D141" s="94" t="inlineStr">
        <is>
          <t>실비를 기준으로 청구할 수 있다.</t>
        </is>
      </c>
      <c r="E141" s="94" t="n"/>
    </row>
    <row r="142" ht="14.25" customHeight="1" s="51">
      <c r="B142" s="94" t="inlineStr">
        <is>
          <t>③ 회수에 소요된 일체의 비용은 계약자가 부담한다.</t>
        </is>
      </c>
      <c r="E142" s="94" t="n"/>
    </row>
    <row r="143" ht="14.25" customHeight="1" s="51">
      <c r="B143" s="94" t="inlineStr">
        <is>
          <t>④ 계약자는 계약해지일부터 이륜차 최종반환일까지의 손해배상금을 회사에 지급해야 한다.</t>
        </is>
      </c>
    </row>
    <row r="144" ht="14.25" customHeight="1" s="51">
      <c r="B144" s="94" t="n"/>
    </row>
    <row r="145" ht="14.25" customHeight="1" s="51">
      <c r="B145" s="107" t="n"/>
      <c r="C145" s="93" t="n"/>
      <c r="D145" s="93" t="n"/>
    </row>
    <row r="146" ht="14.25" customHeight="1" s="51">
      <c r="B146" s="100" t="n"/>
      <c r="D146" s="100" t="n"/>
    </row>
    <row r="147" ht="14.25" customHeight="1" s="51">
      <c r="B147" s="94" t="n"/>
    </row>
    <row r="148" ht="14.25" customHeight="1" s="51">
      <c r="B148" s="94" t="n"/>
      <c r="D148" s="108" t="inlineStr">
        <is>
          <t>제26조 (제조사 A/S 및 차량 하자)</t>
        </is>
      </c>
    </row>
    <row r="149" ht="14.25" customHeight="1" s="51">
      <c r="B149" s="94" t="n"/>
      <c r="D149" s="94" t="inlineStr">
        <is>
          <t>① 할부판매 계약 개시일 당시 신차를 인수받았거나 본 계약 차량이 제조사 보증기간 내에 있는 경우</t>
        </is>
      </c>
    </row>
    <row r="150" ht="14.25" customHeight="1" s="51">
      <c r="D150" s="94" t="inlineStr">
        <is>
          <t>차량 하자 발생 시 제조사의 A/S 정책에 따르며, 처리 과정에서 발생하는 비용 및 손해는 회사가 책</t>
        </is>
      </c>
    </row>
    <row r="151" ht="14.25" customHeight="1" s="51">
      <c r="D151" s="94" t="inlineStr">
        <is>
          <t>임지지 아니하고 이로 인하여 계약자의 할부금 지급의무에는 영향을 미치지 않는다.</t>
        </is>
      </c>
    </row>
    <row r="152" ht="14.25" customHeight="1" s="51">
      <c r="D152" s="94" t="inlineStr">
        <is>
          <t>② 계약자는 A/S 처리를 사유로 차량의 교체 또는 반납을 요구할 수 없다.</t>
        </is>
      </c>
    </row>
    <row r="154" ht="14.25" customHeight="1" s="51">
      <c r="D154" s="108" t="inlineStr">
        <is>
          <t>제27조 (출고 주문 취소 위약금)</t>
        </is>
      </c>
    </row>
    <row r="155" ht="14.25" customHeight="1" s="51">
      <c r="D155" s="94" t="inlineStr">
        <is>
          <t>계약자의 단순 변심으로 출고 당일 계약을 취소하는 경우, 계약자는 차량 회수에 소요된 일체의 비용 및</t>
        </is>
      </c>
    </row>
    <row r="156" ht="14.25" customHeight="1" s="51">
      <c r="D156" s="94" t="inlineStr">
        <is>
          <t>위약금 10만원을 회사에 지급한다.</t>
        </is>
      </c>
    </row>
    <row r="158" ht="14.25" customHeight="1" s="51">
      <c r="D158" s="108" t="inlineStr">
        <is>
          <t>제28조 (과태료·범칙금·제세공과금)</t>
        </is>
      </c>
    </row>
    <row r="159" ht="14.25" customHeight="1" s="51">
      <c r="D159" s="94" t="inlineStr">
        <is>
          <t>① 계약자가 본 계약 차량의 운행과 관련하여 과태료·범칙금 등을 부과받은 경우, 회사는 그 사실을 계</t>
        </is>
      </c>
    </row>
    <row r="160" ht="14.25" customHeight="1" s="51">
      <c r="D160" s="94" t="inlineStr">
        <is>
          <t>약자에게 안내하며, 계약자는 즉시 납부하여야 한다.</t>
        </is>
      </c>
    </row>
    <row r="161" ht="14.25" customHeight="1" s="51">
      <c r="D161" s="94" t="inlineStr">
        <is>
          <t>② 계약만기일까지 미납된 과태료·범칙금 등이 있는 경우, 회사는 해당 금액을 보증금에서 공제한 후</t>
        </is>
      </c>
    </row>
    <row r="162" ht="14.25" customHeight="1" s="51">
      <c r="D162" s="94" t="inlineStr">
        <is>
          <t>잔액을 반환한다. 미납금이 보증금을 초과하는 경우 계약자는 그 차액을 추가 납부하여야 한다.</t>
        </is>
      </c>
    </row>
    <row r="163" ht="14.25" customHeight="1" s="51">
      <c r="D163" s="94" t="inlineStr">
        <is>
          <t>③ 플랫폼 일차감 프로그램을 이용하는 계약자는 과태료·범칙금 등의 일회성 차감에 동의한다.</t>
        </is>
      </c>
    </row>
    <row r="164" ht="14.25" customHeight="1" s="51">
      <c r="D164" s="94" t="inlineStr">
        <is>
          <t>④ 계약만료 후 이륜차의 명의이전에 따른 취·등록세 등 제세공과금은 계약자가 부담한다.</t>
        </is>
      </c>
    </row>
    <row r="166" ht="14.25" customHeight="1" s="51">
      <c r="D166" s="108" t="inlineStr">
        <is>
          <t>제29조 (약관의 변경)</t>
        </is>
      </c>
    </row>
    <row r="167" ht="14.25" customHeight="1" s="51">
      <c r="D167" s="94" t="inlineStr">
        <is>
          <t>① 회사는 본 약관을 변경할 수 있으며, 변경된 약관을 기존 계약에 소급 적용하는 경우 그 내용을 서</t>
        </is>
      </c>
    </row>
    <row r="168" ht="14.25" customHeight="1" s="51">
      <c r="D168" s="94" t="inlineStr">
        <is>
          <t>면으로 작성하여 적용 예정일로부터 14일 이전까지 계약자에게 통지한다.</t>
        </is>
      </c>
    </row>
    <row r="169" ht="14.25" customHeight="1" s="51">
      <c r="D169" s="94" t="inlineStr">
        <is>
          <t>② 계약자가 적용 예정일까지 이의를 제기하지 아니하는 경우, 변경된 약관을 승인한 것으로 본다.</t>
        </is>
      </c>
    </row>
    <row r="171">
      <c r="B171" s="100" t="inlineStr">
        <is>
          <t>이용약관의 내용에 대해서 설명을 듣고 확인하였습니다.</t>
        </is>
      </c>
    </row>
    <row r="172">
      <c r="B172" s="100" t="inlineStr">
        <is>
          <t>계약자                                    서명 또는 인</t>
        </is>
      </c>
    </row>
  </sheetData>
  <mergeCells count="1">
    <mergeCell ref="B1:D1"/>
  </mergeCells>
  <printOptions horizontalCentered="0" verticalCentered="0" headings="0" gridLines="0" gridLinesSet="1"/>
  <pageMargins left="0.3" right="0.3" top="0.4" bottom="0.4" header="0.511811023622047" footer="0.511811023622047"/>
  <pageSetup orientation="portrait" paperSize="9" scale="100" fitToHeight="0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2026-04-23T08:36:35Z</dcterms:created>
  <dcterms:modified xmlns:dcterms="http://purl.org/dc/terms/" xmlns:xsi="http://www.w3.org/2001/XMLSchema-instance" xsi:type="dcterms:W3CDTF">2026-05-11T08:22:11Z</dcterms:modified>
  <cp:lastModifiedBy>유주 박</cp:lastModifiedBy>
  <cp:revision>0</cp:revision>
  <cp:lastPrinted>2026-05-07T01:34:20Z</cp:lastPrinted>
</cp:coreProperties>
</file>