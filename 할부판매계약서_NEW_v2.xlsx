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계약리스트" sheetId="1" state="visible" r:id="rId3"/>
    <sheet name="계약서" sheetId="2" state="visible" r:id="rId4"/>
    <sheet name="이용약관" sheetId="3" state="visible" r:id="rId5"/>
  </sheets>
  <definedNames>
    <definedName function="false" hidden="false" localSheetId="1" name="_xlnm.Print_Area" vbProcedure="false">계약서!$A$1:$K$52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<sst xmlns="http://schemas.openxmlformats.org/spreadsheetml/2006/main" count="277" uniqueCount="258">
  <si>
    <t xml:space="preserve">계약번호</t>
  </si>
  <si>
    <t xml:space="preserve">계약일자</t>
  </si>
  <si>
    <t xml:space="preserve">차종</t>
  </si>
  <si>
    <t xml:space="preserve">차대번호</t>
  </si>
  <si>
    <t xml:space="preserve">차량번호</t>
  </si>
  <si>
    <t xml:space="preserve">색상</t>
  </si>
  <si>
    <t xml:space="preserve">일사용료</t>
  </si>
  <si>
    <t xml:space="preserve">사용일수</t>
  </si>
  <si>
    <t xml:space="preserve">보증금</t>
  </si>
  <si>
    <t xml:space="preserve">라이더명</t>
  </si>
  <si>
    <t xml:space="preserve">라이더 주민번호</t>
  </si>
  <si>
    <t xml:space="preserve">라이더 연락처</t>
  </si>
  <si>
    <t xml:space="preserve">라이더 이메일</t>
  </si>
  <si>
    <t xml:space="preserve">라이더 주소</t>
  </si>
  <si>
    <t xml:space="preserve">라이더 본인명의 은행</t>
  </si>
  <si>
    <t xml:space="preserve">라이더 본인명의 계좌번호</t>
  </si>
  <si>
    <r>
      <rPr>
        <b val="true"/>
        <sz val="9"/>
        <color rgb="FFFFFFFF"/>
        <rFont val="DejaVu Sans"/>
        <family val="2"/>
      </rPr>
      <t xml:space="preserve">라이더 업종</t>
    </r>
    <r>
      <rPr>
        <b val="true"/>
        <sz val="9"/>
        <color rgb="FFFFFFFF"/>
        <rFont val="DejaVu Sans"/>
        <family val="2"/>
        <charset val="1"/>
      </rPr>
      <t xml:space="preserve">/</t>
    </r>
    <r>
      <rPr>
        <b val="true"/>
        <sz val="9"/>
        <color rgb="FFFFFFFF"/>
        <rFont val="DejaVu Sans"/>
        <family val="2"/>
      </rPr>
      <t xml:space="preserve">담당업무</t>
    </r>
  </si>
  <si>
    <t xml:space="preserve">사업장 업체명</t>
  </si>
  <si>
    <t xml:space="preserve">사업장 사업자번호</t>
  </si>
  <si>
    <t xml:space="preserve">사업장 대표자명</t>
  </si>
  <si>
    <t xml:space="preserve">사업장 대표자 주민번호</t>
  </si>
  <si>
    <t xml:space="preserve">사업장 대표자 연락처</t>
  </si>
  <si>
    <t xml:space="preserve">사업장 주소</t>
  </si>
  <si>
    <t xml:space="preserve">사업장 대표자 주소</t>
  </si>
  <si>
    <t xml:space="preserve">사업장 이메일</t>
  </si>
  <si>
    <t xml:space="preserve">계약유형</t>
  </si>
  <si>
    <t xml:space="preserve">상품유형</t>
  </si>
  <si>
    <t xml:space="preserve">납입방법</t>
  </si>
  <si>
    <t xml:space="preserve">납입계좌</t>
  </si>
  <si>
    <t xml:space="preserve">요금결제일</t>
  </si>
  <si>
    <t xml:space="preserve">2026-04-23</t>
  </si>
  <si>
    <t xml:space="preserve">PCX125</t>
  </si>
  <si>
    <t xml:space="preserve">MLHJF81H2ST000001</t>
  </si>
  <si>
    <r>
      <rPr>
        <sz val="10"/>
        <color rgb="FF000000"/>
        <rFont val="DejaVu Sans"/>
        <family val="2"/>
      </rPr>
      <t xml:space="preserve">서울바</t>
    </r>
    <r>
      <rPr>
        <sz val="10"/>
        <color rgb="FF000000"/>
        <rFont val="DejaVu Sans"/>
        <family val="2"/>
        <charset val="1"/>
      </rPr>
      <t xml:space="preserve">1234</t>
    </r>
  </si>
  <si>
    <t xml:space="preserve">블랙</t>
  </si>
  <si>
    <t xml:space="preserve">홍길동</t>
  </si>
  <si>
    <t xml:space="preserve">900101-1234567</t>
  </si>
  <si>
    <t xml:space="preserve">010-1234-5678</t>
  </si>
  <si>
    <t xml:space="preserve">rider@example.com</t>
  </si>
  <si>
    <r>
      <rPr>
        <sz val="10"/>
        <color rgb="FF000000"/>
        <rFont val="DejaVu Sans"/>
        <family val="2"/>
      </rPr>
      <t xml:space="preserve">서울시 강남구 테헤란로 </t>
    </r>
    <r>
      <rPr>
        <sz val="10"/>
        <color rgb="FF000000"/>
        <rFont val="DejaVu Sans"/>
        <family val="2"/>
        <charset val="1"/>
      </rPr>
      <t xml:space="preserve">123</t>
    </r>
  </si>
  <si>
    <t xml:space="preserve">국민은행</t>
  </si>
  <si>
    <t xml:space="preserve">123456-78-901234</t>
  </si>
  <si>
    <t xml:space="preserve">배달 라이더</t>
  </si>
  <si>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주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DejaVu Sans"/>
        <family val="2"/>
      </rPr>
      <t xml:space="preserve">퀵배달</t>
    </r>
  </si>
  <si>
    <t xml:space="preserve">123-45-67890</t>
  </si>
  <si>
    <t xml:space="preserve">김대표</t>
  </si>
  <si>
    <t xml:space="preserve">700101-1234567</t>
  </si>
  <si>
    <t xml:space="preserve">010-9876-5432</t>
  </si>
  <si>
    <r>
      <rPr>
        <sz val="10"/>
        <color rgb="FF000000"/>
        <rFont val="DejaVu Sans"/>
        <family val="2"/>
      </rPr>
      <t xml:space="preserve">서울시 강남구 봉은사로 </t>
    </r>
    <r>
      <rPr>
        <sz val="10"/>
        <color rgb="FF000000"/>
        <rFont val="DejaVu Sans"/>
        <family val="2"/>
        <charset val="1"/>
      </rPr>
      <t xml:space="preserve">100</t>
    </r>
  </si>
  <si>
    <r>
      <rPr>
        <sz val="10"/>
        <color rgb="FF000000"/>
        <rFont val="DejaVu Sans"/>
        <family val="2"/>
      </rPr>
      <t xml:space="preserve">서울시 송파구 잠실동 </t>
    </r>
    <r>
      <rPr>
        <sz val="10"/>
        <color rgb="FF000000"/>
        <rFont val="DejaVu Sans"/>
        <family val="2"/>
        <charset val="1"/>
      </rPr>
      <t xml:space="preserve">200</t>
    </r>
  </si>
  <si>
    <t xml:space="preserve">biz@example.com</t>
  </si>
  <si>
    <t xml:space="preserve">할부 판매</t>
  </si>
  <si>
    <t xml:space="preserve">인수형</t>
  </si>
  <si>
    <t xml:space="preserve">계좌이체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</si>
  <si>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DejaVu Sans"/>
        <family val="2"/>
        <charset val="1"/>
      </rPr>
      <t xml:space="preserve">929-028519-04-010</t>
    </r>
  </si>
  <si>
    <r>
      <rPr>
        <sz val="10"/>
        <color rgb="FF000000"/>
        <rFont val="DejaVu Sans"/>
        <family val="2"/>
      </rPr>
      <t xml:space="preserve">월</t>
    </r>
    <r>
      <rPr>
        <sz val="10"/>
        <color rgb="FF000000"/>
        <rFont val="DejaVu Sans"/>
        <family val="2"/>
        <charset val="1"/>
      </rPr>
      <t xml:space="preserve">2</t>
    </r>
    <r>
      <rPr>
        <sz val="10"/>
        <color rgb="FF000000"/>
        <rFont val="DejaVu Sans"/>
        <family val="2"/>
      </rPr>
      <t xml:space="preserve">회</t>
    </r>
    <r>
      <rPr>
        <sz val="10"/>
        <color rgb="FF000000"/>
        <rFont val="DejaVu Sans"/>
        <family val="2"/>
        <charset val="1"/>
      </rPr>
      <t xml:space="preserve">(15</t>
    </r>
    <r>
      <rPr>
        <sz val="10"/>
        <color rgb="FF000000"/>
        <rFont val="DejaVu Sans"/>
        <family val="2"/>
      </rPr>
      <t xml:space="preserve">일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 xml:space="preserve">말일</t>
    </r>
    <r>
      <rPr>
        <sz val="10"/>
        <color rgb="FF000000"/>
        <rFont val="DejaVu Sans"/>
        <family val="2"/>
        <charset val="1"/>
      </rPr>
      <t xml:space="preserve">)</t>
    </r>
  </si>
  <si>
    <t xml:space="preserve">계약번호입력→</t>
  </si>
  <si>
    <t xml:space="preserve">이륜차 할부판매 계약서</t>
  </si>
  <si>
    <t xml:space="preserve">한국모터사이클리스 유한회사</t>
  </si>
  <si>
    <t xml:space="preserve">■ 차량 정보</t>
  </si>
  <si>
    <t xml:space="preserve">정비여부</t>
  </si>
  <si>
    <t xml:space="preserve">미포함</t>
  </si>
  <si>
    <r>
      <rPr>
        <b val="true"/>
        <sz val="11"/>
        <color rgb="FFFFFFFF"/>
        <rFont val="DejaVu Sans"/>
        <family val="2"/>
      </rPr>
      <t xml:space="preserve">■ 계약자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라이더</t>
    </r>
    <r>
      <rPr>
        <b val="true"/>
        <sz val="11"/>
        <color rgb="FFFFFFFF"/>
        <rFont val="DejaVu Sans"/>
        <family val="2"/>
        <charset val="1"/>
      </rPr>
      <t xml:space="preserve">) — </t>
    </r>
    <r>
      <rPr>
        <b val="true"/>
        <sz val="11"/>
        <color rgb="FFFFFFFF"/>
        <rFont val="DejaVu Sans"/>
        <family val="2"/>
      </rPr>
      <t xml:space="preserve">본 계약상 주채무자</t>
    </r>
  </si>
  <si>
    <t xml:space="preserve">성명</t>
  </si>
  <si>
    <t xml:space="preserve">주민등록번호</t>
  </si>
  <si>
    <t xml:space="preserve">연락처</t>
  </si>
  <si>
    <t xml:space="preserve">이메일</t>
  </si>
  <si>
    <r>
      <rPr>
        <b val="true"/>
        <sz val="9"/>
        <color rgb="FF1F3864"/>
        <rFont val="DejaVu Sans"/>
        <family val="2"/>
      </rPr>
      <t xml:space="preserve">업종</t>
    </r>
    <r>
      <rPr>
        <b val="true"/>
        <sz val="9"/>
        <color rgb="FF1F3864"/>
        <rFont val="DejaVu Sans"/>
        <family val="2"/>
        <charset val="1"/>
      </rPr>
      <t xml:space="preserve">/</t>
    </r>
    <r>
      <rPr>
        <b val="true"/>
        <sz val="9"/>
        <color rgb="FF1F3864"/>
        <rFont val="DejaVu Sans"/>
        <family val="2"/>
      </rPr>
      <t xml:space="preserve">담당업무</t>
    </r>
  </si>
  <si>
    <t xml:space="preserve">주소</t>
  </si>
  <si>
    <t xml:space="preserve">본인명의
은행</t>
  </si>
  <si>
    <t xml:space="preserve">본인명의
계좌번호</t>
  </si>
  <si>
    <r>
      <rPr>
        <i val="true"/>
        <sz val="8"/>
        <color rgb="FF595959"/>
        <rFont val="DejaVu Sans"/>
        <family val="2"/>
      </rPr>
      <t xml:space="preserve">※ 제출 서류 </t>
    </r>
    <r>
      <rPr>
        <i val="true"/>
        <sz val="8"/>
        <color rgb="FF595959"/>
        <rFont val="DejaVu Sans"/>
        <family val="2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라이더 신분증 사본</t>
    </r>
    <r>
      <rPr>
        <i val="true"/>
        <sz val="8"/>
        <color rgb="FF595959"/>
        <rFont val="DejaVu Sans"/>
        <family val="2"/>
        <charset val="1"/>
      </rPr>
      <t xml:space="preserve">, </t>
    </r>
    <r>
      <rPr>
        <i val="true"/>
        <sz val="8"/>
        <color rgb="FF595959"/>
        <rFont val="DejaVu Sans"/>
        <family val="2"/>
      </rPr>
      <t xml:space="preserve">본인 명의 통장 사본  </t>
    </r>
    <r>
      <rPr>
        <i val="true"/>
        <sz val="8"/>
        <color rgb="FF595959"/>
        <rFont val="DejaVu Sans"/>
        <family val="2"/>
        <charset val="1"/>
      </rPr>
      <t xml:space="preserve">|  </t>
    </r>
    <r>
      <rPr>
        <i val="true"/>
        <sz val="8"/>
        <color rgb="FF595959"/>
        <rFont val="DejaVu Sans"/>
        <family val="2"/>
      </rPr>
      <t xml:space="preserve">입금은 반드시 본인 명의 계좌에서 이루어져야 함 </t>
    </r>
    <r>
      <rPr>
        <i val="true"/>
        <sz val="8"/>
        <color rgb="FF595959"/>
        <rFont val="DejaVu Sans"/>
        <family val="2"/>
        <charset val="1"/>
      </rPr>
      <t xml:space="preserve">(</t>
    </r>
    <r>
      <rPr>
        <i val="true"/>
        <sz val="8"/>
        <color rgb="FF595959"/>
        <rFont val="DejaVu Sans"/>
        <family val="2"/>
      </rPr>
      <t xml:space="preserve">입금자명 확인</t>
    </r>
    <r>
      <rPr>
        <i val="true"/>
        <sz val="8"/>
        <color rgb="FF595959"/>
        <rFont val="DejaVu Sans"/>
        <family val="2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</si>
  <si>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■ 연대보증인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사업장</t>
    </r>
    <r>
      <rPr>
        <b val="true"/>
        <sz val="11"/>
        <color rgb="FFFFFFFF"/>
        <rFont val="DejaVu Sans"/>
        <family val="2"/>
        <charset val="1"/>
      </rPr>
      <t xml:space="preserve">) — </t>
    </r>
    <r>
      <rPr>
        <b val="true"/>
        <sz val="11"/>
        <color rgb="FFFFFFFF"/>
        <rFont val="DejaVu Sans"/>
        <family val="2"/>
      </rPr>
      <t xml:space="preserve">주채무자와 연대하여 채무를 부담 </t>
    </r>
    <r>
      <rPr>
        <b val="true"/>
        <sz val="11"/>
        <color rgb="FFFFFFFF"/>
        <rFont val="DejaVu Sans"/>
        <family val="2"/>
        <charset val="1"/>
      </rPr>
      <t xml:space="preserve">| </t>
    </r>
    <r>
      <rPr>
        <b val="true"/>
        <sz val="11"/>
        <color rgb="FFFFFFFF"/>
        <rFont val="DejaVu Sans"/>
        <family val="2"/>
      </rPr>
      <t xml:space="preserve">세금계산서 수취 대상을 겸함</t>
    </r>
  </si>
  <si>
    <t xml:space="preserve">업체명</t>
  </si>
  <si>
    <t xml:space="preserve">사업자번호</t>
  </si>
  <si>
    <t xml:space="preserve">대표자명</t>
  </si>
  <si>
    <t xml:space="preserve">대표자
주민번호</t>
  </si>
  <si>
    <t xml:space="preserve">대표자
연락처</t>
  </si>
  <si>
    <t xml:space="preserve">업체 주소</t>
  </si>
  <si>
    <t xml:space="preserve">대표자
주소</t>
  </si>
  <si>
    <r>
      <rPr>
        <i val="true"/>
        <sz val="8"/>
        <color rgb="FF595959"/>
        <rFont val="DejaVu Sans"/>
        <family val="2"/>
      </rPr>
      <t xml:space="preserve">※ 제출 서류 </t>
    </r>
    <r>
      <rPr>
        <i val="true"/>
        <sz val="8"/>
        <color rgb="FF595959"/>
        <rFont val="DejaVu Sans"/>
        <family val="2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사업자등록증 사본</t>
    </r>
    <r>
      <rPr>
        <i val="true"/>
        <sz val="8"/>
        <color rgb="FF595959"/>
        <rFont val="DejaVu Sans"/>
        <family val="2"/>
        <charset val="1"/>
      </rPr>
      <t xml:space="preserve">, </t>
    </r>
    <r>
      <rPr>
        <i val="true"/>
        <sz val="8"/>
        <color rgb="FF595959"/>
        <rFont val="DejaVu Sans"/>
        <family val="2"/>
      </rPr>
      <t xml:space="preserve">대표자 신분증 사본</t>
    </r>
    <r>
      <rPr>
        <i val="true"/>
        <sz val="8"/>
        <color rgb="FF595959"/>
        <rFont val="DejaVu Sans"/>
        <family val="2"/>
        <charset val="1"/>
      </rPr>
      <t xml:space="preserve">, </t>
    </r>
    <r>
      <rPr>
        <i val="true"/>
        <sz val="8"/>
        <color rgb="FF595959"/>
        <rFont val="DejaVu Sans"/>
        <family val="2"/>
      </rPr>
      <t xml:space="preserve">업체 통장 사본  </t>
    </r>
    <r>
      <rPr>
        <i val="true"/>
        <sz val="8"/>
        <color rgb="FF595959"/>
        <rFont val="DejaVu Sans"/>
        <family val="2"/>
        <charset val="1"/>
      </rPr>
      <t xml:space="preserve">|  </t>
    </r>
    <r>
      <rPr>
        <i val="true"/>
        <sz val="8"/>
        <color rgb="FF595959"/>
        <rFont val="DejaVu Sans"/>
        <family val="2"/>
      </rPr>
      <t xml:space="preserve">보증 기한 </t>
    </r>
    <r>
      <rPr>
        <i val="true"/>
        <sz val="8"/>
        <color rgb="FF595959"/>
        <rFont val="DejaVu Sans"/>
        <family val="2"/>
        <charset val="1"/>
      </rPr>
      <t xml:space="preserve">: 2</t>
    </r>
    <r>
      <rPr>
        <i val="true"/>
        <sz val="8"/>
        <color rgb="FF595959"/>
        <rFont val="DejaVu Sans"/>
        <family val="2"/>
      </rPr>
      <t xml:space="preserve">년  </t>
    </r>
    <r>
      <rPr>
        <i val="true"/>
        <sz val="8"/>
        <color rgb="FF595959"/>
        <rFont val="DejaVu Sans"/>
        <family val="2"/>
        <charset val="1"/>
      </rPr>
      <t xml:space="preserve">|  </t>
    </r>
    <r>
      <rPr>
        <i val="true"/>
        <sz val="8"/>
        <color rgb="FF595959"/>
        <rFont val="DejaVu Sans"/>
        <family val="2"/>
      </rPr>
      <t xml:space="preserve">보증 한도 </t>
    </r>
    <r>
      <rPr>
        <i val="true"/>
        <sz val="8"/>
        <color rgb="FF595959"/>
        <rFont val="DejaVu Sans"/>
        <family val="2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전체 이용료의 </t>
    </r>
    <r>
      <rPr>
        <i val="true"/>
        <sz val="8"/>
        <color rgb="FF595959"/>
        <rFont val="DejaVu Sans"/>
        <family val="2"/>
        <charset val="1"/>
      </rPr>
      <t xml:space="preserve">130%</t>
    </r>
  </si>
  <si>
    <t xml:space="preserve">■ 계약 조건</t>
  </si>
  <si>
    <t xml:space="preserve">할부판매
기간</t>
  </si>
  <si>
    <r>
      <rPr>
        <b val="true"/>
        <sz val="9"/>
        <color rgb="FF1F3864"/>
        <rFont val="DejaVu Sans"/>
        <family val="2"/>
      </rPr>
      <t xml:space="preserve">일사용료
</t>
    </r>
    <r>
      <rPr>
        <b val="true"/>
        <sz val="9"/>
        <color rgb="FF1F3864"/>
        <rFont val="DejaVu Sans"/>
        <family val="2"/>
        <charset val="1"/>
      </rPr>
      <t xml:space="preserve">(VAT</t>
    </r>
    <r>
      <rPr>
        <b val="true"/>
        <sz val="9"/>
        <color rgb="FF1F3864"/>
        <rFont val="DejaVu Sans"/>
        <family val="2"/>
      </rPr>
      <t xml:space="preserve">포함</t>
    </r>
    <r>
      <rPr>
        <b val="true"/>
        <sz val="9"/>
        <color rgb="FF1F3864"/>
        <rFont val="DejaVu Sans"/>
        <family val="2"/>
        <charset val="1"/>
      </rPr>
      <t xml:space="preserve">)</t>
    </r>
  </si>
  <si>
    <t xml:space="preserve">청구시작일</t>
  </si>
  <si>
    <t xml:space="preserve">차량 인도일부터</t>
  </si>
  <si>
    <r>
      <rPr>
        <b val="true"/>
        <sz val="11"/>
        <color rgb="FFFFFFFF"/>
        <rFont val="DejaVu Sans"/>
        <family val="2"/>
      </rPr>
      <t xml:space="preserve">■ 회사 정보 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공급자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</si>
  <si>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상호</t>
  </si>
  <si>
    <t xml:space="preserve">647-86-03800</t>
  </si>
  <si>
    <t xml:space="preserve">대표이사</t>
  </si>
  <si>
    <t xml:space="preserve">김현수</t>
  </si>
  <si>
    <r>
      <rPr>
        <sz val="10"/>
        <color rgb="FF000000"/>
        <rFont val="DejaVu Sans"/>
        <family val="2"/>
      </rPr>
      <t xml:space="preserve">경기도 수원시 권선구 입북로</t>
    </r>
    <r>
      <rPr>
        <sz val="10"/>
        <color rgb="FF000000"/>
        <rFont val="DejaVu Sans"/>
        <family val="2"/>
        <charset val="1"/>
      </rPr>
      <t xml:space="preserve">59</t>
    </r>
    <r>
      <rPr>
        <sz val="10"/>
        <color rgb="FF000000"/>
        <rFont val="DejaVu Sans"/>
        <family val="2"/>
      </rPr>
      <t xml:space="preserve">번길 </t>
    </r>
    <r>
      <rPr>
        <sz val="10"/>
        <color rgb="FF000000"/>
        <rFont val="DejaVu Sans"/>
        <family val="2"/>
        <charset val="1"/>
      </rPr>
      <t xml:space="preserve">15</t>
    </r>
  </si>
  <si>
    <t xml:space="preserve">고객센터</t>
  </si>
  <si>
    <t xml:space="preserve">010-2730-7845 / 0507-1489-7885</t>
  </si>
  <si>
    <r>
      <rPr>
        <b val="true"/>
        <sz val="11"/>
        <color rgb="FFFFFFFF"/>
        <rFont val="DejaVu Sans"/>
        <family val="2"/>
      </rPr>
      <t xml:space="preserve">■ 주요 확인사항 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서명 전 필독</t>
    </r>
    <r>
      <rPr>
        <b val="true"/>
        <sz val="11"/>
        <color rgb="FFFFFFFF"/>
        <rFont val="DejaVu Sans"/>
        <family val="2"/>
        <charset val="1"/>
      </rPr>
      <t xml:space="preserve">)</t>
    </r>
  </si>
  <si>
    <r>
      <rPr>
        <sz val="8"/>
        <color rgb="FF404040"/>
        <rFont val="맑은 고딕"/>
        <family val="0"/>
        <charset val="1"/>
      </rPr>
      <t xml:space="preserve">1. </t>
    </r>
    <r>
      <rPr>
        <sz val="8"/>
        <color rgb="FF404040"/>
        <rFont val="DejaVu Sans"/>
        <family val="2"/>
      </rPr>
      <t xml:space="preserve">본 계약에 따른 모든 대금</t>
    </r>
    <r>
      <rPr>
        <sz val="8"/>
        <color rgb="FF404040"/>
        <rFont val="맑은 고딕"/>
        <family val="0"/>
        <charset val="1"/>
      </rPr>
      <t xml:space="preserve">(</t>
    </r>
    <r>
      <rPr>
        <sz val="8"/>
        <color rgb="FF404040"/>
        <rFont val="DejaVu Sans"/>
        <family val="2"/>
      </rPr>
      <t xml:space="preserve">할부금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보증금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부대비용 등</t>
    </r>
    <r>
      <rPr>
        <sz val="8"/>
        <color rgb="FF404040"/>
        <rFont val="맑은 고딕"/>
        <family val="0"/>
        <charset val="1"/>
      </rPr>
      <t xml:space="preserve">)</t>
    </r>
    <r>
      <rPr>
        <sz val="8"/>
        <color rgb="FF404040"/>
        <rFont val="DejaVu Sans"/>
        <family val="2"/>
      </rPr>
      <t xml:space="preserve">의 수납 및 세금계산서 발행 업무는 포어스바이크</t>
    </r>
    <r>
      <rPr>
        <sz val="8"/>
        <color rgb="FF404040"/>
        <rFont val="맑은 고딕"/>
        <family val="0"/>
        <charset val="1"/>
      </rPr>
      <t xml:space="preserve">(</t>
    </r>
    <r>
      <rPr>
        <sz val="8"/>
        <color rgb="FF404040"/>
        <rFont val="DejaVu Sans"/>
        <family val="2"/>
      </rPr>
      <t xml:space="preserve">유</t>
    </r>
    <r>
      <rPr>
        <sz val="8"/>
        <color rgb="FF404040"/>
        <rFont val="맑은 고딕"/>
        <family val="0"/>
        <charset val="1"/>
      </rPr>
      <t xml:space="preserve">)</t>
    </r>
    <r>
      <rPr>
        <sz val="8"/>
        <color rgb="FF404040"/>
        <rFont val="DejaVu Sans"/>
        <family val="2"/>
      </rPr>
      <t xml:space="preserve">가 대행하며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타 계좌 입금 시 입금 확인이 불가합니다</t>
    </r>
    <r>
      <rPr>
        <sz val="8"/>
        <color rgb="FF404040"/>
        <rFont val="맑은 고딕"/>
        <family val="0"/>
        <charset val="1"/>
      </rPr>
      <t xml:space="preserve">.</t>
    </r>
  </si>
  <si>
    <r>
      <rPr>
        <sz val="8"/>
        <color rgb="FF404040"/>
        <rFont val="맑은 고딕"/>
        <family val="0"/>
        <charset val="1"/>
      </rPr>
      <t xml:space="preserve">2. </t>
    </r>
    <r>
      <rPr>
        <sz val="8"/>
        <color rgb="FF404040"/>
        <rFont val="DejaVu Sans"/>
        <family val="2"/>
      </rPr>
      <t xml:space="preserve">계약 취소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중도 해지 시 보증금은 반환되지 아니하며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위약금과는 별도로 회수비용</t>
    </r>
    <r>
      <rPr>
        <sz val="8"/>
        <color rgb="FF404040"/>
        <rFont val="맑은 고딕"/>
        <family val="0"/>
        <charset val="1"/>
      </rPr>
      <t xml:space="preserve">(</t>
    </r>
    <r>
      <rPr>
        <sz val="8"/>
        <color rgb="FF404040"/>
        <rFont val="DejaVu Sans"/>
        <family val="2"/>
      </rPr>
      <t xml:space="preserve">출장비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운송비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원상복구비</t>
    </r>
    <r>
      <rPr>
        <sz val="8"/>
        <color rgb="FF404040"/>
        <rFont val="맑은 고딕"/>
        <family val="0"/>
        <charset val="1"/>
      </rPr>
      <t xml:space="preserve">)</t>
    </r>
    <r>
      <rPr>
        <sz val="8"/>
        <color rgb="FF404040"/>
        <rFont val="DejaVu Sans"/>
        <family val="2"/>
      </rPr>
      <t xml:space="preserve">은 계약자가 부담합니다</t>
    </r>
    <r>
      <rPr>
        <sz val="8"/>
        <color rgb="FF404040"/>
        <rFont val="맑은 고딕"/>
        <family val="0"/>
        <charset val="1"/>
      </rPr>
      <t xml:space="preserve">.</t>
    </r>
  </si>
  <si>
    <r>
      <rPr>
        <sz val="8"/>
        <color rgb="FF404040"/>
        <rFont val="맑은 고딕"/>
        <family val="0"/>
        <charset val="1"/>
      </rPr>
      <t xml:space="preserve">3. </t>
    </r>
    <r>
      <rPr>
        <sz val="8"/>
        <color rgb="FF404040"/>
        <rFont val="DejaVu Sans"/>
        <family val="2"/>
      </rPr>
      <t xml:space="preserve">보증금 지급 유예 기간 내 미지급으로 계약이 자동 해지되는 경우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계약자는 차량 반환과 동시에 </t>
    </r>
    <r>
      <rPr>
        <sz val="8"/>
        <color rgb="FF404040"/>
        <rFont val="맑은 고딕"/>
        <family val="0"/>
        <charset val="1"/>
      </rPr>
      <t xml:space="preserve">(1) </t>
    </r>
    <r>
      <rPr>
        <sz val="8"/>
        <color rgb="FF404040"/>
        <rFont val="DejaVu Sans"/>
        <family val="2"/>
      </rPr>
      <t xml:space="preserve">인도일부터 반환일까지의 일할 사용료</t>
    </r>
    <r>
      <rPr>
        <sz val="8"/>
        <color rgb="FF404040"/>
        <rFont val="맑은 고딕"/>
        <family val="0"/>
        <charset val="1"/>
      </rPr>
      <t xml:space="preserve">, (2) </t>
    </r>
    <r>
      <rPr>
        <sz val="8"/>
        <color rgb="FF404040"/>
        <rFont val="DejaVu Sans"/>
        <family val="2"/>
      </rPr>
      <t xml:space="preserve">감가손실액</t>
    </r>
    <r>
      <rPr>
        <sz val="8"/>
        <color rgb="FF404040"/>
        <rFont val="맑은 고딕"/>
        <family val="0"/>
        <charset val="1"/>
      </rPr>
      <t xml:space="preserve">, (3) </t>
    </r>
    <r>
      <rPr>
        <sz val="8"/>
        <color rgb="FF404040"/>
        <rFont val="DejaVu Sans"/>
        <family val="2"/>
      </rPr>
      <t xml:space="preserve">등록비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번호판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보험료 등 회사가 이미 지출한 부대비용을 배상합니다</t>
    </r>
    <r>
      <rPr>
        <sz val="8"/>
        <color rgb="FF404040"/>
        <rFont val="맑은 고딕"/>
        <family val="0"/>
        <charset val="1"/>
      </rPr>
      <t xml:space="preserve">.</t>
    </r>
  </si>
  <si>
    <r>
      <rPr>
        <sz val="8"/>
        <color rgb="FF404040"/>
        <rFont val="맑은 고딕"/>
        <family val="0"/>
        <charset val="1"/>
      </rPr>
      <t xml:space="preserve">4. </t>
    </r>
    <r>
      <rPr>
        <sz val="8"/>
        <color rgb="FF404040"/>
        <rFont val="DejaVu Sans"/>
        <family val="2"/>
      </rPr>
      <t xml:space="preserve">배달통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슬라이더 등 무상 지원 비품은 계약 취소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중도 해지 시 안내 장소로 반납하여야 합니다</t>
    </r>
    <r>
      <rPr>
        <sz val="8"/>
        <color rgb="FF404040"/>
        <rFont val="맑은 고딕"/>
        <family val="0"/>
        <charset val="1"/>
      </rPr>
      <t xml:space="preserve">.</t>
    </r>
  </si>
  <si>
    <r>
      <rPr>
        <sz val="8"/>
        <color rgb="FF404040"/>
        <rFont val="맑은 고딕"/>
        <family val="0"/>
        <charset val="1"/>
      </rPr>
      <t xml:space="preserve">5. </t>
    </r>
    <r>
      <rPr>
        <sz val="8"/>
        <color rgb="FF404040"/>
        <rFont val="DejaVu Sans"/>
        <family val="2"/>
      </rPr>
      <t xml:space="preserve">세금계산서는 회사 명의로 발행되며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본 계약서에 기재된 연대보증인</t>
    </r>
    <r>
      <rPr>
        <sz val="8"/>
        <color rgb="FF404040"/>
        <rFont val="맑은 고딕"/>
        <family val="0"/>
        <charset val="1"/>
      </rPr>
      <t xml:space="preserve">(</t>
    </r>
    <r>
      <rPr>
        <sz val="8"/>
        <color rgb="FF404040"/>
        <rFont val="DejaVu Sans"/>
        <family val="2"/>
      </rPr>
      <t xml:space="preserve">사업장</t>
    </r>
    <r>
      <rPr>
        <sz val="8"/>
        <color rgb="FF404040"/>
        <rFont val="맑은 고딕"/>
        <family val="0"/>
        <charset val="1"/>
      </rPr>
      <t xml:space="preserve">)</t>
    </r>
    <r>
      <rPr>
        <sz val="8"/>
        <color rgb="FF404040"/>
        <rFont val="DejaVu Sans"/>
        <family val="2"/>
      </rPr>
      <t xml:space="preserve">의 사업자등록번호를 기준으로 발급됩니다</t>
    </r>
    <r>
      <rPr>
        <sz val="8"/>
        <color rgb="FF404040"/>
        <rFont val="맑은 고딕"/>
        <family val="0"/>
        <charset val="1"/>
      </rPr>
      <t xml:space="preserve">.</t>
    </r>
  </si>
  <si>
    <r>
      <rPr>
        <b val="true"/>
        <sz val="11"/>
        <color rgb="FFFFFFFF"/>
        <rFont val="DejaVu Sans"/>
        <family val="2"/>
      </rPr>
      <t xml:space="preserve">■ 개인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신용</t>
    </r>
    <r>
      <rPr>
        <b val="true"/>
        <sz val="11"/>
        <color rgb="FFFFFFFF"/>
        <rFont val="DejaVu Sans"/>
        <family val="2"/>
        <charset val="1"/>
      </rPr>
      <t xml:space="preserve">)</t>
    </r>
    <r>
      <rPr>
        <b val="true"/>
        <sz val="11"/>
        <color rgb="FFFFFFFF"/>
        <rFont val="DejaVu Sans"/>
        <family val="2"/>
      </rPr>
      <t xml:space="preserve">정보 수집</t>
    </r>
    <r>
      <rPr>
        <b val="true"/>
        <sz val="11"/>
        <color rgb="FFFFFFFF"/>
        <rFont val="DejaVu Sans"/>
        <family val="2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이용</t>
    </r>
    <r>
      <rPr>
        <b val="true"/>
        <sz val="11"/>
        <color rgb="FFFFFFFF"/>
        <rFont val="DejaVu Sans"/>
        <family val="2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금융거래정보 제공</t>
    </r>
    <r>
      <rPr>
        <b val="true"/>
        <sz val="11"/>
        <color rgb="FFFFFFFF"/>
        <rFont val="DejaVu Sans"/>
        <family val="2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업무위탁 동의</t>
    </r>
  </si>
  <si>
    <r>
      <rPr>
        <b val="true"/>
        <sz val="9"/>
        <color rgb="FF1F3864"/>
        <rFont val="DejaVu Sans"/>
        <family val="2"/>
      </rPr>
      <t xml:space="preserve">수집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 목적</t>
    </r>
  </si>
  <si>
    <r>
      <rPr>
        <sz val="8"/>
        <color rgb="FF404040"/>
        <rFont val="DejaVu Sans"/>
        <family val="2"/>
      </rPr>
      <t xml:space="preserve">거래관계 설정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유지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상품 제공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법령상 의무이행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분쟁처리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민원처리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차량 분실 방지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사고 대응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서비스 개선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통계 분석 등 계약 이행 전반</t>
    </r>
  </si>
  <si>
    <t xml:space="preserve">수집 항목</t>
  </si>
  <si>
    <r>
      <rPr>
        <sz val="8"/>
        <color rgb="FF404040"/>
        <rFont val="DejaVu Sans"/>
        <family val="2"/>
      </rPr>
      <t xml:space="preserve">성명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실명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주민등록번호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휴대전화번호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이메일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현주소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근무지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신분증 정보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거래카드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계좌 정보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차량 위치정보</t>
    </r>
    <r>
      <rPr>
        <sz val="8"/>
        <color rgb="FF404040"/>
        <rFont val="DejaVu Sans"/>
        <family val="2"/>
        <charset val="1"/>
      </rPr>
      <t xml:space="preserve">(FMS </t>
    </r>
    <r>
      <rPr>
        <sz val="8"/>
        <color rgb="FF404040"/>
        <rFont val="DejaVu Sans"/>
        <family val="2"/>
      </rPr>
      <t xml:space="preserve">수집 포함</t>
    </r>
    <r>
      <rPr>
        <sz val="8"/>
        <color rgb="FF404040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</si>
  <si>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보유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 기간</t>
    </r>
  </si>
  <si>
    <r>
      <rPr>
        <sz val="8"/>
        <color rgb="FF404040"/>
        <rFont val="DejaVu Sans"/>
        <family val="2"/>
      </rPr>
      <t xml:space="preserve">수집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이용 목적 달성 후 파기</t>
    </r>
    <r>
      <rPr>
        <sz val="8"/>
        <color rgb="FF404040"/>
        <rFont val="DejaVu Sans"/>
        <family val="2"/>
        <charset val="1"/>
      </rPr>
      <t xml:space="preserve">. </t>
    </r>
    <r>
      <rPr>
        <sz val="8"/>
        <color rgb="FF404040"/>
        <rFont val="DejaVu Sans"/>
        <family val="2"/>
      </rPr>
      <t xml:space="preserve">단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전자상거래법 등 관련 법령에 따라 계약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결제 기록은 </t>
    </r>
    <r>
      <rPr>
        <sz val="8"/>
        <color rgb="FF404040"/>
        <rFont val="DejaVu Sans"/>
        <family val="2"/>
        <charset val="1"/>
      </rPr>
      <t xml:space="preserve">5</t>
    </r>
    <r>
      <rPr>
        <sz val="8"/>
        <color rgb="FF404040"/>
        <rFont val="DejaVu Sans"/>
        <family val="2"/>
      </rPr>
      <t xml:space="preserve">년 보존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불량이용자 재가입 방지 등 목적 기록은 해지 후 </t>
    </r>
    <r>
      <rPr>
        <sz val="8"/>
        <color rgb="FF404040"/>
        <rFont val="DejaVu Sans"/>
        <family val="2"/>
        <charset val="1"/>
      </rPr>
      <t xml:space="preserve">1</t>
    </r>
    <r>
      <rPr>
        <sz val="8"/>
        <color rgb="FF404040"/>
        <rFont val="DejaVu Sans"/>
        <family val="2"/>
      </rPr>
      <t xml:space="preserve">년 보존</t>
    </r>
  </si>
  <si>
    <t xml:space="preserve">금융거래정보 제공</t>
  </si>
  <si>
    <r>
      <rPr>
        <sz val="8"/>
        <color rgb="FF404040"/>
        <rFont val="DejaVu Sans"/>
        <family val="2"/>
      </rPr>
      <t xml:space="preserve">신용카드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자동이체 등록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해지 시까지 수납기관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및 결제대행사</t>
    </r>
    <r>
      <rPr>
        <sz val="8"/>
        <color rgb="FF404040"/>
        <rFont val="DejaVu Sans"/>
        <family val="2"/>
        <charset val="1"/>
      </rPr>
      <t xml:space="preserve">)</t>
    </r>
    <r>
      <rPr>
        <sz val="8"/>
        <color rgb="FF404040"/>
        <rFont val="DejaVu Sans"/>
        <family val="2"/>
      </rPr>
      <t xml:space="preserve">에 거래정보 제공 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금융실명법에 따라 동의</t>
    </r>
    <r>
      <rPr>
        <sz val="8"/>
        <color rgb="FF404040"/>
        <rFont val="DejaVu Sans"/>
        <family val="2"/>
        <charset val="1"/>
      </rPr>
      <t xml:space="preserve">)</t>
    </r>
  </si>
  <si>
    <t xml:space="preserve">자동이체 동의</t>
  </si>
  <si>
    <r>
      <rPr>
        <sz val="8"/>
        <color rgb="FF404040"/>
        <rFont val="DejaVu Sans"/>
        <family val="2"/>
      </rPr>
      <t xml:space="preserve">매월 발생하는 이륜차 임대료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보증금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위약금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과태료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범칙금 등을 신용카드 자동승인 또는 계좌 자동이체로 출금 거래 신청</t>
    </r>
  </si>
  <si>
    <t xml:space="preserve">업무위탁 내역</t>
  </si>
  <si>
    <r>
      <rPr>
        <sz val="8"/>
        <color rgb="FF404040"/>
        <rFont val="DejaVu Sans"/>
        <family val="2"/>
      </rPr>
      <t xml:space="preserve">협력사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공급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운송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출고 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수납대행사 포어스바이크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유</t>
    </r>
    <r>
      <rPr>
        <sz val="8"/>
        <color rgb="FF404040"/>
        <rFont val="DejaVu Sans"/>
        <family val="2"/>
        <charset val="1"/>
      </rPr>
      <t xml:space="preserve">)(</t>
    </r>
    <r>
      <rPr>
        <sz val="8"/>
        <color rgb="FF404040"/>
        <rFont val="DejaVu Sans"/>
        <family val="2"/>
      </rPr>
      <t xml:space="preserve">대금 수납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세금계산서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채권관리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배달대행사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고객정보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차량등록소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등록 사무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효성에프엠에스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자동이체</t>
    </r>
    <r>
      <rPr>
        <sz val="8"/>
        <color rgb="FF404040"/>
        <rFont val="DejaVu Sans"/>
        <family val="2"/>
        <charset val="1"/>
      </rPr>
      <t xml:space="preserve">)</t>
    </r>
  </si>
  <si>
    <r>
      <rPr>
        <b val="true"/>
        <sz val="10"/>
        <color rgb="FF1F3864"/>
        <rFont val="DejaVu Sans"/>
        <family val="2"/>
      </rPr>
      <t xml:space="preserve">상기 </t>
    </r>
    <r>
      <rPr>
        <b val="true"/>
        <sz val="10"/>
        <color rgb="FF1F3864"/>
        <rFont val="DejaVu Sans"/>
        <family val="2"/>
        <charset val="1"/>
      </rPr>
      <t xml:space="preserve">"</t>
    </r>
    <r>
      <rPr>
        <b val="true"/>
        <sz val="10"/>
        <color rgb="FF1F3864"/>
        <rFont val="DejaVu Sans"/>
        <family val="2"/>
      </rPr>
      <t xml:space="preserve">개인</t>
    </r>
    <r>
      <rPr>
        <b val="true"/>
        <sz val="10"/>
        <color rgb="FF1F3864"/>
        <rFont val="DejaVu Sans"/>
        <family val="2"/>
        <charset val="1"/>
      </rPr>
      <t xml:space="preserve">(</t>
    </r>
    <r>
      <rPr>
        <b val="true"/>
        <sz val="10"/>
        <color rgb="FF1F3864"/>
        <rFont val="DejaVu Sans"/>
        <family val="2"/>
      </rPr>
      <t xml:space="preserve">신용</t>
    </r>
    <r>
      <rPr>
        <b val="true"/>
        <sz val="10"/>
        <color rgb="FF1F3864"/>
        <rFont val="DejaVu Sans"/>
        <family val="2"/>
        <charset val="1"/>
      </rPr>
      <t xml:space="preserve">)</t>
    </r>
    <r>
      <rPr>
        <b val="true"/>
        <sz val="10"/>
        <color rgb="FF1F3864"/>
        <rFont val="DejaVu Sans"/>
        <family val="2"/>
      </rPr>
      <t xml:space="preserve">정보 수집</t>
    </r>
    <r>
      <rPr>
        <b val="true"/>
        <sz val="10"/>
        <color rgb="FF1F3864"/>
        <rFont val="DejaVu Sans"/>
        <family val="2"/>
        <charset val="1"/>
      </rPr>
      <t xml:space="preserve">·</t>
    </r>
    <r>
      <rPr>
        <b val="true"/>
        <sz val="10"/>
        <color rgb="FF1F3864"/>
        <rFont val="DejaVu Sans"/>
        <family val="2"/>
      </rPr>
      <t xml:space="preserve">이용</t>
    </r>
    <r>
      <rPr>
        <b val="true"/>
        <sz val="10"/>
        <color rgb="FF1F3864"/>
        <rFont val="DejaVu Sans"/>
        <family val="2"/>
        <charset val="1"/>
      </rPr>
      <t xml:space="preserve">·</t>
    </r>
    <r>
      <rPr>
        <b val="true"/>
        <sz val="10"/>
        <color rgb="FF1F3864"/>
        <rFont val="DejaVu Sans"/>
        <family val="2"/>
      </rPr>
      <t xml:space="preserve">제공 동의</t>
    </r>
    <r>
      <rPr>
        <b val="true"/>
        <sz val="10"/>
        <color rgb="FF1F3864"/>
        <rFont val="DejaVu Sans"/>
        <family val="2"/>
        <charset val="1"/>
      </rPr>
      <t xml:space="preserve">", "</t>
    </r>
    <r>
      <rPr>
        <b val="true"/>
        <sz val="10"/>
        <color rgb="FF1F3864"/>
        <rFont val="DejaVu Sans"/>
        <family val="2"/>
      </rPr>
      <t xml:space="preserve">금융거래정보 제공 동의</t>
    </r>
    <r>
      <rPr>
        <b val="true"/>
        <sz val="10"/>
        <color rgb="FF1F3864"/>
        <rFont val="DejaVu Sans"/>
        <family val="2"/>
        <charset val="1"/>
      </rPr>
      <t xml:space="preserve">", "</t>
    </r>
    <r>
      <rPr>
        <b val="true"/>
        <sz val="10"/>
        <color rgb="FF1F3864"/>
        <rFont val="DejaVu Sans"/>
        <family val="2"/>
      </rPr>
      <t xml:space="preserve">업무위탁 동의</t>
    </r>
    <r>
      <rPr>
        <b val="true"/>
        <sz val="10"/>
        <color rgb="FF1F3864"/>
        <rFont val="DejaVu Sans"/>
        <family val="2"/>
        <charset val="1"/>
      </rPr>
      <t xml:space="preserve">"</t>
    </r>
    <r>
      <rPr>
        <b val="true"/>
        <sz val="10"/>
        <color rgb="FF1F3864"/>
        <rFont val="DejaVu Sans"/>
        <family val="2"/>
      </rPr>
      <t xml:space="preserve">에 대하여       □ 전부 동의함       □ 일부 동의함 </t>
    </r>
    <r>
      <rPr>
        <b val="true"/>
        <sz val="10"/>
        <color rgb="FF1F3864"/>
        <rFont val="DejaVu Sans"/>
        <family val="2"/>
        <charset val="1"/>
      </rPr>
      <t xml:space="preserve">(</t>
    </r>
    <r>
      <rPr>
        <b val="true"/>
        <sz val="10"/>
        <color rgb="FF1F3864"/>
        <rFont val="DejaVu Sans"/>
        <family val="2"/>
      </rPr>
      <t xml:space="preserve">별지로 특정</t>
    </r>
    <r>
      <rPr>
        <b val="true"/>
        <sz val="10"/>
        <color rgb="FF1F3864"/>
        <rFont val="DejaVu Sans"/>
        <family val="2"/>
        <charset val="1"/>
      </rPr>
      <t xml:space="preserve">)</t>
    </r>
  </si>
  <si>
    <t xml:space="preserve">■ 계약 체결</t>
  </si>
  <si>
    <r>
      <rPr>
        <sz val="9"/>
        <color rgb="FF000000"/>
        <rFont val="DejaVu Sans"/>
        <family val="2"/>
      </rPr>
      <t xml:space="preserve">본인은 본 이륜차 할부판매 계약서와 별지 이용약관의 내용을 전부 설명 듣고 확인하였으며</t>
    </r>
    <r>
      <rPr>
        <sz val="9"/>
        <color rgb="FF000000"/>
        <rFont val="DejaVu Sans"/>
        <family val="2"/>
        <charset val="1"/>
      </rPr>
      <t xml:space="preserve">, </t>
    </r>
    <r>
      <rPr>
        <sz val="9"/>
        <color rgb="FF000000"/>
        <rFont val="DejaVu Sans"/>
        <family val="2"/>
      </rPr>
      <t xml:space="preserve">본 계약에 따른 권리</t>
    </r>
    <r>
      <rPr>
        <sz val="9"/>
        <color rgb="FF000000"/>
        <rFont val="DejaVu Sans"/>
        <family val="2"/>
        <charset val="1"/>
      </rPr>
      <t xml:space="preserve">·</t>
    </r>
    <r>
      <rPr>
        <sz val="9"/>
        <color rgb="FF000000"/>
        <rFont val="DejaVu Sans"/>
        <family val="2"/>
      </rPr>
      <t xml:space="preserve">의무와 제반 동의 사항에 이의 없이 동의합니다</t>
    </r>
    <r>
      <rPr>
        <sz val="9"/>
        <color rgb="FF000000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</si>
  <si>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계약자
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라이더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</si>
  <si>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인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</si>
  <si>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연대보증인
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사업장</t>
    </r>
    <r>
      <rPr>
        <b val="true"/>
        <sz val="9"/>
        <color rgb="FF1F3864"/>
        <rFont val="DejaVu Sans"/>
        <family val="2"/>
        <charset val="1"/>
      </rPr>
      <t xml:space="preserve">)</t>
    </r>
  </si>
  <si>
    <t xml:space="preserve">서명일</t>
  </si>
  <si>
    <t xml:space="preserve">공급자</t>
  </si>
  <si>
    <r>
      <rPr>
        <b val="true"/>
        <sz val="14"/>
        <color rgb="FFFFFFFF"/>
        <rFont val="맑은 고딕"/>
        <family val="0"/>
        <charset val="1"/>
      </rPr>
      <t xml:space="preserve">[</t>
    </r>
    <r>
      <rPr>
        <b val="true"/>
        <sz val="14"/>
        <color rgb="FFFFFFFF"/>
        <rFont val="DejaVu Sans"/>
        <family val="2"/>
      </rPr>
      <t xml:space="preserve">별지</t>
    </r>
    <r>
      <rPr>
        <b val="true"/>
        <sz val="14"/>
        <color rgb="FFFFFFFF"/>
        <rFont val="맑은 고딕"/>
        <family val="0"/>
        <charset val="1"/>
      </rPr>
      <t xml:space="preserve">] </t>
    </r>
    <r>
      <rPr>
        <b val="true"/>
        <sz val="14"/>
        <color rgb="FFFFFFFF"/>
        <rFont val="DejaVu Sans"/>
        <family val="2"/>
      </rPr>
      <t xml:space="preserve">이륜차 할부판매 계약 이용약관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</si>
  <si>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1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목적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</si>
  <si>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12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차량 위치정보 등 제공 동의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</si>
  <si>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이 약관은 한국모터사이클리스 유한회사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이하 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회사</t>
    </r>
    <r>
      <rPr>
        <sz val="8"/>
        <color rgb="FF2B2B2B"/>
        <rFont val="맑은 고딕"/>
        <family val="0"/>
        <charset val="1"/>
      </rPr>
      <t xml:space="preserve">")</t>
    </r>
    <r>
      <rPr>
        <sz val="8"/>
        <color rgb="FF2B2B2B"/>
        <rFont val="DejaVu Sans"/>
        <family val="2"/>
      </rPr>
      <t xml:space="preserve">와 본 계약을 체결한 계약자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라이더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이하 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0"/>
        <charset val="1"/>
      </rPr>
      <t xml:space="preserve">") </t>
    </r>
    <r>
      <rPr>
        <sz val="8"/>
        <color rgb="FF2B2B2B"/>
        <rFont val="DejaVu Sans"/>
        <family val="2"/>
      </rPr>
      <t xml:space="preserve">간의 이륜차 할부판매에 관한 권리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의무를 규정함을 목적으로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</si>
  <si>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해당 이륜차에는 도난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분실 위험 방지를 위하여 위치정보 수집 장치가 부착되어 있으며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이를 인지하고 동의한다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</si>
  <si>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계약자는 실제 운전자 및 운행자로부터 위치정보 수집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이용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제공에 대한 동의를 받아야 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 요청 시 동의서 및 관련 위치정보를 지체 없이 제출하여야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</si>
  <si>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2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용어의 정의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</si>
  <si>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계약자는 위치정보 장치를 임의로 변경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제거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훼손할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</si>
  <si>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① "</t>
    </r>
    <r>
      <rPr>
        <sz val="8"/>
        <color rgb="FF2B2B2B"/>
        <rFont val="DejaVu Sans"/>
        <family val="2"/>
      </rPr>
      <t xml:space="preserve">할부판매 계약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요청한 기종의 이륜차를 회사가 판매하고 계약자가 그 대금을 일정 기간에 걸쳐 분할 지급하는 매매계약을 말한다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</si>
  <si>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회사는 채무불이행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 해지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회수 절차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보험사고 처리 등 본 계약 이행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관리에 필요한 범위 내에서만 위치정보를 활용한다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</si>
  <si>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② "</t>
    </r>
    <r>
      <rPr>
        <sz val="8"/>
        <color rgb="FF2B2B2B"/>
        <rFont val="DejaVu Sans"/>
        <family val="2"/>
      </rPr>
      <t xml:space="preserve">이륜차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회사가 계약자의 요청에 따라 본 계약서에 특정한 이륜차를 말하며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인도 시 부착된 부속품 및 장착물을 포함한다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</si>
  <si>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③ "</t>
    </r>
    <r>
      <rPr>
        <sz val="8"/>
        <color rgb="FF2B2B2B"/>
        <rFont val="DejaVu Sans"/>
        <family val="2"/>
      </rPr>
      <t xml:space="preserve">계약기간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본 계약에 따라 이륜차를 인도받아 사용하는 기간을 말한다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</si>
  <si>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13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이륜차 유지비용 및 제세공과금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</si>
  <si>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맑은 고딕"/>
        <family val="0"/>
        <charset val="1"/>
      </rPr>
      <t xml:space="preserve">④ "</t>
    </r>
    <r>
      <rPr>
        <sz val="8"/>
        <color rgb="FF2B2B2B"/>
        <rFont val="DejaVu Sans"/>
        <family val="2"/>
      </rPr>
      <t xml:space="preserve">보증금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할부금 지급 및 본 계약상 채무이행을 담보하기 위해 계약자가 회사에 납부하는 금원을 말하며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계약기간 만료 시 계약자가 모든 채무를 이행 완료한 경우 반환한다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</si>
  <si>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관련 법령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이륜차 검사 포함</t>
    </r>
    <r>
      <rPr>
        <sz val="8"/>
        <color rgb="FF2B2B2B"/>
        <rFont val="맑은 고딕"/>
        <family val="0"/>
        <charset val="1"/>
      </rPr>
      <t xml:space="preserve">), </t>
    </r>
    <r>
      <rPr>
        <sz val="8"/>
        <color rgb="FF2B2B2B"/>
        <rFont val="DejaVu Sans"/>
        <family val="2"/>
      </rPr>
      <t xml:space="preserve">관할관청의 지침 및 회사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매도인의 지시를 준수하여야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</si>
  <si>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⑤ 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라이더</t>
    </r>
    <r>
      <rPr>
        <sz val="8"/>
        <color rgb="FF2B2B2B"/>
        <rFont val="맑은 고딕"/>
        <family val="0"/>
        <charset val="1"/>
      </rPr>
      <t xml:space="preserve">)"</t>
    </r>
    <r>
      <rPr>
        <sz val="8"/>
        <color rgb="FF2B2B2B"/>
        <rFont val="DejaVu Sans"/>
        <family val="2"/>
      </rPr>
      <t xml:space="preserve">는 본 계약 제</t>
    </r>
    <r>
      <rPr>
        <sz val="8"/>
        <color rgb="FF2B2B2B"/>
        <rFont val="맑은 고딕"/>
        <family val="0"/>
        <charset val="1"/>
      </rPr>
      <t xml:space="preserve">1</t>
    </r>
    <r>
      <rPr>
        <sz val="8"/>
        <color rgb="FF2B2B2B"/>
        <rFont val="DejaVu Sans"/>
        <family val="2"/>
      </rPr>
      <t xml:space="preserve">면에 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라이더</t>
    </r>
    <r>
      <rPr>
        <sz val="8"/>
        <color rgb="FF2B2B2B"/>
        <rFont val="맑은 고딕"/>
        <family val="0"/>
        <charset val="1"/>
      </rPr>
      <t xml:space="preserve">)"</t>
    </r>
    <r>
      <rPr>
        <sz val="8"/>
        <color rgb="FF2B2B2B"/>
        <rFont val="DejaVu Sans"/>
        <family val="2"/>
      </rPr>
      <t xml:space="preserve">로 기재된 라이더 본인을 말하며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본 계약상 주채무자이다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</si>
  <si>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회사는 계약기간 중 언제든 계약자의 본 계약 준수 여부를 점검할 수 있으며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성실히 협조하여야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</si>
  <si>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⑥ "</t>
    </r>
    <r>
      <rPr>
        <sz val="8"/>
        <color rgb="FF2B2B2B"/>
        <rFont val="DejaVu Sans"/>
        <family val="2"/>
      </rPr>
      <t xml:space="preserve">연대보증인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사업장</t>
    </r>
    <r>
      <rPr>
        <sz val="8"/>
        <color rgb="FF2B2B2B"/>
        <rFont val="맑은 고딕"/>
        <family val="0"/>
        <charset val="1"/>
      </rPr>
      <t xml:space="preserve">)"</t>
    </r>
    <r>
      <rPr>
        <sz val="8"/>
        <color rgb="FF2B2B2B"/>
        <rFont val="DejaVu Sans"/>
        <family val="2"/>
      </rPr>
      <t xml:space="preserve">은 본 계약 제</t>
    </r>
    <r>
      <rPr>
        <sz val="8"/>
        <color rgb="FF2B2B2B"/>
        <rFont val="맑은 고딕"/>
        <family val="0"/>
        <charset val="1"/>
      </rPr>
      <t xml:space="preserve">1</t>
    </r>
    <r>
      <rPr>
        <sz val="8"/>
        <color rgb="FF2B2B2B"/>
        <rFont val="DejaVu Sans"/>
        <family val="2"/>
      </rPr>
      <t xml:space="preserve">면에 기재된 사업장 및 그 대표자를 말하며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계약자와 연대하여 본 계약상 채무를 부담함과 동시에 세금계산서 수취 대상을 겸한다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</si>
  <si>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이륜차 보관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사용 등으로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손해가 발생한 경우 회사의 고의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과실이 없는 한 그 책임은 계약자가 부담한다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보험 가입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처리 책임은 전적으로 계약자에게 있으며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계약자의 귀책사유로 보험처리가 불가하거나 보험금으로 충당되지 않는 손해는 계약자가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</si>
  <si>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⑦ "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계약자의 귀책사유로 주문 취소 또는 중도 해지 시 회사에 지급하여야 하는 금액을 말한다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</si>
  <si>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이륜차의 등록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유지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사용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등록말소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폐차 등과 관련하여 할부금에 포함되지 않은 비용 및 제세공과금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과태료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범칙금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벌과금 등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은 전적으로 계약자가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</si>
  <si>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⑧ "</t>
    </r>
    <r>
      <rPr>
        <sz val="8"/>
        <color rgb="FF2B2B2B"/>
        <rFont val="DejaVu Sans"/>
        <family val="2"/>
      </rPr>
      <t xml:space="preserve">지연손해금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할부금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등의 납부를 지체한 경우 발생하는 추가 비용을 말한다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</si>
  <si>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⑨ "</t>
    </r>
    <r>
      <rPr>
        <sz val="8"/>
        <color rgb="FF2B2B2B"/>
        <rFont val="DejaVu Sans"/>
        <family val="2"/>
      </rPr>
      <t xml:space="preserve">계약이관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본 계약상의 권리와 의무를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승계하는 것을 말한다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</si>
  <si>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14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금지행위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</si>
  <si>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계약자는 다음 행위를 하여서는 아니된다</t>
    </r>
    <r>
      <rPr>
        <sz val="8"/>
        <color rgb="FF2B2B2B"/>
        <rFont val="맑은 고딕"/>
        <family val="0"/>
        <charset val="1"/>
      </rPr>
      <t xml:space="preserve">: (1) </t>
    </r>
    <r>
      <rPr>
        <sz val="8"/>
        <color rgb="FF2B2B2B"/>
        <rFont val="DejaVu Sans"/>
        <family val="2"/>
      </rPr>
      <t xml:space="preserve">이륜차를 양도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전대 또는 본 계약상 권리를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양도하는 행위</t>
    </r>
    <r>
      <rPr>
        <sz val="8"/>
        <color rgb="FF2B2B2B"/>
        <rFont val="맑은 고딕"/>
        <family val="0"/>
        <charset val="1"/>
      </rPr>
      <t xml:space="preserve">, (2) </t>
    </r>
    <r>
      <rPr>
        <sz val="8"/>
        <color rgb="FF2B2B2B"/>
        <rFont val="DejaVu Sans"/>
        <family val="2"/>
      </rPr>
      <t xml:space="preserve">보험 인정 사용자 이외의 자에게 이륜차를 사용하게 하는 행위</t>
    </r>
    <r>
      <rPr>
        <sz val="8"/>
        <color rgb="FF2B2B2B"/>
        <rFont val="맑은 고딕"/>
        <family val="0"/>
        <charset val="1"/>
      </rPr>
      <t xml:space="preserve">, (3) </t>
    </r>
    <r>
      <rPr>
        <sz val="8"/>
        <color rgb="FF2B2B2B"/>
        <rFont val="DejaVu Sans"/>
        <family val="2"/>
      </rPr>
      <t xml:space="preserve">이륜차 규격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성능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기능을 임의로 변경하거나 번호판을 훼손하는 행위</t>
    </r>
    <r>
      <rPr>
        <sz val="8"/>
        <color rgb="FF2B2B2B"/>
        <rFont val="맑은 고딕"/>
        <family val="0"/>
        <charset val="1"/>
      </rPr>
      <t xml:space="preserve">, (4) </t>
    </r>
    <r>
      <rPr>
        <sz val="8"/>
        <color rgb="FF2B2B2B"/>
        <rFont val="DejaVu Sans"/>
        <family val="2"/>
      </rPr>
      <t xml:space="preserve">이륜차를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담보 목적으로 제공하는 등 회사의 소유권 침해 행위</t>
    </r>
    <r>
      <rPr>
        <sz val="8"/>
        <color rgb="FF2B2B2B"/>
        <rFont val="맑은 고딕"/>
        <family val="0"/>
        <charset val="1"/>
      </rPr>
      <t xml:space="preserve">, (5) </t>
    </r>
    <r>
      <rPr>
        <sz val="8"/>
        <color rgb="FF2B2B2B"/>
        <rFont val="DejaVu Sans"/>
        <family val="2"/>
      </rPr>
      <t xml:space="preserve">이륜차 부착 표지를 제거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훼손하거나 내용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위치를 변경하는 행위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</si>
  <si>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3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서류 제출 및 보완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</si>
  <si>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계약자는 본 계약 체결에 필요한 서류를 회사에 제출하여야 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추후 보완 요구에도 성실히 응하여야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</si>
  <si>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15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3</t>
    </r>
    <r>
      <rPr>
        <b val="true"/>
        <sz val="9"/>
        <color rgb="FF1F3864"/>
        <rFont val="DejaVu Sans"/>
        <family val="2"/>
      </rPr>
      <t xml:space="preserve">자에 대한 면책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</si>
  <si>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② 제출된 서류는 어떠한 경우에도 반환하지 아니한다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</si>
  <si>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 기간 종료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해지 여부와 무관하게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이륜차 인수일부터 반환일까지의 기간 동안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자가 회사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소유자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를 상대로 인적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물적 손해배상을 청구하는 경우 계약자는 자신의 비용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책임으로 회사를 면책시켜야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</si>
  <si>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회사가 소유자라는 이유로 직접 손해배상을 한 경우 계약자는 회사가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지급한 금액과 관련 제비용을 즉시 상환하여야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</si>
  <si>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4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소유권 유보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</si>
  <si>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회사가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 청구에 방어를 한 경우 계약자는 방어 관련 지출된 소송비용 등 일체를 부담하여야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</si>
  <si>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본 계약에 따른 이륜차의 소유권은 계약자가 모든 채무를 전액 이행할 때까지 회사에 유보된다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</si>
  <si>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계약자가 계약기간 동안 할부금을 성실히 납부하고 본 계약상 모든 채무를 완전히 이행한 경우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회사는 지체 없이 이륜차의 소유권을 계약자에게 이전한다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</si>
  <si>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16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계약자에 의한 중도 해지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</si>
  <si>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계약자가 본 계약을 중도 해지하고자 하는 경우 해지 예정일로부터 최소 </t>
    </r>
    <r>
      <rPr>
        <sz val="8"/>
        <color rgb="FF2B2B2B"/>
        <rFont val="맑은 고딕"/>
        <family val="0"/>
        <charset val="1"/>
      </rPr>
      <t xml:space="preserve">10</t>
    </r>
    <r>
      <rPr>
        <sz val="8"/>
        <color rgb="FF2B2B2B"/>
        <rFont val="DejaVu Sans"/>
        <family val="2"/>
      </rPr>
      <t xml:space="preserve">일 전에 회사에 사전 통보하여야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</si>
  <si>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5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계약자의 책임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</si>
  <si>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② 회사의 중대한 귀책사유가 아닌 경우 계약자는 제</t>
    </r>
    <r>
      <rPr>
        <sz val="8"/>
        <color rgb="FF2B2B2B"/>
        <rFont val="맑은 고딕"/>
        <family val="0"/>
        <charset val="1"/>
      </rPr>
      <t xml:space="preserve">9</t>
    </r>
    <r>
      <rPr>
        <sz val="8"/>
        <color rgb="FF2B2B2B"/>
        <rFont val="DejaVu Sans"/>
        <family val="2"/>
      </rPr>
      <t xml:space="preserve">조 및 계약에서 정한 위약금을 회사에 지급하여야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</si>
  <si>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선량한 관리자의 주의로 이륜차를 유지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관리하여야 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운행 중 발생하는 모든 사고에 대해 책임을 부담한다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회사가 소유권을 보유하더라도 운행자성이 없으므로 인적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물적 관리책임은 전적으로 계약자에게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</si>
  <si>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계약자는 해지 예정일까지 회사가 지정하는 장소에 이륜차를 반환하여야 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관련 비용은 계약자가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</si>
  <si>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계약자는 계약 기간 중 임의로 다른 부착물을 장착하거나 이륜차의 구조를 변경할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</si>
  <si>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최종 해지일은 이륜차가 회사에 반환된 날을 기준으로 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회사의 평가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정산 절차에 성실히 협조하여야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</si>
  <si>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이륜차의 소유권은 회사에 있으며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사용수익권과 운행이익권을 가진다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맑은 고딕"/>
        <family val="0"/>
        <charset val="1"/>
      </rPr>
      <t xml:space="preserve">16</t>
    </r>
    <r>
      <rPr>
        <sz val="8"/>
        <color rgb="FF2B2B2B"/>
        <rFont val="DejaVu Sans"/>
        <family val="2"/>
      </rPr>
      <t xml:space="preserve">조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맑은 고딕"/>
        <family val="0"/>
        <charset val="1"/>
      </rPr>
      <t xml:space="preserve">17</t>
    </r>
    <r>
      <rPr>
        <sz val="8"/>
        <color rgb="FF2B2B2B"/>
        <rFont val="DejaVu Sans"/>
        <family val="2"/>
      </rPr>
      <t xml:space="preserve">조에 따라 계약이 해지된 경우 계약자는 즉시 운행을 중단하고 이륜차를 반환하여야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</si>
  <si>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계약자는 인수형 할부판매라 하더라도 계약기간 만료 및 약정 금액 완납 전에는 이륜차의 소유권을 주장할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</si>
  <si>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17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계약의 해지 사유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</si>
  <si>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⑤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자가 이륜차에 대하여 권리를 주장하거나 보전처분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강제집행 등으로 회사의 소유권을 침해할 위험이 있는 경우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이륜차가 회사의 소유임을 주장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입증하여 침해를 방지하고 즉시 그 사실을 회사에 통지하여야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</si>
  <si>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다음 각 호에 해당하는 경우 계약자는 사전 통지나 최고 없이 기한이익을 상실하며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회사는 유보된 소유권에 근거하여 차량 인도를 청구한다</t>
    </r>
    <r>
      <rPr>
        <sz val="8"/>
        <color rgb="FF2B2B2B"/>
        <rFont val="맑은 고딕"/>
        <family val="0"/>
        <charset val="1"/>
      </rPr>
      <t xml:space="preserve">: (1) </t>
    </r>
    <r>
      <rPr>
        <sz val="8"/>
        <color rgb="FF2B2B2B"/>
        <rFont val="DejaVu Sans"/>
        <family val="2"/>
      </rPr>
      <t xml:space="preserve">이륜차 무단 양도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전대</t>
    </r>
    <r>
      <rPr>
        <sz val="8"/>
        <color rgb="FF2B2B2B"/>
        <rFont val="맑은 고딕"/>
        <family val="0"/>
        <charset val="1"/>
      </rPr>
      <t xml:space="preserve">, (2) </t>
    </r>
    <r>
      <rPr>
        <sz val="8"/>
        <color rgb="FF2B2B2B"/>
        <rFont val="DejaVu Sans"/>
        <family val="2"/>
      </rPr>
      <t xml:space="preserve">법령 위반 사용 또는 보험 인정 사용자 이외의 자에게 사용하게 하는 행위</t>
    </r>
    <r>
      <rPr>
        <sz val="8"/>
        <color rgb="FF2B2B2B"/>
        <rFont val="맑은 고딕"/>
        <family val="0"/>
        <charset val="1"/>
      </rPr>
      <t xml:space="preserve">, (3) </t>
    </r>
    <r>
      <rPr>
        <sz val="8"/>
        <color rgb="FF2B2B2B"/>
        <rFont val="DejaVu Sans"/>
        <family val="2"/>
      </rPr>
      <t xml:space="preserve">정해진 입금일에 할부금 미납 및 보증금 이상 연체</t>
    </r>
    <r>
      <rPr>
        <sz val="8"/>
        <color rgb="FF2B2B2B"/>
        <rFont val="맑은 고딕"/>
        <family val="0"/>
        <charset val="1"/>
      </rPr>
      <t xml:space="preserve">, (4) </t>
    </r>
    <r>
      <rPr>
        <sz val="8"/>
        <color rgb="FF2B2B2B"/>
        <rFont val="DejaVu Sans"/>
        <family val="2"/>
      </rPr>
      <t xml:space="preserve">통지받은 수리비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등을 정당한 사유 없이 </t>
    </r>
    <r>
      <rPr>
        <sz val="8"/>
        <color rgb="FF2B2B2B"/>
        <rFont val="맑은 고딕"/>
        <family val="0"/>
        <charset val="1"/>
      </rPr>
      <t xml:space="preserve">5</t>
    </r>
    <r>
      <rPr>
        <sz val="8"/>
        <color rgb="FF2B2B2B"/>
        <rFont val="DejaVu Sans"/>
        <family val="2"/>
      </rPr>
      <t xml:space="preserve">일 이내 미납</t>
    </r>
    <r>
      <rPr>
        <sz val="8"/>
        <color rgb="FF2B2B2B"/>
        <rFont val="맑은 고딕"/>
        <family val="0"/>
        <charset val="1"/>
      </rPr>
      <t xml:space="preserve">, (5) </t>
    </r>
    <r>
      <rPr>
        <sz val="8"/>
        <color rgb="FF2B2B2B"/>
        <rFont val="DejaVu Sans"/>
        <family val="2"/>
      </rPr>
      <t xml:space="preserve">무면허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음주운전 등 사용자 귀책사유로 배상금이 청구된 후 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일 이내 미납</t>
    </r>
    <r>
      <rPr>
        <sz val="8"/>
        <color rgb="FF2B2B2B"/>
        <rFont val="맑은 고딕"/>
        <family val="0"/>
        <charset val="1"/>
      </rPr>
      <t xml:space="preserve">, (6) </t>
    </r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 담보 제공 등 회사 소유권 침해행위</t>
    </r>
    <r>
      <rPr>
        <sz val="8"/>
        <color rgb="FF2B2B2B"/>
        <rFont val="맑은 고딕"/>
        <family val="0"/>
        <charset val="1"/>
      </rPr>
      <t xml:space="preserve">, (7) </t>
    </r>
    <r>
      <rPr>
        <sz val="8"/>
        <color rgb="FF2B2B2B"/>
        <rFont val="DejaVu Sans"/>
        <family val="2"/>
      </rPr>
      <t xml:space="preserve">규격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성능 무단 변경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부착 표지 임의 제거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훼손</t>
    </r>
    <r>
      <rPr>
        <sz val="8"/>
        <color rgb="FF2B2B2B"/>
        <rFont val="맑은 고딕"/>
        <family val="0"/>
        <charset val="1"/>
      </rPr>
      <t xml:space="preserve">, (8) </t>
    </r>
    <r>
      <rPr>
        <sz val="8"/>
        <color rgb="FF2B2B2B"/>
        <rFont val="DejaVu Sans"/>
        <family val="2"/>
      </rPr>
      <t xml:space="preserve">위치정보 수집 장치 훼손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은닉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</si>
  <si>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⑥ 계약자는 이륜차를 인도받은 시점부터 반환 시까지 도난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훼손 등 일체의 사고에 대한 책임을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</si>
  <si>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⑦ 이륜차 도난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훼손 시 계약자는 지체 없이 회사에 통보하고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자신의 비용으로 </t>
    </r>
    <r>
      <rPr>
        <sz val="8"/>
        <color rgb="FF2B2B2B"/>
        <rFont val="맑은 고딕"/>
        <family val="0"/>
        <charset val="1"/>
      </rPr>
      <t xml:space="preserve">(1) </t>
    </r>
    <r>
      <rPr>
        <sz val="8"/>
        <color rgb="FF2B2B2B"/>
        <rFont val="DejaVu Sans"/>
        <family val="2"/>
      </rPr>
      <t xml:space="preserve">이륜차를 원상태로 완전 복구 또는 </t>
    </r>
    <r>
      <rPr>
        <sz val="8"/>
        <color rgb="FF2B2B2B"/>
        <rFont val="맑은 고딕"/>
        <family val="0"/>
        <charset val="1"/>
      </rPr>
      <t xml:space="preserve">(2) </t>
    </r>
    <r>
      <rPr>
        <sz val="8"/>
        <color rgb="FF2B2B2B"/>
        <rFont val="DejaVu Sans"/>
        <family val="2"/>
      </rPr>
      <t xml:space="preserve">동일 모델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사양으로 교체 중 하나를 이행하여야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</si>
  <si>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18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해지위약금 등의 부과방법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</si>
  <si>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⑧ 계약자는 계약 개시 시점에 차량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키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일체의 부속품을 인수하므로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 종료 시까지 관련 도난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훼손에 대한 모든 책임을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</si>
  <si>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위약금 산식</t>
    </r>
    <r>
      <rPr>
        <sz val="8"/>
        <color rgb="FF2B2B2B"/>
        <rFont val="맑은 고딕"/>
        <family val="0"/>
        <charset val="1"/>
      </rPr>
      <t xml:space="preserve">: </t>
    </r>
    <r>
      <rPr>
        <sz val="8"/>
        <color rgb="FF2B2B2B"/>
        <rFont val="DejaVu Sans"/>
        <family val="2"/>
      </rPr>
      <t xml:space="preserve">위약금 </t>
    </r>
    <r>
      <rPr>
        <sz val="8"/>
        <color rgb="FF2B2B2B"/>
        <rFont val="맑은 고딕"/>
        <family val="0"/>
        <charset val="1"/>
      </rPr>
      <t xml:space="preserve">= </t>
    </r>
    <r>
      <rPr>
        <sz val="8"/>
        <color rgb="FF2B2B2B"/>
        <rFont val="DejaVu Sans"/>
        <family val="2"/>
      </rPr>
      <t xml:space="preserve">보증금 </t>
    </r>
    <r>
      <rPr>
        <sz val="8"/>
        <color rgb="FF2B2B2B"/>
        <rFont val="맑은 고딕"/>
        <family val="0"/>
        <charset val="1"/>
      </rPr>
      <t xml:space="preserve">+ (</t>
    </r>
    <r>
      <rPr>
        <sz val="8"/>
        <color rgb="FF2B2B2B"/>
        <rFont val="DejaVu Sans"/>
        <family val="2"/>
      </rPr>
      <t xml:space="preserve">잔여기간에 대한 총 할부금 </t>
    </r>
    <r>
      <rPr>
        <sz val="8"/>
        <color rgb="FF2B2B2B"/>
        <rFont val="맑은 고딕"/>
        <family val="0"/>
        <charset val="1"/>
      </rPr>
      <t xml:space="preserve">× 20%). </t>
    </r>
    <r>
      <rPr>
        <sz val="8"/>
        <color rgb="FF2B2B2B"/>
        <rFont val="DejaVu Sans"/>
        <family val="2"/>
      </rPr>
      <t xml:space="preserve">계약자는 위약금을 계약 해지일까지 회사에 지급하여야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</si>
  <si>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선납한 보증금은 어떠한 경우에도 반환되지 않는다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</si>
  <si>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6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이륜차의 인도 및 계약자 확인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</si>
  <si>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반환된 이륜차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부착물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키 부속품 일체에 파손이 있는 경우 계약자는 원상복구 수리비를 회사 청구일로부터 </t>
    </r>
    <r>
      <rPr>
        <sz val="8"/>
        <color rgb="FF2B2B2B"/>
        <rFont val="맑은 고딕"/>
        <family val="0"/>
        <charset val="1"/>
      </rPr>
      <t xml:space="preserve">5</t>
    </r>
    <r>
      <rPr>
        <sz val="8"/>
        <color rgb="FF2B2B2B"/>
        <rFont val="DejaVu Sans"/>
        <family val="2"/>
      </rPr>
      <t xml:space="preserve">일 이내에 지급하여야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</si>
  <si>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 개시일은 계약자가 이륜차를 인도받은 날로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</si>
  <si>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회사는 계약자가 인수증을 발급하거나 협력업체를 통해 직접 수령한 경우 해당 이륜차의 인도가 완료된 것으로 본다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</si>
  <si>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19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이륜차 반환 및 회수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</si>
  <si>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이륜차 인도 이후에는 계약자는 이륜차의 하자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결함을 이유로 할부금 지급의무를 거부할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</si>
  <si>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제</t>
    </r>
    <r>
      <rPr>
        <sz val="8"/>
        <color rgb="FF2B2B2B"/>
        <rFont val="맑은 고딕"/>
        <family val="0"/>
        <charset val="1"/>
      </rPr>
      <t xml:space="preserve">16</t>
    </r>
    <r>
      <rPr>
        <sz val="8"/>
        <color rgb="FF2B2B2B"/>
        <rFont val="DejaVu Sans"/>
        <family val="2"/>
      </rPr>
      <t xml:space="preserve">조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맑은 고딕"/>
        <family val="0"/>
        <charset val="1"/>
      </rPr>
      <t xml:space="preserve">17</t>
    </r>
    <r>
      <rPr>
        <sz val="8"/>
        <color rgb="FF2B2B2B"/>
        <rFont val="DejaVu Sans"/>
        <family val="2"/>
      </rPr>
      <t xml:space="preserve">조에 따라 계약이 해지되는 경우 계약자는 즉시 회사가 지정하는 장소로 이륜차를 반환하여야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</si>
  <si>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계약자가 반환을 지연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거부하는 경우 회사는 이륜차를 임의로 회수할 수 있으며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민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형사상 어떠한 이의도 제기할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</si>
  <si>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7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보증금 및 계약금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</si>
  <si>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회수에 소요된 일체의 비용은 계약자가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</si>
  <si>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계약 체결 시 회사가 지정하는 수납 대행사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포어스바이크 유한회사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의 계좌로 보증금을 지급하여야 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사전 동의를 받아 보증금 지급이 지연된 경우 회사는 최대 </t>
    </r>
    <r>
      <rPr>
        <sz val="8"/>
        <color rgb="FF2B2B2B"/>
        <rFont val="맑은 고딕"/>
        <family val="0"/>
        <charset val="1"/>
      </rPr>
      <t xml:space="preserve">7</t>
    </r>
    <r>
      <rPr>
        <sz val="8"/>
        <color rgb="FF2B2B2B"/>
        <rFont val="DejaVu Sans"/>
        <family val="2"/>
      </rPr>
      <t xml:space="preserve">일의 유예기간을 둘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</si>
  <si>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계약자는 계약 해지일부터 이륜차 최종 반환일까지의 손해배상금을 회사에 지급하여야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</si>
  <si>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전항의 유예기간 내 지급이 이루어지지 않을 경우 본 계약은 자동 해지되며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즉시 이륜차를 반환함과 동시에 </t>
    </r>
    <r>
      <rPr>
        <sz val="8"/>
        <color rgb="FF2B2B2B"/>
        <rFont val="맑은 고딕"/>
        <family val="0"/>
        <charset val="1"/>
      </rPr>
      <t xml:space="preserve">(1) </t>
    </r>
    <r>
      <rPr>
        <sz val="8"/>
        <color rgb="FF2B2B2B"/>
        <rFont val="DejaVu Sans"/>
        <family val="2"/>
      </rPr>
      <t xml:space="preserve">인도일부터 반환일까지의 일할 사용료</t>
    </r>
    <r>
      <rPr>
        <sz val="8"/>
        <color rgb="FF2B2B2B"/>
        <rFont val="맑은 고딕"/>
        <family val="0"/>
        <charset val="1"/>
      </rPr>
      <t xml:space="preserve">, (2) </t>
    </r>
    <r>
      <rPr>
        <sz val="8"/>
        <color rgb="FF2B2B2B"/>
        <rFont val="DejaVu Sans"/>
        <family val="2"/>
      </rPr>
      <t xml:space="preserve">이륜차의 감가손실액</t>
    </r>
    <r>
      <rPr>
        <sz val="8"/>
        <color rgb="FF2B2B2B"/>
        <rFont val="맑은 고딕"/>
        <family val="0"/>
        <charset val="1"/>
      </rPr>
      <t xml:space="preserve">, (3) </t>
    </r>
    <r>
      <rPr>
        <sz val="8"/>
        <color rgb="FF2B2B2B"/>
        <rFont val="DejaVu Sans"/>
        <family val="2"/>
      </rPr>
      <t xml:space="preserve">차량 등록비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번호판 비용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보험료 등 회사가 이미 지출한 부대비용 일체를 회사에 배상하여야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</si>
  <si>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보증금은 계약기간 만료 및 계약자가 모든 채무를 이행한 경우 수납대행사를 통해 반환한다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다만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미납 과태료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수리비 등이 확인될 수 있으므로 계약기간 만료일로부터 </t>
    </r>
    <r>
      <rPr>
        <sz val="8"/>
        <color rgb="FF2B2B2B"/>
        <rFont val="맑은 고딕"/>
        <family val="0"/>
        <charset val="1"/>
      </rPr>
      <t xml:space="preserve">1</t>
    </r>
    <r>
      <rPr>
        <sz val="8"/>
        <color rgb="FF2B2B2B"/>
        <rFont val="DejaVu Sans"/>
        <family val="2"/>
      </rPr>
      <t xml:space="preserve">개월이 경과한 이후에 반환한다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</si>
  <si>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20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계약만료 후 처리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</si>
  <si>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④ 반환된 이륜차 상태에 따라 보증금에서 수리비를 공제하며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수리비가 보증금을 초과하면 계약자는 차액을 추가 납부하여야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</si>
  <si>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계약만료일 이후 이륜차를 운행하여서는 아니되며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만료 후 임의 운행으로 발생하는 사고에 회사는 민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형사상 책임을 지지 않는다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</si>
  <si>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미납 과태료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범칙금은 보증금에서 공제하고 잔액을 반환하며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초과분은 계약자가 추가 납부하여야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</si>
  <si>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인수형 계약의 경우 </t>
    </r>
    <r>
      <rPr>
        <sz val="8"/>
        <color rgb="FF2B2B2B"/>
        <rFont val="맑은 고딕"/>
        <family val="0"/>
        <charset val="1"/>
      </rPr>
      <t xml:space="preserve">(1) </t>
    </r>
    <r>
      <rPr>
        <sz val="8"/>
        <color rgb="FF2B2B2B"/>
        <rFont val="DejaVu Sans"/>
        <family val="2"/>
      </rPr>
      <t xml:space="preserve">계약자 명의 이전 시 보험가입증명서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신분증 제출</t>
    </r>
    <r>
      <rPr>
        <sz val="8"/>
        <color rgb="FF2B2B2B"/>
        <rFont val="맑은 고딕"/>
        <family val="0"/>
        <charset val="1"/>
      </rPr>
      <t xml:space="preserve">, (2) </t>
    </r>
    <r>
      <rPr>
        <sz val="8"/>
        <color rgb="FF2B2B2B"/>
        <rFont val="DejaVu Sans"/>
        <family val="2"/>
      </rPr>
      <t xml:space="preserve">사용폐지 시 만료일 익일에 번호판을 등기우편 발송 중 하나를 선택한다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</si>
  <si>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⑥ 계약이 중도 해지된 경우 계약자는 어떠한 사유로도 납부한 보증금 및 계약금을 반환받을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</si>
  <si>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인수형 계약에서 미납금이 있는 경우</t>
    </r>
    <r>
      <rPr>
        <sz val="8"/>
        <color rgb="FF2B2B2B"/>
        <rFont val="맑은 고딕"/>
        <family val="0"/>
        <charset val="1"/>
      </rPr>
      <t xml:space="preserve">: </t>
    </r>
    <r>
      <rPr>
        <sz val="8"/>
        <color rgb="FF2B2B2B"/>
        <rFont val="DejaVu Sans"/>
        <family val="2"/>
      </rPr>
      <t xml:space="preserve">명의이전 시 취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등록세는 계약자 부담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신고는 회사 대행</t>
    </r>
    <r>
      <rPr>
        <sz val="8"/>
        <color rgb="FF2B2B2B"/>
        <rFont val="맑은 고딕"/>
        <family val="0"/>
        <charset val="1"/>
      </rPr>
      <t xml:space="preserve">); </t>
    </r>
    <r>
      <rPr>
        <sz val="8"/>
        <color rgb="FF2B2B2B"/>
        <rFont val="DejaVu Sans"/>
        <family val="2"/>
      </rPr>
      <t xml:space="preserve">계약만료일까지 전액 완납되어야 인수 가능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만료일</t>
    </r>
    <r>
      <rPr>
        <sz val="8"/>
        <color rgb="FF2B2B2B"/>
        <rFont val="맑은 고딕"/>
        <family val="0"/>
        <charset val="1"/>
      </rPr>
      <t xml:space="preserve">(D) </t>
    </r>
    <r>
      <rPr>
        <sz val="8"/>
        <color rgb="FF2B2B2B"/>
        <rFont val="DejaVu Sans"/>
        <family val="2"/>
      </rPr>
      <t xml:space="preserve">이후 </t>
    </r>
    <r>
      <rPr>
        <sz val="8"/>
        <color rgb="FF2B2B2B"/>
        <rFont val="맑은 고딕"/>
        <family val="0"/>
        <charset val="1"/>
      </rPr>
      <t xml:space="preserve">D+3</t>
    </r>
    <r>
      <rPr>
        <sz val="8"/>
        <color rgb="FF2B2B2B"/>
        <rFont val="DejaVu Sans"/>
        <family val="2"/>
      </rPr>
      <t xml:space="preserve">일까지 미납 시 회수 진행</t>
    </r>
    <r>
      <rPr>
        <sz val="8"/>
        <color rgb="FF2B2B2B"/>
        <rFont val="맑은 고딕"/>
        <family val="0"/>
        <charset val="1"/>
      </rPr>
      <t xml:space="preserve">, D+15</t>
    </r>
    <r>
      <rPr>
        <sz val="8"/>
        <color rgb="FF2B2B2B"/>
        <rFont val="DejaVu Sans"/>
        <family val="2"/>
      </rPr>
      <t xml:space="preserve">일까지 미완납 시 기한이익 상실 및 회사의 자체 처분 가능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처분대금은 미납금 상환에 우선 충당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</si>
  <si>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반납형 계약의 경우 만료일 익일에 이륜차를 반환한다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회사는 수리견적을 작성하여 수리비를 보증금에서 차감 후 잔액을 계약자에게 지급하며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수리비가 보증금을 초과하는 경우 차액을 계약자가 납부한다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</si>
  <si>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8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할부금 및 기타 지급금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</si>
  <si>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⑤ 명의이전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폐지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반납 절차는 만료일 익일에 완료되어야 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지체 시 계약자는 제</t>
    </r>
    <r>
      <rPr>
        <sz val="8"/>
        <color rgb="FF2B2B2B"/>
        <rFont val="맑은 고딕"/>
        <family val="0"/>
        <charset val="1"/>
      </rPr>
      <t xml:space="preserve">9</t>
    </r>
    <r>
      <rPr>
        <sz val="8"/>
        <color rgb="FF2B2B2B"/>
        <rFont val="DejaVu Sans"/>
        <family val="2"/>
      </rPr>
      <t xml:space="preserve">조에 따른 손해배상금 및 부당사용이익을 회사에 납부하여야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</si>
  <si>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계약서에 기재된 할부금 및 운행 관련 제 비용을 공휴일과 무관하게 정해진 결제일에 수납대행사 계좌로 납부하여야 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실제 납부는 반드시 계약자 본인 명의의 계좌에서 이루어져야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</si>
  <si>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결제방법이란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회사가 안내한 수납대행사 은행계좌로 한국은행 발행 통화를 지급하거나 결제 수단을 통해 납부하는 것을 의미한다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</si>
  <si>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21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계약만료 전 할부금 완납 시 절차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</si>
  <si>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매도인의 가격 인상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정부 정책 등 불가피한 사정으로 할부금이 변동될 경우 회사는 계약자에게 개별 통지하며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이륜차 출고 이전까지 계약을 취소할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</si>
  <si>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계약만료일까지 이륜차를 운행할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</si>
  <si>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이륜차의 도난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훼손으로 운행이 불가능한 사유가 발생하더라도 계약자는 할부금 지급의무를 거부할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</si>
  <si>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 만료 전 할부금을 모두 완납하여 계약이 종료되는 경우 계약자는 제</t>
    </r>
    <r>
      <rPr>
        <sz val="8"/>
        <color rgb="FF2B2B2B"/>
        <rFont val="맑은 고딕"/>
        <family val="0"/>
        <charset val="1"/>
      </rPr>
      <t xml:space="preserve">20</t>
    </r>
    <r>
      <rPr>
        <sz val="8"/>
        <color rgb="FF2B2B2B"/>
        <rFont val="DejaVu Sans"/>
        <family val="2"/>
      </rPr>
      <t xml:space="preserve">조에서 정한 절차를 진행한다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</si>
  <si>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납부주기 변경으로 할부금이 조정되는 경우 최초 계약 당시의 단가표 기준에 따라 산정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적용한다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</si>
  <si>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계약자의 요청에 따라 만료일보다 일찍 명의이전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사용폐지를 진행하는 경우 보험환급금 등 추가 환급은 청구할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</si>
  <si>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⑥ 회사는 연체된 할부금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위약금 등 본 계약상 채권의 회수 및 추심 업무를 수납대행사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포어스바이크 유한회사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에 위임하며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수납대행사는 회사를 대리하여 계약자에게 독촉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추심할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</si>
  <si>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22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변제충당 순서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</si>
  <si>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9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지연손해금 및 반환지연금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</si>
  <si>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계약자가 납입한 금액이 납입일 현재 채무 전액을 충당하기에 부족한 경우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회사는 납기일 기준으로 먼저 도래한 채무액부터 우선 충당한다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</si>
  <si>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계약자가 약정 금액을 기한 내에 이행하지 않는 경우 위약금이 발생하며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회사의 청구일로부터 </t>
    </r>
    <r>
      <rPr>
        <sz val="8"/>
        <color rgb="FF2B2B2B"/>
        <rFont val="맑은 고딕"/>
        <family val="0"/>
        <charset val="1"/>
      </rPr>
      <t xml:space="preserve">5</t>
    </r>
    <r>
      <rPr>
        <sz val="8"/>
        <color rgb="FF2B2B2B"/>
        <rFont val="DejaVu Sans"/>
        <family val="2"/>
      </rPr>
      <t xml:space="preserve">일 이내에 지급하여야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</si>
  <si>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연체이자가 있는 경우 연체이자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지연손해금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원금의 순으로 충당한다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</si>
  <si>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지연손해금 계산식</t>
    </r>
    <r>
      <rPr>
        <sz val="8"/>
        <color rgb="FF2B2B2B"/>
        <rFont val="맑은 고딕"/>
        <family val="0"/>
        <charset val="1"/>
      </rPr>
      <t xml:space="preserve">: </t>
    </r>
    <r>
      <rPr>
        <sz val="8"/>
        <color rgb="FF2B2B2B"/>
        <rFont val="DejaVu Sans"/>
        <family val="2"/>
      </rPr>
      <t xml:space="preserve">지연손해금 </t>
    </r>
    <r>
      <rPr>
        <sz val="8"/>
        <color rgb="FF2B2B2B"/>
        <rFont val="맑은 고딕"/>
        <family val="0"/>
        <charset val="1"/>
      </rPr>
      <t xml:space="preserve">= </t>
    </r>
    <r>
      <rPr>
        <sz val="8"/>
        <color rgb="FF2B2B2B"/>
        <rFont val="DejaVu Sans"/>
        <family val="2"/>
      </rPr>
      <t xml:space="preserve">연체금액 </t>
    </r>
    <r>
      <rPr>
        <sz val="8"/>
        <color rgb="FF2B2B2B"/>
        <rFont val="맑은 고딕"/>
        <family val="0"/>
        <charset val="1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맑은 고딕"/>
        <family val="0"/>
        <charset val="1"/>
      </rPr>
      <t xml:space="preserve">× </t>
    </r>
    <r>
      <rPr>
        <sz val="8"/>
        <color rgb="FF2B2B2B"/>
        <rFont val="DejaVu Sans"/>
        <family val="2"/>
      </rPr>
      <t xml:space="preserve">연 </t>
    </r>
    <r>
      <rPr>
        <sz val="8"/>
        <color rgb="FF2B2B2B"/>
        <rFont val="맑은 고딕"/>
        <family val="0"/>
        <charset val="1"/>
      </rPr>
      <t xml:space="preserve">20%</t>
    </r>
  </si>
  <si>
    <r>
      <rPr>
        <sz val="8"/>
        <color rgb="FF2B2B2B"/>
        <rFont val="DejaVu Sans"/>
        <family val="2"/>
      </rPr>
      <t xml:space="preserve">③ 각 계약자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라이더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별 납부금은 해당 계약자 본인 명의 계좌로부터 입금된 금원에 한하여 충당되며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타 계약자의 입금은 타인의 채무에 충당되지 아니한다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</si>
  <si>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반환지연금은 계약 만료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해지에도 불구하고 계약자가 이륜차를 반환하지 않고 점유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사용을 계속하는 경우 발생하며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계산식은 다음과 같다</t>
    </r>
    <r>
      <rPr>
        <sz val="8"/>
        <color rgb="FF2B2B2B"/>
        <rFont val="맑은 고딕"/>
        <family val="0"/>
        <charset val="1"/>
      </rPr>
      <t xml:space="preserve">: </t>
    </r>
    <r>
      <rPr>
        <sz val="8"/>
        <color rgb="FF2B2B2B"/>
        <rFont val="DejaVu Sans"/>
        <family val="2"/>
      </rPr>
      <t xml:space="preserve">반환지연금 </t>
    </r>
    <r>
      <rPr>
        <sz val="8"/>
        <color rgb="FF2B2B2B"/>
        <rFont val="맑은 고딕"/>
        <family val="0"/>
        <charset val="1"/>
      </rPr>
      <t xml:space="preserve">= 1</t>
    </r>
    <r>
      <rPr>
        <sz val="8"/>
        <color rgb="FF2B2B2B"/>
        <rFont val="DejaVu Sans"/>
        <family val="2"/>
      </rPr>
      <t xml:space="preserve">일 사용료 </t>
    </r>
    <r>
      <rPr>
        <sz val="8"/>
        <color rgb="FF2B2B2B"/>
        <rFont val="맑은 고딕"/>
        <family val="0"/>
        <charset val="1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맑은 고딕"/>
        <family val="0"/>
        <charset val="1"/>
      </rPr>
      <t xml:space="preserve">× </t>
    </r>
    <r>
      <rPr>
        <sz val="8"/>
        <color rgb="FF2B2B2B"/>
        <rFont val="DejaVu Sans"/>
        <family val="2"/>
      </rPr>
      <t xml:space="preserve">연 </t>
    </r>
    <r>
      <rPr>
        <sz val="8"/>
        <color rgb="FF2B2B2B"/>
        <rFont val="맑은 고딕"/>
        <family val="0"/>
        <charset val="1"/>
      </rPr>
      <t xml:space="preserve">20%</t>
    </r>
  </si>
  <si>
    <r>
      <rPr>
        <sz val="8"/>
        <color rgb="FF2B2B2B"/>
        <rFont val="DejaVu Sans"/>
        <family val="2"/>
      </rPr>
      <t xml:space="preserve">④ 지연손해금과 반환지연금은 회사의 손해배상청구와 별도로 부과될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</si>
  <si>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23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세금계산서 발급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</si>
  <si>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⑤ 연체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미납이 발생하는 경우 회사는 계약자의 별도 동의 없이 해당 채무를 신용정보집중기관에 등록하거나 신용정보업체에 채권추심을 의뢰할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</si>
  <si>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세금계산서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또는 현금영수증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는 회사 명의로 발행하며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본 계약서에 기재된 연대보증인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사업장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의 사업자등록번호를 기준으로 발급한다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</si>
  <si>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차량 이관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사업자 변경 등으로 계산서 발행 대상이 변경되는 경우 계약자는 익월 </t>
    </r>
    <r>
      <rPr>
        <sz val="8"/>
        <color rgb="FF2B2B2B"/>
        <rFont val="맑은 고딕"/>
        <family val="0"/>
        <charset val="1"/>
      </rPr>
      <t xml:space="preserve">5</t>
    </r>
    <r>
      <rPr>
        <sz val="8"/>
        <color rgb="FF2B2B2B"/>
        <rFont val="DejaVu Sans"/>
        <family val="2"/>
      </rPr>
      <t xml:space="preserve">일까지 회사에 통지하여야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</si>
  <si>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10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연대보증인의 책임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</si>
  <si>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계약자는 주소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전화번호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상호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사업자등록번호 등 세금계산서 발행에 영향을 미치는 사항에 변경이 발생한 경우 즉시 회사에 통지하여야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</si>
  <si>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연대보증인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사업장 및 대표자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은 할부금 지급채무를 포함하여 계약자가 회사에 대하여 본 계약과 관련하여 부담하는 일체의 채무를 보증하며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 및 상호 간에 연대하여 그 채무를 이행한다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</si>
  <si>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계약자의 통지의무 해태로 발생하는 불이익은 계약자가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</si>
  <si>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계약자가 회사의 동의 없이 본 계약상 채무를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인수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승계시킨 경우에도 연대보증인은 채무가 전액 변제될 때까지 보증채무를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</si>
  <si>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연대보증인은 계약자의 미변제 채무가 남아 있는 경우 계약자의 채무를 회사보다 먼저 변제받을 권리를 행사할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</si>
  <si>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24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적용범위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</si>
  <si>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④ 보험 연령 변경 등 일부 계약 내용이 변경되는 경우 연대보증인이 별도로 서명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날인하지 않더라도 그 변경에 동의한 것으로 본다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단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변경 내용이 연대보증인에게 불리한 경우 계약자는 즉시 연대보증인에게 통지하여야 하며</t>
    </r>
    <r>
      <rPr>
        <sz val="8"/>
        <color rgb="FF2B2B2B"/>
        <rFont val="맑은 고딕"/>
        <family val="0"/>
        <charset val="1"/>
      </rPr>
      <t xml:space="preserve">, 14</t>
    </r>
    <r>
      <rPr>
        <sz val="8"/>
        <color rgb="FF2B2B2B"/>
        <rFont val="DejaVu Sans"/>
        <family val="2"/>
      </rPr>
      <t xml:space="preserve">일 이내 이의 제기 시 회사는 새로운 보증인의 추가 또는 교체를 요구할 수 있다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연대보증인은 미성년자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배우자 등 불법 강제보증인으로 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</si>
  <si>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본 계약서 이륜차에 관하여 할부금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 미납금이 발생한 경우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회사와 체결한 다른 이륜차 계약의 처분에도 영향을 미칠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</si>
  <si>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반대로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회사와 체결한 다른 이륜차 계약에서 미납금이 발생한 경우에도 본 계약서 이륜차의 처분에 영향을 미칠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</si>
  <si>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11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계약의 이관 및 승계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</si>
  <si>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계약자는 회사의 사전 승인 없이 본 계약상의 권리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의무를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임의로 승계할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</si>
  <si>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25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약관에 정하지 않은 사항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</si>
  <si>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② 계약자가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승계하고자 하는 경우 인적사항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신용상태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영업상황 등 필요 정보를 제공하여야 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회사는 심사기준에 부합하지 않으면 거절할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</si>
  <si>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본 계약에서 정하지 아니한 사항에 관하여는 관계 법령 및 회사의 관련 규정을 따른다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</si>
  <si>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회사의 승인 없이 계약자가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이륜차의 실질적 사용수익권을 넘긴 경우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승인 전까지 할부금 지급의무 및 기타 채무를 계속 이행하여야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</si>
  <si>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계약이관을 하기 위해서는 할부금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 일체의 미납금이 없어야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</si>
  <si>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26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준거법 및 관할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</si>
  <si>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⑤ 승계받고자 하는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자가 계약이관서에 서명함으로써 절차는 완료된 것으로 본다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</si>
  <si>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본 계약은 대한민국 법률에 따라 해석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적용하며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본 계약과 관련하여 분쟁이 발생하는 경우 회사 본점 소재지를 관할하는 법원을 전속 관할 법원으로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</si>
  <si>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DejaVu Sans"/>
        <family val="2"/>
      </rPr>
      <t xml:space="preserve">첨부 </t>
    </r>
    <r>
      <rPr>
        <b val="true"/>
        <sz val="9"/>
        <color rgb="FFC00000"/>
        <rFont val="맑은 고딕"/>
        <family val="0"/>
        <charset val="1"/>
      </rPr>
      <t xml:space="preserve">1] </t>
    </r>
    <r>
      <rPr>
        <b val="true"/>
        <sz val="9"/>
        <color rgb="FFC00000"/>
        <rFont val="DejaVu Sans"/>
        <family val="2"/>
      </rPr>
      <t xml:space="preserve">차량 평가 및 감가기준</t>
    </r>
  </si>
  <si>
    <r>
      <rPr>
        <sz val="8"/>
        <color rgb="FF2B2B2B"/>
        <rFont val="DejaVu Sans"/>
        <family val="2"/>
      </rPr>
      <t xml:space="preserve">평가 항목  </t>
    </r>
    <r>
      <rPr>
        <sz val="8"/>
        <color rgb="FF2B2B2B"/>
        <rFont val="맑은 고딕"/>
        <family val="0"/>
        <charset val="1"/>
      </rPr>
      <t xml:space="preserve">/  </t>
    </r>
    <r>
      <rPr>
        <sz val="8"/>
        <color rgb="FF2B2B2B"/>
        <rFont val="DejaVu Sans"/>
        <family val="2"/>
      </rPr>
      <t xml:space="preserve">감가율</t>
    </r>
  </si>
  <si>
    <r>
      <rPr>
        <sz val="8"/>
        <color rgb="FF2B2B2B"/>
        <rFont val="DejaVu Sans"/>
        <family val="2"/>
      </rPr>
      <t xml:space="preserve">커버류 교체 또는 수리 필요  </t>
    </r>
    <r>
      <rPr>
        <sz val="8"/>
        <color rgb="FF2B2B2B"/>
        <rFont val="맑은 고딕"/>
        <family val="0"/>
        <charset val="1"/>
      </rPr>
      <t xml:space="preserve">/  4% (</t>
    </r>
    <r>
      <rPr>
        <sz val="8"/>
        <color rgb="FF2B2B2B"/>
        <rFont val="DejaVu Sans"/>
        <family val="2"/>
      </rPr>
      <t xml:space="preserve">부위당</t>
    </r>
    <r>
      <rPr>
        <sz val="8"/>
        <color rgb="FF2B2B2B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</si>
  <si>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차대 교체 또는 수리 필요  </t>
    </r>
    <r>
      <rPr>
        <sz val="8"/>
        <color rgb="FF2B2B2B"/>
        <rFont val="맑은 고딕"/>
        <family val="0"/>
        <charset val="1"/>
      </rPr>
      <t xml:space="preserve">/  6% (</t>
    </r>
    <r>
      <rPr>
        <sz val="8"/>
        <color rgb="FF2B2B2B"/>
        <rFont val="DejaVu Sans"/>
        <family val="2"/>
      </rPr>
      <t xml:space="preserve">부위당</t>
    </r>
    <r>
      <rPr>
        <sz val="8"/>
        <color rgb="FF2B2B2B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</si>
  <si>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도장 및 판금 상태  </t>
    </r>
    <r>
      <rPr>
        <sz val="8"/>
        <color rgb="FF2B2B2B"/>
        <rFont val="맑은 고딕"/>
        <family val="0"/>
        <charset val="1"/>
      </rPr>
      <t xml:space="preserve">/  30</t>
    </r>
    <r>
      <rPr>
        <sz val="8"/>
        <color rgb="FF2B2B2B"/>
        <rFont val="DejaVu Sans"/>
        <family val="2"/>
      </rPr>
      <t xml:space="preserve">만원 </t>
    </r>
    <r>
      <rPr>
        <sz val="8"/>
        <color rgb="FF2B2B2B"/>
        <rFont val="맑은 고딕"/>
        <family val="0"/>
        <charset val="1"/>
      </rPr>
      <t xml:space="preserve">~ 50</t>
    </r>
    <r>
      <rPr>
        <sz val="8"/>
        <color rgb="FF2B2B2B"/>
        <rFont val="DejaVu Sans"/>
        <family val="2"/>
      </rPr>
      <t xml:space="preserve">만원</t>
    </r>
  </si>
  <si>
    <r>
      <rPr>
        <b val="true"/>
        <sz val="9"/>
        <color rgb="FFC00000"/>
        <rFont val="맑은 고딕"/>
        <family val="0"/>
        <charset val="1"/>
      </rPr>
      <t xml:space="preserve">[</t>
    </r>
    <r>
      <rPr>
        <b val="true"/>
        <sz val="9"/>
        <color rgb="FFC00000"/>
        <rFont val="DejaVu Sans"/>
        <family val="2"/>
      </rPr>
      <t xml:space="preserve">첨부 </t>
    </r>
    <r>
      <rPr>
        <b val="true"/>
        <sz val="9"/>
        <color rgb="FFC00000"/>
        <rFont val="맑은 고딕"/>
        <family val="0"/>
        <charset val="1"/>
      </rPr>
      <t xml:space="preserve">2] </t>
    </r>
    <r>
      <rPr>
        <b val="true"/>
        <sz val="9"/>
        <color rgb="FFC00000"/>
        <rFont val="DejaVu Sans"/>
        <family val="2"/>
      </rPr>
      <t xml:space="preserve">자동계좌이체 약관</t>
    </r>
  </si>
  <si>
    <r>
      <rPr>
        <sz val="8"/>
        <color rgb="FF2B2B2B"/>
        <rFont val="DejaVu Sans"/>
        <family val="2"/>
      </rPr>
      <t xml:space="preserve">① 신청인 및 예금주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이하 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0"/>
        <charset val="1"/>
      </rPr>
      <t xml:space="preserve">")</t>
    </r>
    <r>
      <rPr>
        <sz val="8"/>
        <color rgb="FF2B2B2B"/>
        <rFont val="DejaVu Sans"/>
        <family val="2"/>
      </rPr>
      <t xml:space="preserve">는 약정 납부일을 기준으로 포어스바이크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주</t>
    </r>
    <r>
      <rPr>
        <sz val="8"/>
        <color rgb="FF2B2B2B"/>
        <rFont val="맑은 고딕"/>
        <family val="0"/>
        <charset val="1"/>
      </rPr>
      <t xml:space="preserve">)(</t>
    </r>
    <r>
      <rPr>
        <sz val="8"/>
        <color rgb="FF2B2B2B"/>
        <rFont val="DejaVu Sans"/>
        <family val="2"/>
      </rPr>
      <t xml:space="preserve">이하 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수납사</t>
    </r>
    <r>
      <rPr>
        <sz val="8"/>
        <color rgb="FF2B2B2B"/>
        <rFont val="맑은 고딕"/>
        <family val="0"/>
        <charset val="1"/>
      </rPr>
      <t xml:space="preserve">")</t>
    </r>
    <r>
      <rPr>
        <sz val="8"/>
        <color rgb="FF2B2B2B"/>
        <rFont val="DejaVu Sans"/>
        <family val="2"/>
      </rPr>
      <t xml:space="preserve">가 지정하는 계좌이체일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휴일인 경우 익영업일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에 청구 금액을 자동이체 계좌에서 출금하여 납부한다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</si>
  <si>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자동납부를 위해 지정계좌 예금을 출금하는 경우 예금약관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계약서 규정에도 예금청구서나 수표 없이 자동계좌이체 처리절차에 의하여 출금 처리되며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금융기관 출금 마감 시간 내 입금된 금액에 한하여 출금 처리된다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</si>
  <si>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지정계좌의 예금잔액이 이체일 현재 청구금액보다 부족하거나 예금 지급제한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약정대출 연체 등으로 대체 납부가 불가능한 경우의 손해는 계약자의 책임으로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</si>
  <si>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이체일에 동일 수종의 자동계좌이체 청구가 있는 경우의 출금 우선순위는 금융기관이 이미 약관에 따라 계약자와 약정한 바에 따른다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</si>
  <si>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자동이체 일자는 수납사의 사정에 따라 변경될 수 있으나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사전에 계약자에게 통지한다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</si>
  <si>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⑥ 계약자의 사정으로 예금계좌 변경 또는 자동납부 해지를 원하는 경우 금융기관 소정 양식에 의한 자동납부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해지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신청서와 통장 사본을 제출하여야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</si>
  <si>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⑦ 자동납부 신청에 의한 지정계좌 출금은 수납사의 청구대로 출금하되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청구금액에 이의가 있는 경우 계약자와 수납사가 협의하여 조정한다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</si>
  <si>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⑧ 이 약관에서 정하지 않은 사항은 금융기관의 자동이체납부약관에서 정하는 바에 따른다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</si>
  <si>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10"/>
        <color rgb="FF1F3864"/>
        <rFont val="DejaVu Sans"/>
        <family val="2"/>
      </rPr>
      <t xml:space="preserve">이용약관의 내용에 대하여 전부 설명 듣고 확인하였습니다</t>
    </r>
    <r>
      <rPr>
        <b val="true"/>
        <sz val="10"/>
        <color rgb="FF1F3864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</si>
  <si>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계약자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라이더</t>
    </r>
    <r>
      <rPr>
        <sz val="10"/>
        <rFont val="맑은 고딕"/>
        <family val="0"/>
        <charset val="1"/>
      </rPr>
      <t xml:space="preserve">) </t>
    </r>
    <r>
      <rPr>
        <sz val="10"/>
        <rFont val="DejaVu Sans"/>
        <family val="2"/>
      </rPr>
      <t xml:space="preserve">서명 또는 인</t>
    </r>
    <r>
      <rPr>
        <sz val="10"/>
        <rFont val="맑은 고딕"/>
        <family val="0"/>
        <charset val="1"/>
      </rPr>
      <t xml:space="preserve">:                                   </t>
    </r>
    <r>
      <rPr>
        <sz val="10"/>
        <rFont val="DejaVu Sans"/>
        <family val="2"/>
      </rPr>
      <t xml:space="preserve">연대보증인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사업장</t>
    </r>
    <r>
      <rPr>
        <sz val="10"/>
        <rFont val="맑은 고딕"/>
        <family val="0"/>
        <charset val="1"/>
      </rPr>
      <t xml:space="preserve">) </t>
    </r>
    <r>
      <rPr>
        <sz val="10"/>
        <rFont val="DejaVu Sans"/>
        <family val="2"/>
      </rPr>
      <t xml:space="preserve">서명 또는 인</t>
    </r>
    <r>
      <rPr>
        <sz val="10"/>
        <rFont val="맑은 고딕"/>
        <family val="0"/>
        <charset val="1"/>
      </rPr>
      <t xml:space="preserve">:                                   </t>
    </r>
    <r>
      <rPr>
        <sz val="10"/>
        <rFont val="DejaVu Sans"/>
        <family val="2"/>
      </rPr>
      <t xml:space="preserve">일자</t>
    </r>
    <r>
      <rPr>
        <sz val="10"/>
        <rFont val="맑은 고딕"/>
        <family val="0"/>
        <charset val="1"/>
      </rPr>
      <t xml:space="preserve">:                 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</si>
</sst>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DejaVu Sans"/>
      <family val="2"/>
    </font>
    <font>
      <b val="true"/>
      <sz val="9"/>
      <color rgb="FFFFFFFF"/>
      <name val="DejaVu Sans"/>
      <family val="2"/>
      <charset val="1"/>
    </font>
    <font>
      <sz val="10"/>
      <color rgb="FF000000"/>
      <name val="맑은 고딕"/>
      <family val="0"/>
      <charset val="1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sz val="10"/>
      <name val="맑은 고딕"/>
      <family val="0"/>
      <charset val="1"/>
    </font>
    <font>
      <i val="true"/>
      <sz val="8"/>
      <color rgb="FF808080"/>
      <name val="DejaVu Sans"/>
      <family val="2"/>
    </font>
    <font>
      <b val="true"/>
      <sz val="18"/>
      <color rgb="FFFFFFFF"/>
      <name val="DejaVu Sans"/>
      <family val="2"/>
    </font>
    <font>
      <b val="true"/>
      <sz val="12"/>
      <color rgb="FFC00000"/>
      <name val="맑은 고딕"/>
      <family val="0"/>
      <charset val="1"/>
    </font>
    <font>
      <b val="true"/>
      <sz val="10"/>
      <color rgb="FF1F3864"/>
      <name val="DejaVu Sans"/>
      <family val="2"/>
    </font>
    <font>
      <b val="true"/>
      <sz val="9"/>
      <color rgb="FF1F3864"/>
      <name val="DejaVu Sans"/>
      <family val="2"/>
    </font>
    <font>
      <b val="true"/>
      <sz val="11"/>
      <color rgb="FFC00000"/>
      <name val="맑은 고딕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DejaVu Sans"/>
      <family val="2"/>
      <charset val="1"/>
    </font>
    <font>
      <b val="true"/>
      <sz val="9"/>
      <color rgb="FF1F3864"/>
      <name val="DejaVu Sans"/>
      <family val="2"/>
      <charset val="1"/>
    </font>
    <font>
      <i val="true"/>
      <sz val="8"/>
      <color rgb="FF595959"/>
      <name val="DejaVu Sans"/>
      <family val="2"/>
    </font>
    <font>
      <i val="true"/>
      <sz val="8"/>
      <color rgb="FF595959"/>
      <name val="DejaVu Sans"/>
      <family val="2"/>
      <charset val="1"/>
    </font>
    <font>
      <sz val="8"/>
      <color rgb="FF404040"/>
      <name val="맑은 고딕"/>
      <family val="0"/>
      <charset val="1"/>
    </font>
    <font>
      <sz val="8"/>
      <color rgb="FF404040"/>
      <name val="DejaVu Sans"/>
      <family val="2"/>
    </font>
    <font>
      <sz val="8"/>
      <color rgb="FF404040"/>
      <name val="DejaVu Sans"/>
      <family val="2"/>
      <charset val="1"/>
    </font>
    <font>
      <b val="true"/>
      <sz val="10"/>
      <color rgb="FF1F3864"/>
      <name val="DejaVu Sans"/>
      <family val="2"/>
      <charset val="1"/>
    </font>
    <font>
      <sz val="9"/>
      <color rgb="FF000000"/>
      <name val="DejaVu Sans"/>
      <family val="2"/>
    </font>
    <font>
      <sz val="9"/>
      <color rgb="FF000000"/>
      <name val="DejaVu Sans"/>
      <family val="2"/>
      <charset val="1"/>
    </font>
    <font>
      <b val="true"/>
      <sz val="9"/>
      <color rgb="FF1F3864"/>
      <name val="맑은 고딕"/>
      <family val="0"/>
      <charset val="1"/>
    </font>
    <font>
      <b val="true"/>
      <sz val="14"/>
      <color rgb="FFFFFFFF"/>
      <name val="맑은 고딕"/>
      <family val="0"/>
      <charset val="1"/>
    </font>
    <font>
      <b val="true"/>
      <sz val="14"/>
      <color rgb="FFFFFFFF"/>
      <name val="DejaVu Sans"/>
      <family val="2"/>
    </font>
    <font>
      <sz val="8"/>
      <color rgb="FF2B2B2B"/>
      <name val="DejaVu Sans"/>
      <family val="2"/>
    </font>
    <font>
      <sz val="8"/>
      <color rgb="FF2B2B2B"/>
      <name val="맑은 고딕"/>
      <family val="0"/>
      <charset val="1"/>
    </font>
    <font>
      <b val="true"/>
      <sz val="9"/>
      <color rgb="FFC00000"/>
      <name val="맑은 고딕"/>
      <family val="0"/>
      <charset val="1"/>
    </font>
    <font>
      <b val="true"/>
      <sz val="9"/>
      <color rgb="FFC00000"/>
      <name val="DejaVu Sans"/>
      <family val="2"/>
    </font>
    <font>
      <b val="true"/>
      <sz val="10"/>
      <color rgb="FF1F3864"/>
      <name val="맑은 고딕"/>
      <family val="0"/>
      <charset val="1"/>
    </font>
    <font>
      <sz val="10"/>
      <name val="DejaVu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2E5597"/>
        <bgColor rgb="FF1F3864"/>
      </patternFill>
    </fill>
    <fill>
      <patternFill patternType="solid">
        <fgColor rgb="FF1F3864"/>
        <bgColor rgb="FF2B2B2B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7F9FC"/>
      </patternFill>
    </fill>
    <fill>
      <patternFill patternType="solid">
        <fgColor rgb="FFEAF0F8"/>
        <bgColor rgb="FFF7F9FC"/>
      </patternFill>
    </fill>
    <fill>
      <patternFill patternType="solid">
        <fgColor rgb="FFFFF4E3"/>
        <bgColor rgb="FFFFF2CC"/>
      </patternFill>
    </fill>
    <fill>
      <patternFill patternType="solid">
        <fgColor rgb="FFF7F9F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 style="medium">
        <color rgb="FF1F3864"/>
      </left>
      <right style="medium">
        <color rgb="FF1F3864"/>
      </right>
      <top style="thin">
        <color rgb="FFBFBFBF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5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4E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404040"/>
      <rgbColor rgb="FF993300"/>
      <rgbColor rgb="FF993366"/>
      <rgbColor rgb="FF2E5597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0" min="1" style="1" width="18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customFormat="false" ht="23.25" hidden="false" customHeight="true" outlineLevel="0" collapsed="false">
      <c r="A2" s="3" t="n">
        <v>1</v>
      </c>
      <c r="B2" s="3" t="s">
        <v>30</v>
      </c>
      <c r="C2" s="3" t="s">
        <v>31</v>
      </c>
      <c r="D2" s="3" t="s">
        <v>32</v>
      </c>
      <c r="E2" s="4" t="s">
        <v>33</v>
      </c>
      <c r="F2" s="4" t="s">
        <v>34</v>
      </c>
      <c r="G2" s="3" t="n">
        <v>12000</v>
      </c>
      <c r="H2" s="3" t="n">
        <v>365</v>
      </c>
      <c r="I2" s="3" t="n">
        <v>300000</v>
      </c>
      <c r="J2" s="4" t="s">
        <v>35</v>
      </c>
      <c r="K2" s="3" t="s">
        <v>36</v>
      </c>
      <c r="L2" s="3" t="s">
        <v>37</v>
      </c>
      <c r="M2" s="3" t="s">
        <v>38</v>
      </c>
      <c r="N2" s="4" t="s">
        <v>39</v>
      </c>
      <c r="O2" s="4" t="s">
        <v>40</v>
      </c>
      <c r="P2" s="3" t="s">
        <v>41</v>
      </c>
      <c r="Q2" s="4" t="s">
        <v>42</v>
      </c>
      <c r="R2" s="3" t="s">
        <v>43</v>
      </c>
      <c r="S2" s="3" t="s">
        <v>44</v>
      </c>
      <c r="T2" s="4" t="s">
        <v>45</v>
      </c>
      <c r="U2" s="3" t="s">
        <v>46</v>
      </c>
      <c r="V2" s="3" t="s">
        <v>47</v>
      </c>
      <c r="W2" s="4" t="s">
        <v>48</v>
      </c>
      <c r="X2" s="4" t="s">
        <v>49</v>
      </c>
      <c r="Y2" s="3" t="s">
        <v>50</v>
      </c>
      <c r="Z2" s="4" t="s">
        <v>51</v>
      </c>
      <c r="AA2" s="4" t="s">
        <v>52</v>
      </c>
      <c r="AB2" s="4" t="s">
        <v>53</v>
      </c>
      <c r="AC2" s="4" t="s">
        <v>54</v>
      </c>
      <c r="AD2" s="4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.51"/>
    <col collapsed="false" customWidth="true" hidden="false" outlineLevel="0" max="3" min="2" style="1" width="1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1" min="11" style="1" width="1.51"/>
    <col collapsed="false" customWidth="true" hidden="false" outlineLevel="0" max="12" min="12" style="1" width="6"/>
  </cols>
  <sheetData>
    <row r="1" customFormat="false" ht="7.5" hidden="false" customHeight="true" outlineLevel="0" collapsed="false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6" t="s">
        <v>56</v>
      </c>
    </row>
    <row r="2" customFormat="false" ht="48" hidden="false" customHeight="true" outlineLevel="0" collapsed="false">
      <c r="A2" s="5"/>
      <c r="B2" s="7" t="s">
        <v>57</v>
      </c>
      <c r="C2" s="7"/>
      <c r="D2" s="7"/>
      <c r="E2" s="7"/>
      <c r="F2" s="7"/>
      <c r="G2" s="7"/>
      <c r="H2" s="7"/>
      <c r="I2" s="7"/>
      <c r="J2" s="7"/>
      <c r="K2" s="5"/>
      <c r="L2" s="8" t="n">
        <v>1</v>
      </c>
    </row>
    <row r="3" customFormat="false" ht="24" hidden="false" customHeight="true" outlineLevel="0" collapsed="false">
      <c r="A3" s="5"/>
      <c r="B3" s="9" t="s">
        <v>58</v>
      </c>
      <c r="C3" s="9"/>
      <c r="D3" s="9"/>
      <c r="E3" s="9"/>
      <c r="F3" s="10" t="s">
        <v>0</v>
      </c>
      <c r="G3" s="10"/>
      <c r="H3" s="10"/>
      <c r="I3" s="11" t="str">
        <f aca="false">IFERROR(TEXT($L$2,"0000"),"")</f>
        <v>0001</v>
      </c>
      <c r="J3" s="11"/>
      <c r="K3" s="5"/>
      <c r="L3" s="5"/>
    </row>
    <row r="4" customFormat="false" ht="7.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customFormat="false" ht="25.5" hidden="false" customHeight="true" outlineLevel="0" collapsed="false">
      <c r="A5" s="5"/>
      <c r="B5" s="12" t="s">
        <v>59</v>
      </c>
      <c r="C5" s="12"/>
      <c r="D5" s="12"/>
      <c r="E5" s="12"/>
      <c r="F5" s="12"/>
      <c r="G5" s="12"/>
      <c r="H5" s="12"/>
      <c r="I5" s="12"/>
      <c r="J5" s="12"/>
      <c r="K5" s="5"/>
      <c r="L5" s="5"/>
    </row>
    <row r="6" customFormat="false" ht="21.75" hidden="false" customHeight="true" outlineLevel="0" collapsed="false">
      <c r="A6" s="5"/>
      <c r="B6" s="13" t="s">
        <v>2</v>
      </c>
      <c r="C6" s="14" t="str">
        <f aca="false">IFERROR(IF(VLOOKUP($L$2,계약리스트!$A$2:$AD$10000,3,0)="","",VLOOKUP($L$2,계약리스트!$A$2:$AD$10000,3,0)),"")</f>
        <v>PCX125</v>
      </c>
      <c r="D6" s="14"/>
      <c r="E6" s="13" t="s">
        <v>4</v>
      </c>
      <c r="F6" s="14" t="str">
        <f aca="false">IFERROR(IF(VLOOKUP($L$2,계약리스트!$A$2:$AD$10000,5,0)="","",VLOOKUP($L$2,계약리스트!$A$2:$AD$10000,5,0)),"")</f>
        <v>서울바1234</v>
      </c>
      <c r="G6" s="14"/>
      <c r="H6" s="13" t="s">
        <v>5</v>
      </c>
      <c r="I6" s="14" t="str">
        <f aca="false">IFERROR(IF(VLOOKUP($L$2,계약리스트!$A$2:$AD$10000,6,0)="","",VLOOKUP($L$2,계약리스트!$A$2:$AD$10000,6,0)),"")</f>
        <v>블랙</v>
      </c>
      <c r="J6" s="14"/>
      <c r="K6" s="5"/>
      <c r="L6" s="5"/>
    </row>
    <row r="7" customFormat="false" ht="21.75" hidden="false" customHeight="true" outlineLevel="0" collapsed="false">
      <c r="A7" s="5"/>
      <c r="B7" s="13" t="s">
        <v>3</v>
      </c>
      <c r="C7" s="14" t="str">
        <f aca="false">IFERROR(IF(VLOOKUP($L$2,계약리스트!$A$2:$AD$10000,4,0)="","",VLOOKUP($L$2,계약리스트!$A$2:$AD$10000,4,0)),"")</f>
        <v>MLHJF81H2ST000001</v>
      </c>
      <c r="D7" s="14"/>
      <c r="E7" s="13" t="s">
        <v>60</v>
      </c>
      <c r="F7" s="15" t="s">
        <v>61</v>
      </c>
      <c r="G7" s="15"/>
      <c r="H7" s="13" t="s">
        <v>1</v>
      </c>
      <c r="I7" s="14" t="str">
        <f aca="false">IFERROR(IF(VLOOKUP($L$2,계약리스트!$A$2:$AD$10000,2,0)="","",VLOOKUP($L$2,계약리스트!$A$2:$AD$10000,2,0)),"")</f>
        <v>2026-04-23</v>
      </c>
      <c r="J7" s="14"/>
      <c r="K7" s="5"/>
      <c r="L7" s="5"/>
    </row>
    <row r="8" customFormat="false" ht="7.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customFormat="false" ht="25.5" hidden="false" customHeight="true" outlineLevel="0" collapsed="false">
      <c r="A9" s="5"/>
      <c r="B9" s="12" t="s">
        <v>62</v>
      </c>
      <c r="C9" s="12"/>
      <c r="D9" s="12"/>
      <c r="E9" s="12"/>
      <c r="F9" s="12"/>
      <c r="G9" s="12"/>
      <c r="H9" s="12"/>
      <c r="I9" s="12"/>
      <c r="J9" s="12"/>
      <c r="K9" s="5"/>
      <c r="L9" s="5"/>
    </row>
    <row r="10" customFormat="false" ht="21.75" hidden="false" customHeight="true" outlineLevel="0" collapsed="false">
      <c r="A10" s="5"/>
      <c r="B10" s="13" t="s">
        <v>63</v>
      </c>
      <c r="C10" s="14" t="str">
        <f aca="false">IFERROR(IF(VLOOKUP($L$2,계약리스트!$A$2:$AD$10000,10,0)="","",VLOOKUP($L$2,계약리스트!$A$2:$AD$10000,10,0)),"")</f>
        <v>홍길동</v>
      </c>
      <c r="D10" s="14"/>
      <c r="E10" s="13" t="s">
        <v>64</v>
      </c>
      <c r="F10" s="14" t="str">
        <f aca="false">IFERROR(IF(VLOOKUP($L$2,계약리스트!$A$2:$AD$10000,11,0)="","",VLOOKUP($L$2,계약리스트!$A$2:$AD$10000,11,0)),"")</f>
        <v>900101-1234567</v>
      </c>
      <c r="G10" s="14"/>
      <c r="H10" s="13" t="s">
        <v>65</v>
      </c>
      <c r="I10" s="14" t="str">
        <f aca="false">IFERROR(IF(VLOOKUP($L$2,계약리스트!$A$2:$AD$10000,12,0)="","",VLOOKUP($L$2,계약리스트!$A$2:$AD$10000,12,0)),"")</f>
        <v>010-1234-5678</v>
      </c>
      <c r="J10" s="14"/>
      <c r="K10" s="5"/>
      <c r="L10" s="5"/>
    </row>
    <row r="11" customFormat="false" ht="21.75" hidden="false" customHeight="true" outlineLevel="0" collapsed="false">
      <c r="A11" s="5"/>
      <c r="B11" s="13" t="s">
        <v>66</v>
      </c>
      <c r="C11" s="14" t="str">
        <f aca="false">IFERROR(IF(VLOOKUP($L$2,계약리스트!$A$2:$AD$10000,13,0)="","",VLOOKUP($L$2,계약리스트!$A$2:$AD$10000,13,0)),"")</f>
        <v>rider@example.com</v>
      </c>
      <c r="D11" s="14"/>
      <c r="E11" s="13" t="s">
        <v>67</v>
      </c>
      <c r="F11" s="15" t="str">
        <f aca="false">IFERROR(IF(VLOOKUP($L$2,계약리스트!$A$2:$AD$10000,17,0)="","",VLOOKUP($L$2,계약리스트!$A$2:$AD$10000,17,0)),"")</f>
        <v>배달 라이더</v>
      </c>
      <c r="G11" s="15"/>
      <c r="H11" s="15"/>
      <c r="I11" s="15"/>
      <c r="J11" s="15"/>
      <c r="K11" s="5"/>
      <c r="L11" s="5"/>
    </row>
    <row r="12" customFormat="false" ht="21.75" hidden="false" customHeight="true" outlineLevel="0" collapsed="false">
      <c r="A12" s="5"/>
      <c r="B12" s="13" t="s">
        <v>68</v>
      </c>
      <c r="C12" s="15" t="str">
        <f aca="false">IFERROR(IF(VLOOKUP($L$2,계약리스트!$A$2:$AD$10000,14,0)="","",VLOOKUP($L$2,계약리스트!$A$2:$AD$10000,14,0)),"")</f>
        <v>서울시 강남구 테헤란로 123</v>
      </c>
      <c r="D12" s="15"/>
      <c r="E12" s="15"/>
      <c r="F12" s="15"/>
      <c r="G12" s="15"/>
      <c r="H12" s="15"/>
      <c r="I12" s="15"/>
      <c r="J12" s="15"/>
      <c r="K12" s="5"/>
      <c r="L12" s="5"/>
    </row>
    <row r="13" customFormat="false" ht="21.75" hidden="false" customHeight="true" outlineLevel="0" collapsed="false">
      <c r="A13" s="5"/>
      <c r="B13" s="13" t="s">
        <v>69</v>
      </c>
      <c r="C13" s="14" t="str">
        <f aca="false">IFERROR(IF(VLOOKUP($L$2,계약리스트!$A$2:$AD$10000,15,0)="","",VLOOKUP($L$2,계약리스트!$A$2:$AD$10000,15,0)),"")</f>
        <v>국민은행</v>
      </c>
      <c r="D13" s="14"/>
      <c r="E13" s="13" t="s">
        <v>70</v>
      </c>
      <c r="F13" s="15" t="str">
        <f aca="false">IFERROR(IF(VLOOKUP($L$2,계약리스트!$A$2:$AD$10000,16,0)="","",VLOOKUP($L$2,계약리스트!$A$2:$AD$10000,16,0)),"")</f>
        <v>123456-78-901234</v>
      </c>
      <c r="G13" s="15"/>
      <c r="H13" s="15"/>
      <c r="I13" s="15"/>
      <c r="J13" s="15"/>
      <c r="K13" s="5"/>
      <c r="L13" s="5"/>
    </row>
    <row r="14" customFormat="false" ht="19.5" hidden="false" customHeight="true" outlineLevel="0" collapsed="false">
      <c r="A14" s="5"/>
      <c r="B14" s="16" t="s">
        <v>71</v>
      </c>
      <c r="C14" s="16"/>
      <c r="D14" s="16"/>
      <c r="E14" s="16"/>
      <c r="F14" s="16"/>
      <c r="G14" s="16"/>
      <c r="H14" s="16"/>
      <c r="I14" s="16"/>
      <c r="J14" s="16"/>
      <c r="K14" s="5"/>
      <c r="L14" s="5"/>
    </row>
    <row r="15" customFormat="false" ht="7.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customFormat="false" ht="25.5" hidden="false" customHeight="true" outlineLevel="0" collapsed="false">
      <c r="A16" s="5"/>
      <c r="B16" s="12" t="s">
        <v>72</v>
      </c>
      <c r="C16" s="12"/>
      <c r="D16" s="12"/>
      <c r="E16" s="12"/>
      <c r="F16" s="12"/>
      <c r="G16" s="12"/>
      <c r="H16" s="12"/>
      <c r="I16" s="12"/>
      <c r="J16" s="12"/>
      <c r="K16" s="5"/>
      <c r="L16" s="5"/>
    </row>
    <row r="17" customFormat="false" ht="21.75" hidden="false" customHeight="true" outlineLevel="0" collapsed="false">
      <c r="A17" s="5"/>
      <c r="B17" s="13" t="s">
        <v>73</v>
      </c>
      <c r="C17" s="14" t="str">
        <f aca="false">IFERROR(IF(VLOOKUP($L$2,계약리스트!$A$2:$AD$10000,18,0)="","",VLOOKUP($L$2,계약리스트!$A$2:$AD$10000,18,0)),"")</f>
        <v>(주)퀵배달</v>
      </c>
      <c r="D17" s="14"/>
      <c r="E17" s="13" t="s">
        <v>74</v>
      </c>
      <c r="F17" s="14" t="str">
        <f aca="false">IFERROR(IF(VLOOKUP($L$2,계약리스트!$A$2:$AD$10000,19,0)="","",VLOOKUP($L$2,계약리스트!$A$2:$AD$10000,19,0)),"")</f>
        <v>123-45-67890</v>
      </c>
      <c r="G17" s="14"/>
      <c r="H17" s="13" t="s">
        <v>66</v>
      </c>
      <c r="I17" s="14" t="str">
        <f aca="false">IFERROR(IF(VLOOKUP($L$2,계약리스트!$A$2:$AD$10000,25,0)="","",VLOOKUP($L$2,계약리스트!$A$2:$AD$10000,25,0)),"")</f>
        <v>biz@example.com</v>
      </c>
      <c r="J17" s="14"/>
      <c r="K17" s="5"/>
      <c r="L17" s="5"/>
    </row>
    <row r="18" customFormat="false" ht="21.75" hidden="false" customHeight="true" outlineLevel="0" collapsed="false">
      <c r="A18" s="5"/>
      <c r="B18" s="13" t="s">
        <v>75</v>
      </c>
      <c r="C18" s="14" t="str">
        <f aca="false">IFERROR(IF(VLOOKUP($L$2,계약리스트!$A$2:$AD$10000,20,0)="","",VLOOKUP($L$2,계약리스트!$A$2:$AD$10000,20,0)),"")</f>
        <v>김대표</v>
      </c>
      <c r="D18" s="14"/>
      <c r="E18" s="13" t="s">
        <v>76</v>
      </c>
      <c r="F18" s="14" t="str">
        <f aca="false">IFERROR(IF(VLOOKUP($L$2,계약리스트!$A$2:$AD$10000,21,0)="","",VLOOKUP($L$2,계약리스트!$A$2:$AD$10000,21,0)),"")</f>
        <v>700101-1234567</v>
      </c>
      <c r="G18" s="14"/>
      <c r="H18" s="13" t="s">
        <v>77</v>
      </c>
      <c r="I18" s="14" t="str">
        <f aca="false">IFERROR(IF(VLOOKUP($L$2,계약리스트!$A$2:$AD$10000,22,0)="","",VLOOKUP($L$2,계약리스트!$A$2:$AD$10000,22,0)),"")</f>
        <v>010-9876-5432</v>
      </c>
      <c r="J18" s="14"/>
      <c r="K18" s="5"/>
      <c r="L18" s="5"/>
    </row>
    <row r="19" customFormat="false" ht="21.75" hidden="false" customHeight="true" outlineLevel="0" collapsed="false">
      <c r="A19" s="5"/>
      <c r="B19" s="13" t="s">
        <v>78</v>
      </c>
      <c r="C19" s="15" t="str">
        <f aca="false">IFERROR(IF(VLOOKUP($L$2,계약리스트!$A$2:$AD$10000,23,0)="","",VLOOKUP($L$2,계약리스트!$A$2:$AD$10000,23,0)),"")</f>
        <v>서울시 강남구 봉은사로 100</v>
      </c>
      <c r="D19" s="15"/>
      <c r="E19" s="15"/>
      <c r="F19" s="15"/>
      <c r="G19" s="15"/>
      <c r="H19" s="15"/>
      <c r="I19" s="15"/>
      <c r="J19" s="15"/>
      <c r="K19" s="5"/>
      <c r="L19" s="5"/>
    </row>
    <row r="20" customFormat="false" ht="21.75" hidden="false" customHeight="true" outlineLevel="0" collapsed="false">
      <c r="A20" s="5"/>
      <c r="B20" s="13" t="s">
        <v>79</v>
      </c>
      <c r="C20" s="15" t="str">
        <f aca="false">IFERROR(IF(VLOOKUP($L$2,계약리스트!$A$2:$AD$10000,24,0)="","",VLOOKUP($L$2,계약리스트!$A$2:$AD$10000,24,0)),"")</f>
        <v>서울시 송파구 잠실동 200</v>
      </c>
      <c r="D20" s="15"/>
      <c r="E20" s="15"/>
      <c r="F20" s="15"/>
      <c r="G20" s="15"/>
      <c r="H20" s="15"/>
      <c r="I20" s="15"/>
      <c r="J20" s="15"/>
      <c r="K20" s="5"/>
      <c r="L20" s="5"/>
    </row>
    <row r="21" customFormat="false" ht="21.75" hidden="false" customHeight="true" outlineLevel="0" collapsed="false">
      <c r="A21" s="5"/>
      <c r="B21" s="16" t="s">
        <v>80</v>
      </c>
      <c r="C21" s="16"/>
      <c r="D21" s="16"/>
      <c r="E21" s="16"/>
      <c r="F21" s="16"/>
      <c r="G21" s="16"/>
      <c r="H21" s="16"/>
      <c r="I21" s="16"/>
      <c r="J21" s="16"/>
      <c r="K21" s="5"/>
      <c r="L21" s="5"/>
    </row>
    <row r="22" customFormat="false" ht="7.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customFormat="false" ht="25.5" hidden="false" customHeight="true" outlineLevel="0" collapsed="false">
      <c r="A23" s="5"/>
      <c r="B23" s="12" t="s">
        <v>81</v>
      </c>
      <c r="C23" s="12"/>
      <c r="D23" s="12"/>
      <c r="E23" s="12"/>
      <c r="F23" s="12"/>
      <c r="G23" s="12"/>
      <c r="H23" s="12"/>
      <c r="I23" s="12"/>
      <c r="J23" s="12"/>
      <c r="K23" s="5"/>
      <c r="L23" s="5"/>
    </row>
    <row r="24" customFormat="false" ht="21.75" hidden="false" customHeight="true" outlineLevel="0" collapsed="false">
      <c r="A24" s="5"/>
      <c r="B24" s="13" t="s">
        <v>25</v>
      </c>
      <c r="C24" s="14" t="str">
        <f aca="false">IFERROR(IF(VLOOKUP($L$2,계약리스트!$A$2:$AD$10000,26,0)="","",VLOOKUP($L$2,계약리스트!$A$2:$AD$10000,26,0)),"")</f>
        <v>할부 판매</v>
      </c>
      <c r="D24" s="14"/>
      <c r="E24" s="13" t="s">
        <v>26</v>
      </c>
      <c r="F24" s="14" t="str">
        <f aca="false">IFERROR(IF(VLOOKUP($L$2,계약리스트!$A$2:$AD$10000,27,0)="","",VLOOKUP($L$2,계약리스트!$A$2:$AD$10000,27,0)),"")</f>
        <v>인수형</v>
      </c>
      <c r="G24" s="14"/>
      <c r="H24" s="13" t="s">
        <v>82</v>
      </c>
      <c r="I24" s="14" t="str">
        <f aca="false">IFERROR(VLOOKUP($L$2,계약리스트!$A$2:$AD$10000,8,0)&amp;"일","")</f>
        <v>365일</v>
      </c>
      <c r="J24" s="14"/>
      <c r="K24" s="5"/>
      <c r="L24" s="5"/>
    </row>
    <row r="25" customFormat="false" ht="21.75" hidden="false" customHeight="true" outlineLevel="0" collapsed="false">
      <c r="A25" s="5"/>
      <c r="B25" s="13" t="s">
        <v>83</v>
      </c>
      <c r="C25" s="14" t="str">
        <f aca="false">IFERROR(TEXT(VLOOKUP($L$2,계약리스트!$A$2:$AD$10000,7,0),"#,##0")&amp;" 원","")</f>
        <v>12,000 원</v>
      </c>
      <c r="D25" s="14"/>
      <c r="E25" s="13" t="s">
        <v>8</v>
      </c>
      <c r="F25" s="14" t="str">
        <f aca="false">IFERROR(TEXT(VLOOKUP($L$2,계약리스트!$A$2:$AD$10000,9,0),"#,##0")&amp;" 원","")</f>
        <v>300,000 원</v>
      </c>
      <c r="G25" s="14"/>
      <c r="H25" s="13" t="s">
        <v>29</v>
      </c>
      <c r="I25" s="14" t="str">
        <f aca="false">IFERROR(IF(VLOOKUP($L$2,계약리스트!$A$2:$AD$10000,30,0)="","",VLOOKUP($L$2,계약리스트!$A$2:$AD$10000,30,0)),"")</f>
        <v>월2회(15일, 말일)</v>
      </c>
      <c r="J25" s="14"/>
      <c r="K25" s="5"/>
      <c r="L25" s="5"/>
    </row>
    <row r="26" customFormat="false" ht="21.75" hidden="false" customHeight="true" outlineLevel="0" collapsed="false">
      <c r="A26" s="5"/>
      <c r="B26" s="13" t="s">
        <v>27</v>
      </c>
      <c r="C26" s="14" t="str">
        <f aca="false">IFERROR(IF(VLOOKUP($L$2,계약리스트!$A$2:$AD$10000,28,0)="","",VLOOKUP($L$2,계약리스트!$A$2:$AD$10000,28,0)),"")</f>
        <v>계좌이체</v>
      </c>
      <c r="D26" s="14"/>
      <c r="E26" s="13" t="s">
        <v>84</v>
      </c>
      <c r="F26" s="15" t="s">
        <v>85</v>
      </c>
      <c r="G26" s="15"/>
      <c r="H26" s="15"/>
      <c r="I26" s="15"/>
      <c r="J26" s="15"/>
      <c r="K26" s="5"/>
      <c r="L26" s="5"/>
    </row>
    <row r="27" customFormat="false" ht="21.75" hidden="false" customHeight="true" outlineLevel="0" collapsed="false">
      <c r="A27" s="5"/>
      <c r="B27" s="13" t="s">
        <v>28</v>
      </c>
      <c r="C27" s="15" t="str">
        <f aca="false">IFERROR(IF(VLOOKUP($L$2,계약리스트!$A$2:$AD$10000,29,0)="","",VLOOKUP($L$2,계약리스트!$A$2:$AD$10000,29,0)),"")</f>
        <v>기업은행 929-028519-04-010</v>
      </c>
      <c r="D27" s="15"/>
      <c r="E27" s="15"/>
      <c r="F27" s="15"/>
      <c r="G27" s="15"/>
      <c r="H27" s="15"/>
      <c r="I27" s="15"/>
      <c r="J27" s="15"/>
      <c r="K27" s="5"/>
      <c r="L27" s="5"/>
    </row>
    <row r="28" customFormat="false" ht="7.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customFormat="false" ht="25.5" hidden="false" customHeight="true" outlineLevel="0" collapsed="false">
      <c r="A29" s="5"/>
      <c r="B29" s="12" t="s">
        <v>86</v>
      </c>
      <c r="C29" s="12"/>
      <c r="D29" s="12"/>
      <c r="E29" s="12"/>
      <c r="F29" s="12"/>
      <c r="G29" s="12"/>
      <c r="H29" s="12"/>
      <c r="I29" s="12"/>
      <c r="J29" s="12"/>
      <c r="K29" s="5"/>
      <c r="L29" s="5"/>
    </row>
    <row r="30" customFormat="false" ht="21.75" hidden="false" customHeight="true" outlineLevel="0" collapsed="false">
      <c r="A30" s="5"/>
      <c r="B30" s="13" t="s">
        <v>87</v>
      </c>
      <c r="C30" s="15" t="s">
        <v>58</v>
      </c>
      <c r="D30" s="15"/>
      <c r="E30" s="13" t="s">
        <v>74</v>
      </c>
      <c r="F30" s="14" t="s">
        <v>88</v>
      </c>
      <c r="G30" s="14"/>
      <c r="H30" s="13" t="s">
        <v>89</v>
      </c>
      <c r="I30" s="15" t="s">
        <v>90</v>
      </c>
      <c r="J30" s="15"/>
      <c r="K30" s="5"/>
      <c r="L30" s="5"/>
    </row>
    <row r="31" customFormat="false" ht="21.75" hidden="false" customHeight="true" outlineLevel="0" collapsed="false">
      <c r="A31" s="5"/>
      <c r="B31" s="13" t="s">
        <v>68</v>
      </c>
      <c r="C31" s="15" t="s">
        <v>91</v>
      </c>
      <c r="D31" s="15"/>
      <c r="E31" s="15"/>
      <c r="F31" s="15"/>
      <c r="G31" s="13" t="s">
        <v>92</v>
      </c>
      <c r="H31" s="14" t="s">
        <v>93</v>
      </c>
      <c r="I31" s="14"/>
      <c r="J31" s="14"/>
      <c r="K31" s="5"/>
      <c r="L31" s="5"/>
    </row>
    <row r="32" customFormat="false" ht="7.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customFormat="false" ht="25.5" hidden="false" customHeight="true" outlineLevel="0" collapsed="false">
      <c r="A33" s="5"/>
      <c r="B33" s="12" t="s">
        <v>94</v>
      </c>
      <c r="C33" s="12"/>
      <c r="D33" s="12"/>
      <c r="E33" s="12"/>
      <c r="F33" s="12"/>
      <c r="G33" s="12"/>
      <c r="H33" s="12"/>
      <c r="I33" s="12"/>
      <c r="J33" s="12"/>
      <c r="K33" s="5"/>
      <c r="L33" s="5"/>
    </row>
    <row r="34" customFormat="false" ht="27.75" hidden="false" customHeight="true" outlineLevel="0" collapsed="false">
      <c r="A34" s="5"/>
      <c r="B34" s="17" t="s">
        <v>95</v>
      </c>
      <c r="C34" s="17"/>
      <c r="D34" s="17"/>
      <c r="E34" s="17"/>
      <c r="F34" s="17"/>
      <c r="G34" s="17"/>
      <c r="H34" s="17"/>
      <c r="I34" s="17"/>
      <c r="J34" s="17"/>
      <c r="K34" s="5"/>
      <c r="L34" s="5"/>
    </row>
    <row r="35" customFormat="false" ht="27.75" hidden="false" customHeight="true" outlineLevel="0" collapsed="false">
      <c r="A35" s="5"/>
      <c r="B35" s="18" t="s">
        <v>96</v>
      </c>
      <c r="C35" s="18"/>
      <c r="D35" s="18"/>
      <c r="E35" s="18"/>
      <c r="F35" s="18"/>
      <c r="G35" s="18"/>
      <c r="H35" s="18"/>
      <c r="I35" s="18"/>
      <c r="J35" s="18"/>
      <c r="K35" s="5"/>
      <c r="L35" s="5"/>
    </row>
    <row r="36" customFormat="false" ht="27.75" hidden="false" customHeight="true" outlineLevel="0" collapsed="false">
      <c r="A36" s="5"/>
      <c r="B36" s="17" t="s">
        <v>97</v>
      </c>
      <c r="C36" s="17"/>
      <c r="D36" s="17"/>
      <c r="E36" s="17"/>
      <c r="F36" s="17"/>
      <c r="G36" s="17"/>
      <c r="H36" s="17"/>
      <c r="I36" s="17"/>
      <c r="J36" s="17"/>
      <c r="K36" s="5"/>
      <c r="L36" s="5"/>
    </row>
    <row r="37" customFormat="false" ht="27.75" hidden="false" customHeight="true" outlineLevel="0" collapsed="false">
      <c r="A37" s="5"/>
      <c r="B37" s="18" t="s">
        <v>98</v>
      </c>
      <c r="C37" s="18"/>
      <c r="D37" s="18"/>
      <c r="E37" s="18"/>
      <c r="F37" s="18"/>
      <c r="G37" s="18"/>
      <c r="H37" s="18"/>
      <c r="I37" s="18"/>
      <c r="J37" s="18"/>
      <c r="K37" s="5"/>
      <c r="L37" s="5"/>
    </row>
    <row r="38" customFormat="false" ht="27.75" hidden="false" customHeight="true" outlineLevel="0" collapsed="false">
      <c r="A38" s="5"/>
      <c r="B38" s="17" t="s">
        <v>99</v>
      </c>
      <c r="C38" s="17"/>
      <c r="D38" s="17"/>
      <c r="E38" s="17"/>
      <c r="F38" s="17"/>
      <c r="G38" s="17"/>
      <c r="H38" s="17"/>
      <c r="I38" s="17"/>
      <c r="J38" s="17"/>
      <c r="K38" s="5"/>
      <c r="L38" s="5"/>
    </row>
    <row r="39" customFormat="false" ht="7.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customFormat="false" ht="25.5" hidden="false" customHeight="true" outlineLevel="0" collapsed="false">
      <c r="A40" s="5"/>
      <c r="B40" s="12" t="s">
        <v>100</v>
      </c>
      <c r="C40" s="12"/>
      <c r="D40" s="12"/>
      <c r="E40" s="12"/>
      <c r="F40" s="12"/>
      <c r="G40" s="12"/>
      <c r="H40" s="12"/>
      <c r="I40" s="12"/>
      <c r="J40" s="12"/>
      <c r="K40" s="5"/>
      <c r="L40" s="5"/>
    </row>
    <row r="41" customFormat="false" ht="27.75" hidden="false" customHeight="true" outlineLevel="0" collapsed="false">
      <c r="A41" s="5"/>
      <c r="B41" s="13" t="s">
        <v>101</v>
      </c>
      <c r="C41" s="13"/>
      <c r="D41" s="19" t="s">
        <v>102</v>
      </c>
      <c r="E41" s="19"/>
      <c r="F41" s="19"/>
      <c r="G41" s="19"/>
      <c r="H41" s="19"/>
      <c r="I41" s="19"/>
      <c r="J41" s="19"/>
      <c r="K41" s="5"/>
      <c r="L41" s="5"/>
    </row>
    <row r="42" customFormat="false" ht="27.75" hidden="false" customHeight="true" outlineLevel="0" collapsed="false">
      <c r="A42" s="5"/>
      <c r="B42" s="13" t="s">
        <v>103</v>
      </c>
      <c r="C42" s="13"/>
      <c r="D42" s="19" t="s">
        <v>104</v>
      </c>
      <c r="E42" s="19"/>
      <c r="F42" s="19"/>
      <c r="G42" s="19"/>
      <c r="H42" s="19"/>
      <c r="I42" s="19"/>
      <c r="J42" s="19"/>
      <c r="K42" s="5"/>
      <c r="L42" s="5"/>
    </row>
    <row r="43" customFormat="false" ht="27.75" hidden="false" customHeight="true" outlineLevel="0" collapsed="false">
      <c r="A43" s="5"/>
      <c r="B43" s="13" t="s">
        <v>105</v>
      </c>
      <c r="C43" s="13"/>
      <c r="D43" s="19" t="s">
        <v>106</v>
      </c>
      <c r="E43" s="19"/>
      <c r="F43" s="19"/>
      <c r="G43" s="19"/>
      <c r="H43" s="19"/>
      <c r="I43" s="19"/>
      <c r="J43" s="19"/>
      <c r="K43" s="5"/>
      <c r="L43" s="5"/>
    </row>
    <row r="44" customFormat="false" ht="27.75" hidden="false" customHeight="true" outlineLevel="0" collapsed="false">
      <c r="A44" s="5"/>
      <c r="B44" s="13" t="s">
        <v>107</v>
      </c>
      <c r="C44" s="13"/>
      <c r="D44" s="19" t="s">
        <v>108</v>
      </c>
      <c r="E44" s="19"/>
      <c r="F44" s="19"/>
      <c r="G44" s="19"/>
      <c r="H44" s="19"/>
      <c r="I44" s="19"/>
      <c r="J44" s="19"/>
      <c r="K44" s="5"/>
      <c r="L44" s="5"/>
    </row>
    <row r="45" customFormat="false" ht="27.75" hidden="false" customHeight="true" outlineLevel="0" collapsed="false">
      <c r="A45" s="5"/>
      <c r="B45" s="13" t="s">
        <v>109</v>
      </c>
      <c r="C45" s="13"/>
      <c r="D45" s="19" t="s">
        <v>110</v>
      </c>
      <c r="E45" s="19"/>
      <c r="F45" s="19"/>
      <c r="G45" s="19"/>
      <c r="H45" s="19"/>
      <c r="I45" s="19"/>
      <c r="J45" s="19"/>
      <c r="K45" s="5"/>
      <c r="L45" s="5"/>
    </row>
    <row r="46" customFormat="false" ht="27.75" hidden="false" customHeight="true" outlineLevel="0" collapsed="false">
      <c r="A46" s="5"/>
      <c r="B46" s="13" t="s">
        <v>111</v>
      </c>
      <c r="C46" s="13"/>
      <c r="D46" s="19" t="s">
        <v>112</v>
      </c>
      <c r="E46" s="19"/>
      <c r="F46" s="19"/>
      <c r="G46" s="19"/>
      <c r="H46" s="19"/>
      <c r="I46" s="19"/>
      <c r="J46" s="19"/>
      <c r="K46" s="5"/>
      <c r="L46" s="5"/>
    </row>
    <row r="47" customFormat="false" ht="25.5" hidden="false" customHeight="true" outlineLevel="0" collapsed="false">
      <c r="A47" s="5"/>
      <c r="B47" s="20" t="s">
        <v>113</v>
      </c>
      <c r="C47" s="20"/>
      <c r="D47" s="20"/>
      <c r="E47" s="20"/>
      <c r="F47" s="20"/>
      <c r="G47" s="20"/>
      <c r="H47" s="20"/>
      <c r="I47" s="20"/>
      <c r="J47" s="20"/>
      <c r="K47" s="5"/>
      <c r="L47" s="5"/>
    </row>
    <row r="48" customFormat="false" ht="12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customFormat="false" ht="25.5" hidden="false" customHeight="true" outlineLevel="0" collapsed="false">
      <c r="A49" s="5"/>
      <c r="B49" s="12" t="s">
        <v>114</v>
      </c>
      <c r="C49" s="12"/>
      <c r="D49" s="12"/>
      <c r="E49" s="12"/>
      <c r="F49" s="12"/>
      <c r="G49" s="12"/>
      <c r="H49" s="12"/>
      <c r="I49" s="12"/>
      <c r="J49" s="12"/>
      <c r="K49" s="5"/>
      <c r="L49" s="5"/>
    </row>
    <row r="50" customFormat="false" ht="31.5" hidden="false" customHeight="true" outlineLevel="0" collapsed="false">
      <c r="A50" s="5"/>
      <c r="B50" s="21" t="s">
        <v>115</v>
      </c>
      <c r="C50" s="21"/>
      <c r="D50" s="21"/>
      <c r="E50" s="21"/>
      <c r="F50" s="21"/>
      <c r="G50" s="21"/>
      <c r="H50" s="21"/>
      <c r="I50" s="21"/>
      <c r="J50" s="21"/>
      <c r="K50" s="5"/>
      <c r="L50" s="5"/>
    </row>
    <row r="51" customFormat="false" ht="48" hidden="false" customHeight="true" outlineLevel="0" collapsed="false">
      <c r="A51" s="5"/>
      <c r="B51" s="13" t="s">
        <v>116</v>
      </c>
      <c r="C51" s="14" t="str">
        <f aca="false">IFERROR(IF(VLOOKUP($L$2,계약리스트!$A$2:$AD$10000,10,0)="","",VLOOKUP($L$2,계약리스트!$A$2:$AD$10000,10,0)),"")</f>
        <v>홍길동</v>
      </c>
      <c r="D51" s="14"/>
      <c r="E51" s="14"/>
      <c r="F51" s="22" t="s">
        <v>117</v>
      </c>
      <c r="G51" s="13" t="s">
        <v>118</v>
      </c>
      <c r="H51" s="14" t="str">
        <f aca="false">IFERROR(IF(VLOOKUP($L$2,계약리스트!$A$2:$AD$10000,18,0)="","",VLOOKUP($L$2,계약리스트!$A$2:$AD$10000,18,0)),"")</f>
        <v>(주)퀵배달</v>
      </c>
      <c r="I51" s="14"/>
      <c r="J51" s="22" t="s">
        <v>117</v>
      </c>
      <c r="K51" s="5"/>
      <c r="L51" s="5"/>
    </row>
    <row r="52" customFormat="false" ht="24" hidden="false" customHeight="true" outlineLevel="0" collapsed="false">
      <c r="A52" s="5"/>
      <c r="B52" s="13" t="s">
        <v>119</v>
      </c>
      <c r="C52" s="14" t="str">
        <f aca="false">IFERROR(TEXT(VLOOKUP($L$2,계약리스트!$A$2:$AD$10000,2,0),"yyyy년 m월 d일"),"")</f>
        <v>2026년 4월 23일</v>
      </c>
      <c r="D52" s="14"/>
      <c r="E52" s="14"/>
      <c r="F52" s="13" t="s">
        <v>120</v>
      </c>
      <c r="G52" s="13"/>
      <c r="H52" s="15" t="s">
        <v>58</v>
      </c>
      <c r="I52" s="15"/>
      <c r="J52" s="22" t="s">
        <v>117</v>
      </c>
      <c r="K52" s="5"/>
      <c r="L52" s="5"/>
    </row>
    <row r="53" customFormat="false" ht="1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customFormat="false" ht="1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customFormat="false" ht="1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customFormat="false" ht="1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customFormat="false" ht="1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customFormat="false" ht="1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customFormat="false" ht="1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customFormat="false" ht="1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customFormat="false" ht="1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customFormat="false" ht="1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customFormat="false" ht="1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customFormat="false" ht="1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customFormat="false" ht="1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customFormat="false" ht="1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customFormat="false" ht="1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customFormat="false" ht="1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customFormat="false" ht="1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customFormat="false" ht="1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customFormat="false" ht="1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customFormat="false" ht="1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customFormat="false" ht="1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customFormat="false" ht="1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customFormat="false" ht="1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customFormat="false" ht="1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customFormat="false" ht="1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customFormat="false" ht="1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customFormat="false" ht="1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customFormat="false" ht="1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customFormat="false" ht="1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customFormat="false" ht="1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customFormat="false" ht="1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customFormat="false" ht="1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customFormat="false" ht="1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customFormat="false" ht="1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customFormat="false" ht="1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customFormat="false" ht="1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customFormat="false" ht="1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customFormat="false" ht="1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customFormat="false" ht="1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customFormat="false" ht="1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customFormat="false" ht="1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customFormat="false" ht="1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customFormat="false" ht="1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customFormat="false" ht="1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customFormat="false" ht="1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customFormat="false" ht="1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customFormat="false" ht="1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customFormat="false" ht="1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</sheetData>
  <mergeCells count="74">
    <mergeCell ref="B2:J2"/>
    <mergeCell ref="B3:E3"/>
    <mergeCell ref="F3:H3"/>
    <mergeCell ref="I3:J3"/>
    <mergeCell ref="B5:J5"/>
    <mergeCell ref="C6:D6"/>
    <mergeCell ref="F6:G6"/>
    <mergeCell ref="I6:J6"/>
    <mergeCell ref="C7:D7"/>
    <mergeCell ref="F7:G7"/>
    <mergeCell ref="I7:J7"/>
    <mergeCell ref="B9:J9"/>
    <mergeCell ref="C10:D10"/>
    <mergeCell ref="F10:G10"/>
    <mergeCell ref="I10:J10"/>
    <mergeCell ref="C11:D11"/>
    <mergeCell ref="F11:J11"/>
    <mergeCell ref="C12:J12"/>
    <mergeCell ref="C13:D13"/>
    <mergeCell ref="F13:J13"/>
    <mergeCell ref="B14:J14"/>
    <mergeCell ref="B16:J16"/>
    <mergeCell ref="C17:D17"/>
    <mergeCell ref="F17:G17"/>
    <mergeCell ref="I17:J17"/>
    <mergeCell ref="C18:D18"/>
    <mergeCell ref="F18:G18"/>
    <mergeCell ref="I18:J18"/>
    <mergeCell ref="C19:J19"/>
    <mergeCell ref="C20:J20"/>
    <mergeCell ref="B21:J21"/>
    <mergeCell ref="B23:J23"/>
    <mergeCell ref="C24:D24"/>
    <mergeCell ref="F24:G24"/>
    <mergeCell ref="I24:J24"/>
    <mergeCell ref="C25:D25"/>
    <mergeCell ref="F25:G25"/>
    <mergeCell ref="I25:J25"/>
    <mergeCell ref="C26:D26"/>
    <mergeCell ref="F26:J26"/>
    <mergeCell ref="C27:J27"/>
    <mergeCell ref="B29:J29"/>
    <mergeCell ref="C30:D30"/>
    <mergeCell ref="F30:G30"/>
    <mergeCell ref="I30:J30"/>
    <mergeCell ref="C31:F31"/>
    <mergeCell ref="H31:J31"/>
    <mergeCell ref="B33:J33"/>
    <mergeCell ref="B34:J34"/>
    <mergeCell ref="B35:J35"/>
    <mergeCell ref="B36:J36"/>
    <mergeCell ref="B37:J37"/>
    <mergeCell ref="B38:J38"/>
    <mergeCell ref="B40:J40"/>
    <mergeCell ref="B41:C41"/>
    <mergeCell ref="D41:J41"/>
    <mergeCell ref="B42:C42"/>
    <mergeCell ref="D42:J42"/>
    <mergeCell ref="B43:C43"/>
    <mergeCell ref="D43:J43"/>
    <mergeCell ref="B44:C44"/>
    <mergeCell ref="D44:J44"/>
    <mergeCell ref="B45:C45"/>
    <mergeCell ref="D45:J45"/>
    <mergeCell ref="B46:C46"/>
    <mergeCell ref="D46:J46"/>
    <mergeCell ref="B47:J47"/>
    <mergeCell ref="B49:J49"/>
    <mergeCell ref="B50:J50"/>
    <mergeCell ref="C51:E51"/>
    <mergeCell ref="H51:I51"/>
    <mergeCell ref="C52:E52"/>
    <mergeCell ref="F52:G52"/>
    <mergeCell ref="H52:I5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60"/>
    <col collapsed="false" customWidth="true" hidden="false" outlineLevel="0" max="3" min="3" style="0" width="1.51"/>
    <col collapsed="false" customWidth="true" hidden="false" outlineLevel="0" max="4" min="4" style="0" width="60"/>
    <col collapsed="false" customWidth="true" hidden="false" outlineLevel="0" max="5" min="5" style="0" width="1.51"/>
  </cols>
  <sheetData>
    <row r="1" customFormat="false" ht="27.75" hidden="false" customHeight="true" outlineLevel="0" collapsed="false">
      <c r="B1" s="23" t="s">
        <v>121</v>
      </c>
      <c r="C1" s="23"/>
      <c r="D1" s="23"/>
    </row>
    <row r="2" customFormat="false" ht="6" hidden="false" customHeight="true" outlineLevel="0" collapsed="false"/>
    <row r="3" customFormat="false" ht="18" hidden="false" customHeight="true" outlineLevel="0" collapsed="false">
      <c r="B3" s="24" t="s">
        <v>122</v>
      </c>
      <c r="D3" s="24" t="s">
        <v>123</v>
      </c>
    </row>
    <row r="4" customFormat="false" ht="25.5" hidden="false" customHeight="true" outlineLevel="0" collapsed="false">
      <c r="B4" s="25" t="s">
        <v>124</v>
      </c>
      <c r="D4" s="25" t="s">
        <v>125</v>
      </c>
    </row>
    <row r="5" customFormat="false" ht="25.5" hidden="false" customHeight="true" outlineLevel="0" collapsed="false">
      <c r="D5" s="25" t="s">
        <v>126</v>
      </c>
    </row>
    <row r="6" customFormat="false" ht="18" hidden="false" customHeight="true" outlineLevel="0" collapsed="false">
      <c r="B6" s="24" t="s">
        <v>127</v>
      </c>
      <c r="D6" s="25" t="s">
        <v>128</v>
      </c>
    </row>
    <row r="7" customFormat="false" ht="25.5" hidden="false" customHeight="true" outlineLevel="0" collapsed="false">
      <c r="B7" s="26" t="s">
        <v>129</v>
      </c>
      <c r="D7" s="25" t="s">
        <v>130</v>
      </c>
    </row>
    <row r="8" customFormat="false" ht="25.5" hidden="false" customHeight="true" outlineLevel="0" collapsed="false">
      <c r="B8" s="26" t="s">
        <v>131</v>
      </c>
    </row>
    <row r="9" customFormat="false" ht="18" hidden="false" customHeight="true" outlineLevel="0" collapsed="false">
      <c r="B9" s="26" t="s">
        <v>132</v>
      </c>
      <c r="D9" s="24" t="s">
        <v>133</v>
      </c>
    </row>
    <row r="10" customFormat="false" ht="25.5" hidden="false" customHeight="true" outlineLevel="0" collapsed="false">
      <c r="B10" s="26" t="s">
        <v>134</v>
      </c>
      <c r="D10" s="25" t="s">
        <v>135</v>
      </c>
    </row>
    <row r="11" customFormat="false" ht="25.5" hidden="false" customHeight="true" outlineLevel="0" collapsed="false">
      <c r="B11" s="26" t="s">
        <v>136</v>
      </c>
      <c r="D11" s="25" t="s">
        <v>137</v>
      </c>
    </row>
    <row r="12" customFormat="false" ht="36.75" hidden="false" customHeight="true" outlineLevel="0" collapsed="false">
      <c r="B12" s="26" t="s">
        <v>138</v>
      </c>
      <c r="D12" s="25" t="s">
        <v>139</v>
      </c>
    </row>
    <row r="13" customFormat="false" ht="25.5" hidden="false" customHeight="true" outlineLevel="0" collapsed="false">
      <c r="B13" s="26" t="s">
        <v>140</v>
      </c>
      <c r="D13" s="25" t="s">
        <v>141</v>
      </c>
    </row>
    <row r="14" customFormat="false" ht="25.5" hidden="false" customHeight="true" outlineLevel="0" collapsed="false">
      <c r="B14" s="26" t="s">
        <v>142</v>
      </c>
    </row>
    <row r="15" customFormat="false" ht="18" hidden="false" customHeight="true" outlineLevel="0" collapsed="false">
      <c r="B15" s="26" t="s">
        <v>143</v>
      </c>
      <c r="D15" s="24" t="s">
        <v>144</v>
      </c>
    </row>
    <row r="16" customFormat="false" ht="58.5" hidden="false" customHeight="true" outlineLevel="0" collapsed="false">
      <c r="D16" s="25" t="s">
        <v>145</v>
      </c>
    </row>
    <row r="17" customFormat="false" ht="18" hidden="false" customHeight="true" outlineLevel="0" collapsed="false">
      <c r="B17" s="24" t="s">
        <v>146</v>
      </c>
    </row>
    <row r="18" customFormat="false" ht="18" hidden="false" customHeight="true" outlineLevel="0" collapsed="false">
      <c r="B18" s="25" t="s">
        <v>147</v>
      </c>
      <c r="D18" s="24" t="s">
        <v>148</v>
      </c>
    </row>
    <row r="19" customFormat="false" ht="36.75" hidden="false" customHeight="true" outlineLevel="0" collapsed="false">
      <c r="B19" s="25" t="s">
        <v>149</v>
      </c>
      <c r="D19" s="25" t="s">
        <v>150</v>
      </c>
    </row>
    <row r="20" customFormat="false" ht="25.5" hidden="false" customHeight="true" outlineLevel="0" collapsed="false">
      <c r="D20" s="25" t="s">
        <v>151</v>
      </c>
    </row>
    <row r="21" customFormat="false" ht="18" hidden="false" customHeight="true" outlineLevel="0" collapsed="false">
      <c r="B21" s="24" t="s">
        <v>152</v>
      </c>
      <c r="D21" s="25" t="s">
        <v>153</v>
      </c>
    </row>
    <row r="22" customFormat="false" ht="15" hidden="false" customHeight="true" outlineLevel="0" collapsed="false">
      <c r="B22" s="25" t="s">
        <v>154</v>
      </c>
    </row>
    <row r="23" customFormat="false" ht="18" hidden="false" customHeight="true" outlineLevel="0" collapsed="false">
      <c r="B23" s="25" t="s">
        <v>155</v>
      </c>
      <c r="D23" s="24" t="s">
        <v>156</v>
      </c>
    </row>
    <row r="24" customFormat="false" ht="25.5" hidden="false" customHeight="true" outlineLevel="0" collapsed="false">
      <c r="D24" s="25" t="s">
        <v>157</v>
      </c>
    </row>
    <row r="25" customFormat="false" ht="18" hidden="false" customHeight="true" outlineLevel="0" collapsed="false">
      <c r="B25" s="24" t="s">
        <v>158</v>
      </c>
      <c r="D25" s="25" t="s">
        <v>159</v>
      </c>
    </row>
    <row r="26" customFormat="false" ht="36.75" hidden="false" customHeight="true" outlineLevel="0" collapsed="false">
      <c r="B26" s="25" t="s">
        <v>160</v>
      </c>
      <c r="D26" s="25" t="s">
        <v>161</v>
      </c>
    </row>
    <row r="27" customFormat="false" ht="25.5" hidden="false" customHeight="true" outlineLevel="0" collapsed="false">
      <c r="B27" s="25" t="s">
        <v>162</v>
      </c>
      <c r="D27" s="25" t="s">
        <v>163</v>
      </c>
    </row>
    <row r="28" customFormat="false" ht="25.5" hidden="false" customHeight="true" outlineLevel="0" collapsed="false">
      <c r="B28" s="25" t="s">
        <v>164</v>
      </c>
    </row>
    <row r="29" customFormat="false" ht="18" hidden="false" customHeight="true" outlineLevel="0" collapsed="false">
      <c r="B29" s="25" t="s">
        <v>165</v>
      </c>
      <c r="D29" s="24" t="s">
        <v>166</v>
      </c>
    </row>
    <row r="30" customFormat="false" ht="81" hidden="false" customHeight="true" outlineLevel="0" collapsed="false">
      <c r="B30" s="25" t="s">
        <v>167</v>
      </c>
      <c r="D30" s="25" t="s">
        <v>168</v>
      </c>
    </row>
    <row r="31" customFormat="false" ht="25.5" hidden="false" customHeight="true" outlineLevel="0" collapsed="false">
      <c r="B31" s="25" t="s">
        <v>169</v>
      </c>
    </row>
    <row r="32" customFormat="false" ht="18" hidden="false" customHeight="true" outlineLevel="0" collapsed="false">
      <c r="B32" s="25" t="s">
        <v>170</v>
      </c>
      <c r="D32" s="24" t="s">
        <v>171</v>
      </c>
    </row>
    <row r="33" customFormat="false" ht="25.5" hidden="false" customHeight="true" outlineLevel="0" collapsed="false">
      <c r="B33" s="25" t="s">
        <v>172</v>
      </c>
      <c r="D33" s="25" t="s">
        <v>173</v>
      </c>
    </row>
    <row r="34" customFormat="false" ht="15" hidden="false" customHeight="true" outlineLevel="0" collapsed="false">
      <c r="D34" s="25" t="s">
        <v>174</v>
      </c>
    </row>
    <row r="35" customFormat="false" ht="18" hidden="false" customHeight="true" outlineLevel="0" collapsed="false">
      <c r="B35" s="24" t="s">
        <v>175</v>
      </c>
      <c r="D35" s="25" t="s">
        <v>176</v>
      </c>
    </row>
    <row r="36" customFormat="false" ht="15" hidden="false" customHeight="true" outlineLevel="0" collapsed="false">
      <c r="B36" s="25" t="s">
        <v>177</v>
      </c>
    </row>
    <row r="37" customFormat="false" ht="18" hidden="false" customHeight="true" outlineLevel="0" collapsed="false">
      <c r="B37" s="25" t="s">
        <v>178</v>
      </c>
      <c r="D37" s="24" t="s">
        <v>179</v>
      </c>
    </row>
    <row r="38" customFormat="false" ht="25.5" hidden="false" customHeight="true" outlineLevel="0" collapsed="false">
      <c r="B38" s="25" t="s">
        <v>180</v>
      </c>
      <c r="D38" s="25" t="s">
        <v>181</v>
      </c>
    </row>
    <row r="39" customFormat="false" ht="25.5" hidden="false" customHeight="true" outlineLevel="0" collapsed="false">
      <c r="D39" s="25" t="s">
        <v>182</v>
      </c>
    </row>
    <row r="40" customFormat="false" ht="18" hidden="false" customHeight="true" outlineLevel="0" collapsed="false">
      <c r="B40" s="24" t="s">
        <v>183</v>
      </c>
      <c r="D40" s="25" t="s">
        <v>184</v>
      </c>
    </row>
    <row r="41" customFormat="false" ht="36.75" hidden="false" customHeight="true" outlineLevel="0" collapsed="false">
      <c r="B41" s="25" t="s">
        <v>185</v>
      </c>
      <c r="D41" s="25" t="s">
        <v>186</v>
      </c>
    </row>
    <row r="42" customFormat="false" ht="36.75" hidden="false" customHeight="true" outlineLevel="0" collapsed="false">
      <c r="B42" s="25" t="s">
        <v>187</v>
      </c>
    </row>
    <row r="43" customFormat="false" ht="18" hidden="false" customHeight="true" outlineLevel="0" collapsed="false">
      <c r="B43" s="25" t="s">
        <v>188</v>
      </c>
      <c r="D43" s="24" t="s">
        <v>189</v>
      </c>
    </row>
    <row r="44" customFormat="false" ht="25.5" hidden="false" customHeight="true" outlineLevel="0" collapsed="false">
      <c r="B44" s="25" t="s">
        <v>190</v>
      </c>
      <c r="D44" s="25" t="s">
        <v>191</v>
      </c>
    </row>
    <row r="45" customFormat="false" ht="25.5" hidden="false" customHeight="true" outlineLevel="0" collapsed="false">
      <c r="B45" s="25" t="s">
        <v>192</v>
      </c>
      <c r="D45" s="25" t="s">
        <v>193</v>
      </c>
    </row>
    <row r="46" customFormat="false" ht="48" hidden="false" customHeight="true" outlineLevel="0" collapsed="false">
      <c r="B46" s="25" t="s">
        <v>194</v>
      </c>
      <c r="D46" s="25" t="s">
        <v>195</v>
      </c>
    </row>
    <row r="47" customFormat="false" ht="36.75" hidden="false" customHeight="true" outlineLevel="0" collapsed="false">
      <c r="D47" s="25" t="s">
        <v>196</v>
      </c>
    </row>
    <row r="48" customFormat="false" ht="18" hidden="false" customHeight="true" outlineLevel="0" collapsed="false">
      <c r="B48" s="24" t="s">
        <v>197</v>
      </c>
      <c r="D48" s="25" t="s">
        <v>198</v>
      </c>
    </row>
    <row r="49" customFormat="false" ht="25.5" hidden="false" customHeight="true" outlineLevel="0" collapsed="false">
      <c r="B49" s="25" t="s">
        <v>199</v>
      </c>
    </row>
    <row r="50" customFormat="false" ht="18" hidden="false" customHeight="true" outlineLevel="0" collapsed="false">
      <c r="B50" s="25" t="s">
        <v>200</v>
      </c>
      <c r="D50" s="24" t="s">
        <v>201</v>
      </c>
    </row>
    <row r="51" customFormat="false" ht="25.5" hidden="false" customHeight="true" outlineLevel="0" collapsed="false">
      <c r="B51" s="25" t="s">
        <v>202</v>
      </c>
      <c r="D51" s="25" t="s">
        <v>203</v>
      </c>
    </row>
    <row r="52" customFormat="false" ht="25.5" hidden="false" customHeight="true" outlineLevel="0" collapsed="false">
      <c r="B52" s="25" t="s">
        <v>204</v>
      </c>
      <c r="D52" s="25" t="s">
        <v>205</v>
      </c>
    </row>
    <row r="53" customFormat="false" ht="25.5" hidden="false" customHeight="true" outlineLevel="0" collapsed="false">
      <c r="B53" s="25" t="s">
        <v>206</v>
      </c>
      <c r="D53" s="25" t="s">
        <v>207</v>
      </c>
    </row>
    <row r="54" customFormat="false" ht="25.5" hidden="false" customHeight="true" outlineLevel="0" collapsed="false">
      <c r="B54" s="25" t="s">
        <v>208</v>
      </c>
    </row>
    <row r="55" customFormat="false" ht="18" hidden="false" customHeight="true" outlineLevel="0" collapsed="false">
      <c r="D55" s="24" t="s">
        <v>209</v>
      </c>
    </row>
    <row r="56" customFormat="false" ht="18" hidden="false" customHeight="true" outlineLevel="0" collapsed="false">
      <c r="B56" s="24" t="s">
        <v>210</v>
      </c>
      <c r="D56" s="25" t="s">
        <v>211</v>
      </c>
    </row>
    <row r="57" customFormat="false" ht="25.5" hidden="false" customHeight="true" outlineLevel="0" collapsed="false">
      <c r="B57" s="25" t="s">
        <v>212</v>
      </c>
      <c r="D57" s="25" t="s">
        <v>213</v>
      </c>
    </row>
    <row r="58" customFormat="false" ht="25.5" hidden="false" customHeight="true" outlineLevel="0" collapsed="false">
      <c r="B58" s="25" t="s">
        <v>214</v>
      </c>
      <c r="D58" s="25" t="s">
        <v>215</v>
      </c>
    </row>
    <row r="59" customFormat="false" ht="25.5" hidden="false" customHeight="true" outlineLevel="0" collapsed="false">
      <c r="B59" s="25" t="s">
        <v>216</v>
      </c>
    </row>
    <row r="60" customFormat="false" ht="18" hidden="false" customHeight="true" outlineLevel="0" collapsed="false">
      <c r="B60" s="25" t="s">
        <v>217</v>
      </c>
      <c r="D60" s="24" t="s">
        <v>218</v>
      </c>
    </row>
    <row r="61" customFormat="false" ht="25.5" hidden="false" customHeight="true" outlineLevel="0" collapsed="false">
      <c r="B61" s="25" t="s">
        <v>219</v>
      </c>
      <c r="D61" s="25" t="s">
        <v>220</v>
      </c>
    </row>
    <row r="62" customFormat="false" ht="25.5" hidden="false" customHeight="true" outlineLevel="0" collapsed="false">
      <c r="D62" s="25" t="s">
        <v>221</v>
      </c>
    </row>
    <row r="63" customFormat="false" ht="18" hidden="false" customHeight="true" outlineLevel="0" collapsed="false">
      <c r="B63" s="24" t="s">
        <v>222</v>
      </c>
      <c r="D63" s="25" t="s">
        <v>223</v>
      </c>
    </row>
    <row r="64" customFormat="false" ht="25.5" hidden="false" customHeight="true" outlineLevel="0" collapsed="false">
      <c r="B64" s="25" t="s">
        <v>224</v>
      </c>
      <c r="D64" s="25" t="s">
        <v>225</v>
      </c>
    </row>
    <row r="65" customFormat="false" ht="25.5" hidden="false" customHeight="true" outlineLevel="0" collapsed="false">
      <c r="B65" s="25" t="s">
        <v>226</v>
      </c>
    </row>
    <row r="66" customFormat="false" ht="18" hidden="false" customHeight="true" outlineLevel="0" collapsed="false">
      <c r="B66" s="25" t="s">
        <v>227</v>
      </c>
      <c r="D66" s="24" t="s">
        <v>228</v>
      </c>
    </row>
    <row r="67" customFormat="false" ht="48" hidden="false" customHeight="true" outlineLevel="0" collapsed="false">
      <c r="B67" s="25" t="s">
        <v>229</v>
      </c>
      <c r="D67" s="25" t="s">
        <v>230</v>
      </c>
    </row>
    <row r="68" customFormat="false" ht="25.5" hidden="false" customHeight="true" outlineLevel="0" collapsed="false">
      <c r="D68" s="25" t="s">
        <v>231</v>
      </c>
    </row>
    <row r="69" customFormat="false" ht="18" hidden="false" customHeight="true" outlineLevel="0" collapsed="false">
      <c r="B69" s="24" t="s">
        <v>232</v>
      </c>
    </row>
    <row r="70" customFormat="false" ht="18" hidden="false" customHeight="true" outlineLevel="0" collapsed="false">
      <c r="B70" s="25" t="s">
        <v>233</v>
      </c>
      <c r="D70" s="24" t="s">
        <v>234</v>
      </c>
    </row>
    <row r="71" customFormat="false" ht="25.5" hidden="false" customHeight="true" outlineLevel="0" collapsed="false">
      <c r="B71" s="25" t="s">
        <v>235</v>
      </c>
      <c r="D71" s="25" t="s">
        <v>236</v>
      </c>
    </row>
    <row r="72" customFormat="false" ht="25.5" hidden="false" customHeight="true" outlineLevel="0" collapsed="false">
      <c r="B72" s="25" t="s">
        <v>237</v>
      </c>
    </row>
    <row r="73" customFormat="false" ht="18" hidden="false" customHeight="true" outlineLevel="0" collapsed="false">
      <c r="B73" s="25" t="s">
        <v>238</v>
      </c>
      <c r="D73" s="24" t="s">
        <v>239</v>
      </c>
    </row>
    <row r="74" customFormat="false" ht="25.5" hidden="false" customHeight="true" outlineLevel="0" collapsed="false">
      <c r="B74" s="25" t="s">
        <v>240</v>
      </c>
      <c r="D74" s="25" t="s">
        <v>241</v>
      </c>
    </row>
    <row r="75" customFormat="false" ht="6" hidden="false" customHeight="true" outlineLevel="0" collapsed="false"/>
    <row r="76" customFormat="false" ht="18" hidden="false" customHeight="true" outlineLevel="0" collapsed="false">
      <c r="D76" s="27" t="s">
        <v>242</v>
      </c>
    </row>
    <row r="77" customFormat="false" ht="15" hidden="false" customHeight="true" outlineLevel="0" collapsed="false">
      <c r="D77" s="25" t="s">
        <v>243</v>
      </c>
    </row>
    <row r="78" customFormat="false" ht="15" hidden="false" customHeight="true" outlineLevel="0" collapsed="false">
      <c r="D78" s="25" t="s">
        <v>244</v>
      </c>
    </row>
    <row r="79" customFormat="false" ht="15" hidden="false" customHeight="true" outlineLevel="0" collapsed="false">
      <c r="D79" s="25" t="s">
        <v>245</v>
      </c>
    </row>
    <row r="80" customFormat="false" ht="15" hidden="false" customHeight="true" outlineLevel="0" collapsed="false">
      <c r="D80" s="25" t="s">
        <v>246</v>
      </c>
    </row>
    <row r="81" customFormat="false" ht="6" hidden="false" customHeight="true" outlineLevel="0" collapsed="false"/>
    <row r="82" customFormat="false" ht="18" hidden="false" customHeight="true" outlineLevel="0" collapsed="false">
      <c r="D82" s="27" t="s">
        <v>247</v>
      </c>
    </row>
    <row r="83" customFormat="false" ht="25.5" hidden="false" customHeight="true" outlineLevel="0" collapsed="false">
      <c r="D83" s="25" t="s">
        <v>248</v>
      </c>
    </row>
    <row r="84" customFormat="false" ht="36.75" hidden="false" customHeight="true" outlineLevel="0" collapsed="false">
      <c r="D84" s="25" t="s">
        <v>249</v>
      </c>
    </row>
    <row r="85" customFormat="false" ht="25.5" hidden="false" customHeight="true" outlineLevel="0" collapsed="false">
      <c r="D85" s="25" t="s">
        <v>250</v>
      </c>
    </row>
    <row r="86" customFormat="false" ht="25.5" hidden="false" customHeight="true" outlineLevel="0" collapsed="false">
      <c r="D86" s="25" t="s">
        <v>251</v>
      </c>
    </row>
    <row r="87" customFormat="false" ht="15" hidden="false" customHeight="true" outlineLevel="0" collapsed="false">
      <c r="D87" s="25" t="s">
        <v>252</v>
      </c>
    </row>
    <row r="88" customFormat="false" ht="25.5" hidden="false" customHeight="true" outlineLevel="0" collapsed="false">
      <c r="D88" s="25" t="s">
        <v>253</v>
      </c>
    </row>
    <row r="89" customFormat="false" ht="25.5" hidden="false" customHeight="true" outlineLevel="0" collapsed="false">
      <c r="D89" s="25" t="s">
        <v>254</v>
      </c>
    </row>
    <row r="90" customFormat="false" ht="15" hidden="false" customHeight="true" outlineLevel="0" collapsed="false">
      <c r="D90" s="25" t="s">
        <v>255</v>
      </c>
    </row>
    <row r="91" customFormat="false" ht="6" hidden="false" customHeight="true" outlineLevel="0" collapsed="false"/>
    <row r="94" customFormat="false" ht="19.5" hidden="false" customHeight="true" outlineLevel="0" collapsed="false">
      <c r="B94" s="28" t="s">
        <v>256</v>
      </c>
      <c r="C94" s="28"/>
      <c r="D94" s="28"/>
    </row>
    <row r="95" customFormat="false" ht="30" hidden="false" customHeight="true" outlineLevel="0" collapsed="false">
      <c r="B95" s="29" t="s">
        <v>257</v>
      </c>
      <c r="C95" s="29"/>
      <c r="D95" s="29"/>
    </row>
  </sheetData>
  <mergeCells count="3">
    <mergeCell ref="B1:D1"/>
    <mergeCell ref="B94:D94"/>
    <mergeCell ref="B95:D95"/>
  </mergeCells>
  <printOptions headings="false" gridLines="false" gridLinesSet="true" horizontalCentered="false" verticalCentered="false"/>
  <pageMargins left="0.2" right="0.2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2026-04-23T08:36:35Z</dcterms:created>
  <dc:creator>openpyxl</dc:creator>
  <dc:description/>
  <dc:language>en-US</dc:language>
  <cp:lastModifiedBy/>
  <dcterms:modified xsi:type="dcterms:W3CDTF">2026-04-24T01:29:42Z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