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wlsy\Downloads\이륜차_계약서_작업\"/>
    </mc:Choice>
  </mc:AlternateContent>
  <xr:revisionPtr revIDLastSave="0" documentId="13_ncr:1_{2845ED67-9262-4F06-A6E2-EDF80FF90536}" xr6:coauthVersionLast="47" xr6:coauthVersionMax="47" xr10:uidLastSave="{00000000-0000-0000-0000-000000000000}"/>
  <bookViews>
    <workbookView xWindow="-108" yWindow="-108" windowWidth="30936" windowHeight="16776" tabRatio="500" activeTab="1" xr2:uid="{00000000-000D-0000-FFFF-FFFF00000000}"/>
  </bookViews>
  <sheets>
    <sheet name="계약리스트" sheetId="1" r:id="rId1"/>
    <sheet name="계약서" sheetId="2" r:id="rId2"/>
    <sheet name="이용약관" sheetId="3" r:id="rId3"/>
    <sheet name="별지_구상금" sheetId="4" r:id="rId4"/>
  </sheets>
  <externalReferences>
    <externalReference r:id="rId5"/>
  </externalReferences>
  <definedNames>
    <definedName name="_xlnm.Print_Area" localSheetId="1">계약서!$A$1:$K$50</definedName>
    <definedName name="_xlnm.Print_Area" localSheetId="3">별지_구상금!$A$1:$J$37</definedName>
    <definedName name="_xlnm.Print_Area" localSheetId="2">이용약관!$A$1:$D$162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2" l="1"/>
  <c r="F17" i="2"/>
  <c r="C17" i="2"/>
  <c r="I16" i="2"/>
  <c r="F16" i="2"/>
  <c r="C16" i="2"/>
  <c r="C12" i="2"/>
  <c r="I11" i="2"/>
  <c r="F11" i="2"/>
  <c r="C11" i="2"/>
  <c r="C34" i="4" s="1"/>
  <c r="F7" i="2"/>
  <c r="C7" i="2"/>
  <c r="I6" i="2"/>
  <c r="F6" i="2"/>
  <c r="C6" i="2"/>
  <c r="B162" i="3" l="1"/>
  <c r="C47" i="2"/>
</calcChain>
</file>

<file path=xl/sharedStrings.xml><?xml version="1.0" encoding="utf-8"?>
<sst xmlns="http://schemas.openxmlformats.org/spreadsheetml/2006/main" count="423" uniqueCount="392">
  <si>
    <t>이륜차 할부판매 계약 이용약관</t>
  </si>
  <si>
    <t>제1조 (목적)</t>
  </si>
  <si>
    <t>제7조 (할부금 및 기타 지급금)</t>
  </si>
  <si>
    <t>이 약관은 한국모터사이클리스 유한회사(이하 "회사")와 본 계약을 체결한 계약자(이하 "계약자")간의 이륜</t>
  </si>
  <si>
    <t>차 할부판매에 관한 권리·의무를 규정함을 목적으로 한다.</t>
  </si>
  <si>
    <t>제2조 (용어의 정의)</t>
  </si>
  <si>
    <t>간에 걸쳐 분할 지급하는 매매계약을 말한다.</t>
  </si>
  <si>
    <t>및 장착물을 포함한다.</t>
  </si>
  <si>
    <t>제13조 (금지행위)</t>
  </si>
  <si>
    <t>제20조 (계약만료 전 할부금 완납 시 절차)</t>
  </si>
  <si>
    <t>제22조 (현금영수증 발급)</t>
  </si>
  <si>
    <t>제23조 (약관에 정하지 않은 사항)</t>
  </si>
  <si>
    <t>제24조 (준거법 및 관할)</t>
  </si>
  <si>
    <t>본 계약은 대한민국 법률에 따라 해석·적용하며, 본 계약과 관련하여 분쟁이 발생하는 경우 수원지방법원</t>
  </si>
  <si>
    <t>을 전속 관할 법원으로 한다.</t>
  </si>
  <si>
    <t>① 계약자는 해지 예정일 최소 10일 전에 회사에 사전 통보하여야 한다.</t>
  </si>
  <si>
    <t>제25조 (차량 평가 및 감가 기준)</t>
  </si>
  <si>
    <t>계약 만료·해지로 이륜차가 회사에 반환된 경우, 회사는 다음 기준에 따라 감가액을 산정한다: (1) 커버류</t>
  </si>
  <si>
    <t>교체·수리 필요 시 부위당 4%, (2) 차대 교체·수리 필요 시 부위당 6%, (3) 도장·판금 작업 필요 시 30~50</t>
  </si>
  <si>
    <t>만 원 범위. 실제 수리비가 본 기준을 초과하는 경우 실비를 기준으로 청구할 수 있다.</t>
  </si>
  <si>
    <t>제26조 (제조사 A/S 및 차량 하자)</t>
  </si>
  <si>
    <t>하자 발생 시 제조사의 A/S 정책에 따르며, 처리 과정에서 발생하는 비용 및 손해는 회사가 책임지지 아니</t>
  </si>
  <si>
    <t>제27조 (출고 주문 취소 위약금)</t>
  </si>
  <si>
    <t>계약자의 단순 변심으로 출고 당일 계약을 취소하는 경우, 계약자는 차량 회수에 소요된 일체의 비용 및 위</t>
  </si>
  <si>
    <t>약금 10만 원을 회사에 지급한다.</t>
  </si>
  <si>
    <t>제28조 (과태료·범칙금·제세공과금)</t>
  </si>
  <si>
    <t>에게 안내하며, 계약자는 즉시 납부하여야 한다.</t>
  </si>
  <si>
    <t>부터 7일 이내에 지급하여야 한다.</t>
  </si>
  <si>
    <t>제18조 (이륜차 반환 및 회수)</t>
  </si>
  <si>
    <t>제29조 (약관의 변경)</t>
  </si>
  <si>
    <t>이용약관의 내용에 대해서 설명을 듣고 확인하였습니다.</t>
  </si>
  <si>
    <t>계약자                                    서명 또는 인</t>
  </si>
  <si>
    <t>계약번호</t>
  </si>
  <si>
    <t>출고일자</t>
  </si>
  <si>
    <t>차종</t>
  </si>
  <si>
    <t>차대번호</t>
  </si>
  <si>
    <t>차량번호</t>
  </si>
  <si>
    <t>색상</t>
  </si>
  <si>
    <t>정비여부</t>
  </si>
  <si>
    <t>보험연령</t>
  </si>
  <si>
    <t>일사용료</t>
  </si>
  <si>
    <t>사용일수</t>
  </si>
  <si>
    <t>보증금</t>
  </si>
  <si>
    <t>계약자명</t>
  </si>
  <si>
    <t>주민번호</t>
  </si>
  <si>
    <t>주소</t>
  </si>
  <si>
    <t>연락처</t>
  </si>
  <si>
    <t>계약유형</t>
  </si>
  <si>
    <t>상품유형</t>
  </si>
  <si>
    <t>요금결제일</t>
  </si>
  <si>
    <t>2026-04-24</t>
  </si>
  <si>
    <t>UHR150</t>
  </si>
  <si>
    <t>LWMTDKH95THJ00467</t>
  </si>
  <si>
    <t>1나88370</t>
  </si>
  <si>
    <t>화이트</t>
  </si>
  <si>
    <t>비포함</t>
  </si>
  <si>
    <t>만30세</t>
  </si>
  <si>
    <t>안종식</t>
  </si>
  <si>
    <t>820530-1046518</t>
  </si>
  <si>
    <t>경기도 오산시 궐동로 77, 1층(궐동)</t>
  </si>
  <si>
    <t>010-5813-7336</t>
  </si>
  <si>
    <t>할부판매</t>
  </si>
  <si>
    <t>인수형</t>
  </si>
  <si>
    <t>계좌이체</t>
  </si>
  <si>
    <t>월2회(15일,말일)</t>
  </si>
  <si>
    <t>계약번호입력→</t>
  </si>
  <si>
    <t>이륜차 할부판매 계약서</t>
  </si>
  <si>
    <t>한국모터사이클리스 유한회사</t>
  </si>
  <si>
    <t>■ 차량 정보</t>
  </si>
  <si>
    <t>※ 본 계약은 계약자가 본인 명의로 직접 보험에 가입하는 상품이며, 회사는 출고 당시 외에는 보험 가입 여부를 확인할 수 없으므로,
운전 사고 시 발생하는 모든 손해·구상금은 계약자가 전적으로 책임집니다.</t>
  </si>
  <si>
    <t>■ 계약자</t>
  </si>
  <si>
    <t>성명</t>
  </si>
  <si>
    <t>주민등록번호</t>
  </si>
  <si>
    <t>※ 제출 서류 : 신분증 사본</t>
  </si>
  <si>
    <t>■ 계약 조건</t>
  </si>
  <si>
    <t>할부판매 기간</t>
  </si>
  <si>
    <t>일사용료
(VAT포함)</t>
  </si>
  <si>
    <t>납입방법</t>
  </si>
  <si>
    <t>청구시작일</t>
  </si>
  <si>
    <t>차량 인도일부터</t>
  </si>
  <si>
    <t>납입계좌</t>
  </si>
  <si>
    <t>기업은행 929-028075-04-011 포어스바이크(유)</t>
  </si>
  <si>
    <t>■ 회사 정보</t>
  </si>
  <si>
    <t>상호</t>
  </si>
  <si>
    <t>사업자번호</t>
  </si>
  <si>
    <t>647-86-03800</t>
  </si>
  <si>
    <t>대표이사</t>
  </si>
  <si>
    <t>김현수</t>
  </si>
  <si>
    <t>경기도 수원시 권선구 입북로59번길 15</t>
  </si>
  <si>
    <t>고객센터</t>
  </si>
  <si>
    <t>031-296-7845</t>
  </si>
  <si>
    <t>⚠ 주요 확인사항 (서명 전 필독)</t>
  </si>
  <si>
    <t>운행자성</t>
  </si>
  <si>
    <t>회사는 본 차량의 소유자이나 자동차손해배상보장법상 "운행자"가 아니며, 운행자성(운행지배·운행이익)은 전적으로 계약자에게 있습니다. 따라서 운행 중 발생하는 모든 인적·물적 손해의 운행자 책임은 계약자가 부담하며, 이로 인해 보험사가 회사에 청구하는 구상금도 계약자가 전액 부담합니다.</t>
  </si>
  <si>
    <t>사고 즉시 고지 의무</t>
  </si>
  <si>
    <t>회사는 운행자가 아니므로 사고 발생 사실을 직접 인지할 수 없습니다. 사고(인적·물적 손해, 단독사고, 차량 파손, 도난, 멸실 등 일체) 발생 시 계약자는 즉시 회사에 고지하여야 하며, 미고지·지연 고지로 발생하는 모든 손해(보험 미보장 손해, 구상금·과태료, 소송비용·변호사비, 그 밖에 미고지·지연 고지로 인하여 회사가 입은 손해 일체)는 계약자가 전적으로 책임지며 회사는 본 계약을 즉시 해지하고 차량을 회수할 수 있습니다.</t>
  </si>
  <si>
    <t>보험연령 미달자 운전</t>
  </si>
  <si>
    <t>본 차량은 보험연령 이상의 운전자만이 운행해야 합니다. 보험연령 미달자가 운행하여 발생한 사고·손해·보험사 구상금은 회사의 라이더 신원·연령 확인 여부와 관계없이 계약자가 전적으로 책임지며, 회사가 보험사로부터 구상금을 청구받는 경우 통보 후 7일 이내에 전액 변제하여야 합니다.</t>
  </si>
  <si>
    <t>12대 중과실·면책사고</t>
  </si>
  <si>
    <t>신호위반·중앙선침범·무면허·음주운전 등 12대 중과실 또는 보험약관상 면책사항(고의·약물·범죄·운행자 범위 외 운전·도난중 운행 등)에 해당하는 사고로 회사에 보험사 구상금이 청구되는 경우, 계약자는 통보 후 7일 이내에 전액 변제하여야 합니다.</t>
  </si>
  <si>
    <t>구상금</t>
  </si>
  <si>
    <t>본 약관상 "구상금"이란 본 계약 차량 운행 중 발생한 사고로 보험사 또는 제3자가 회사에 청구하는 금액 일체를 말합니다. 운행자성·사고 미고지·보험연령 미달자 운전·12대 중과실·면책사고·보험사 보장 한도 초과 손해 등 어떠한 사유로든 회사에 구상금이 청구되는 경우, 계약자는 통보일로부터 7일 이내에 구상금 전액 및 회사가 그와 관련하여 지출한 변호사비·소송비 일체를 회사에 변제하여야 합니다.</t>
  </si>
  <si>
    <t>미변제 시 즉시 처리</t>
  </si>
  <si>
    <t>위 구상금 또는 본 계약상 모든 채무를 기한 내 변제하지 않는 경우 본 계약은 사전 통지·최고 없이 해지되며, 회사는 (1) 차량을 즉시 임의 회수하고 회수에 소요된 일체의 비용(출장비·운송비·원상복구비 포함)을 계약자에게 청구하며, (2) 보증금은 계약자의 귀책으로 본 계약이 해지되는 경우 반환하지 않고, (3) 위약금[잔여기간 총 할부금 × 20%] 및 손해배상금을 별도 청구하며, (4) 미변제 금액에 대하여 연 15%의 지연손해금을 변제일까지 가산하고, (5) 계약자에게 통지한 후 관련 법령이 정하는 절차에 따라 신용정보회사·신용정보집중기관에 채무불이행 사실을 등록하거나 채권추심 전문기관에 추심을 위임할 수 있으며, (6) 계약자에 대하여 민·형사상 모든 법적 조치를 취할 수 있습니다.</t>
  </si>
  <si>
    <t>1. 본 계약에 따른 모든 대금(할부금·보증금·부대비용 등)의 수납 업무는 포어스바이크(유)가 대행하며, 현금영수증은 계약자의 주민번호로 한국모터사이클리스 유한회사 명의로 발행됩니다. 타 계좌 입금 시 입금 확인이 불가합니다.</t>
  </si>
  <si>
    <t>2. 계약 취소·중도 해지 시 계약자는 이륜차 및 배달통·슬라이더 등 무상 지원 비품을 회사가 지정한 장소로 반납하여야 하며, 보증금은 반환되지 아니하고 위약금과는 별도로 회수비용(출장비·운송비·원상복구비)은 계약자가 부담합니다.</t>
  </si>
  <si>
    <t>3. 보증금 지급 유예 기간 내 미지급으로 계약이 사전 통지·최고 없이 해지되는 경우, 계약자는 차량 반환과 동시에 (1) 인도일부터 반환일까지의 일할 사용료, (2) 감가손실액, (3) 등록비·번호판·보험료 등 회사가 이미 지출한 부대비용을 배상합니다.</t>
  </si>
  <si>
    <t>■ 개인(신용)정보 수집·이용, 금융거래정보 제공, 업무위탁 동의</t>
  </si>
  <si>
    <t>수집·이용 목적</t>
  </si>
  <si>
    <t>거래관계 설정·유지, 상품 제공, 법령상 의무 이행, 분쟁 처리, 차량 분실 방지, 사고 대응, 보험사고 처리, 운전자 확인 및 보험연령 검증, 채권 관리 등 계약 이행 전반</t>
  </si>
  <si>
    <t>수집 항목</t>
  </si>
  <si>
    <t>성명(실명)·주민등록번호·휴대전화번호·현주소·신분증 정보·거래카드·계좌 정보·차량 위치정보(FMS 수집 포함)</t>
  </si>
  <si>
    <t>보유·이용 기간</t>
  </si>
  <si>
    <t>수집·이용 목적 달성 후 파기. 단, 전자상거래법 등 관련 법령에 따라 계약·결제 기록 5년, 채권 관리 기록 5년, 불량이용자 재가입 방지 기록 해지 후 1년 보존</t>
  </si>
  <si>
    <t>금융거래정보 제공</t>
  </si>
  <si>
    <t>신용카드·자동이체 등록·해지 시까지 회사 및 결제대행사에 거래정보 제공 (금융실명법에 따라 동의)</t>
  </si>
  <si>
    <t>자동이체 동의</t>
  </si>
  <si>
    <t>매월 발생하는 할부금, 보증금, 위약금, 과태료, 범칙금, 보험사 구상금 등을 신용카드 자동승인 또는 계좌 자동이체로 출금 거래 신청</t>
  </si>
  <si>
    <t>업무위탁 내역</t>
  </si>
  <si>
    <t>협력사(공급·운송·출고 정보), 수납대행사 포어스바이크(유)(대금 수납·채권관리), 배달대행사(고객정보), 차량등록소(등록 사무), 효성에프엠에스(자동이체)</t>
  </si>
  <si>
    <t xml:space="preserve">상기 "개인(신용)정보 수집·이용·제공 동의", "금융거래정보 제공 동의", "업무위탁 동의"에 대하여       □ 동의안함       □ 전부 동의함 </t>
  </si>
  <si>
    <t>■ 계약 체결</t>
  </si>
  <si>
    <t>본인은 본 이륜차 할부판매 계약서와 이용약관의 내용을 전부 설명 듣고 확인하였으며, 본 계약에 따른 권리·의무와 운행자성·보험가입 의무·보험연령·사고 고지·면책사고 책임 등 제반 사항에 이의 없이 동의합니다.</t>
  </si>
  <si>
    <t>계약자</t>
  </si>
  <si>
    <t>(인)</t>
  </si>
  <si>
    <t>공급자</t>
  </si>
  <si>
    <t>■ 자동이체 신청 정보</t>
  </si>
  <si>
    <t>신용카드사명</t>
  </si>
  <si>
    <t>카드번호</t>
  </si>
  <si>
    <t>유효기간</t>
  </si>
  <si>
    <t>은행명</t>
  </si>
  <si>
    <t>계좌번호</t>
  </si>
  <si>
    <t>예금주명</t>
  </si>
  <si>
    <t>구상금 관련 특약 확인서</t>
  </si>
  <si>
    <t>본 별지는 이륜차 할부판매 계약에 부속되며 본 계약서 본문과 동일한 효력을 가집니다.</t>
  </si>
  <si>
    <t>본인은 본 계약과 관련하여 발생할 수 있는 "구상금"의 책임 범위, 변제 기한, 미변제 시 회사의 조치 사항에 대하여 별도로 충분히 설명 듣고 이해하였으며, 아래 내용 전부에 동의합니다.</t>
  </si>
  <si>
    <t>제1조  구상금의 정의</t>
  </si>
  <si>
    <t>"구상금"이란 본 계약 차량의 운행 중 발생한 사고로 보험사 또는 제3자가 회사에 청구하는 금액 일체를 말하며, 원금·지연이자·소송비용·변호사비 등 회사가 그와 관련하여 지출한 모든 비용을 포함한다.</t>
  </si>
  <si>
    <t>제2조  구상금이 발생하는 주요 사유</t>
  </si>
  <si>
    <t>다음 각 호에 해당하는 사고로 회사가 구상금을 청구받는 경우 그 책임은 전적으로 계약자에게 있다.</t>
  </si>
  <si>
    <t>①</t>
  </si>
  <si>
    <t>회사는 차량 소유자이나 자동차손해배상보장법상 운행자가 아니다. 운행자성은 전적으로 계약자에게 있으며, 보험사가 회사에 청구하는 구상금은 계약자가 전액 부담한다.</t>
  </si>
  <si>
    <t>②</t>
  </si>
  <si>
    <t>사고 미고지 위반</t>
  </si>
  <si>
    <t>사고 발생 시 즉시 회사에 고지하지 않거나 지연·허위 고지로 발생하는 미보장 손해와 회사에 청구되는 구상금 일체를 계약자가 부담한다.</t>
  </si>
  <si>
    <t>③</t>
  </si>
  <si>
    <t>보험연령 미달자가 본 차량을 운행하여 발생한 사고·손해·구상금은 회사의 신원·연령 확인 여부와 관계없이 계약자가 책임진다.</t>
  </si>
  <si>
    <t>④</t>
  </si>
  <si>
    <t>신호위반·중앙선침범 등 12대 중과실 또는 보험약관상 면책사항에 해당하는 사고로 발생한 구상금은 계약자가 전액 부담한다.</t>
  </si>
  <si>
    <t>⑤</t>
  </si>
  <si>
    <t>무면허·음주·약물 운전</t>
  </si>
  <si>
    <t>무면허·음주·약물 영향 하의 운전 및 운전자 자격 미충족자의 운행으로 발생한 사고·구상금은 계약자가 전적으로 책임진다.</t>
  </si>
  <si>
    <t>⑥</t>
  </si>
  <si>
    <t>보험 보장 한도 초과</t>
  </si>
  <si>
    <t>대물배상 한도 초과분·대인배상Ⅱ 한도 초과분 등 보험사 보장 한도를 초과하는 손해는 계약자가 전액 부담한다.</t>
  </si>
  <si>
    <t>⑦</t>
  </si>
  <si>
    <t>기타 보험약관상 면책사유</t>
  </si>
  <si>
    <t>운전자 범위 위반·사고 후 도주·고의 사고·유상운송 부적합 보험·차량 무단 양도·전대·무보험 운행 등 보험약관상 면책사유에 해당하는 일체의 손해를 계약자가 전적으로 책임진다.</t>
  </si>
  <si>
    <t>제3조  구상금의 변제 기한</t>
  </si>
  <si>
    <t>회사가 보험사 또는 제3자로부터 구상금을 청구받았다는 사실을 계약자에게 통보한 날로부터 7일 이내에, 계약자는 구상금 전액 및 회사가 지출한 변호사비·소송비 일체를 회사에 변제하여야 한다.</t>
  </si>
  <si>
    <t>제4조  미변제 시 즉시 처리</t>
  </si>
  <si>
    <t>제3조의 변제 기한 내에 계약자가 구상금을 변제하지 않는 경우 본 계약은 사전 통지·최고 없이 해지되며, 회사는 다음 각 호의 조치를 동시에 또는 순차적으로 취할 수 있다.</t>
  </si>
  <si>
    <t>차량 즉시 회수</t>
  </si>
  <si>
    <t>회수에 소요된 일체의 비용(출장비·운송비·원상복구비 포함)은 계약자가 부담한다.</t>
  </si>
  <si>
    <t>보증금 전액 미반환</t>
  </si>
  <si>
    <t>계약자의 귀책으로 본 계약이 해지되는 경우 보증금은 반환되지 아니한다.</t>
  </si>
  <si>
    <t>위약금·손해배상금 청구</t>
  </si>
  <si>
    <t>위약금은 [잔여기간 총 할부금 × 20%]로 산정하며, 기납부 보증금은 이와 별도로 계약 위반에 대한 위약벌로서 회사에 귀속되어 반환하지 않는다. 손해배상금은 별도 청구한다.</t>
  </si>
  <si>
    <t>연 15% 지연손해금</t>
  </si>
  <si>
    <t>미변제 금액에 대하여 연 15%의 지연손해금을 변제일까지 가산한다.</t>
  </si>
  <si>
    <t>신용정보 등록·채권추심</t>
  </si>
  <si>
    <t>계약자에게 통지한 후 관련 법령이 정하는 절차에 따라 신용정보회사·신용정보집중기관에 채무불이행 사실을 등록하거나 채권추심 전문기관에 추심을 위임할 수 있다.</t>
  </si>
  <si>
    <t>민·형사상 법적 조치</t>
  </si>
  <si>
    <t>계약자에 대하여 민·형사상 모든 법적 조치를 취할 수 있다.</t>
  </si>
  <si>
    <t>본인은 위 특약 내용(제1조 ~ 제4조) 전부를 충분히 설명 듣고 이해하였으며, 본 특약에 동의함을 확인합니다.</t>
  </si>
  <si>
    <t>① "할부판매 계약"이란, 계약자가 요청한 기종의 이륜차를 회사가 판매하고 계약자가 그 대금을 일정 기</t>
    <phoneticPr fontId="23" type="noConversion"/>
  </si>
  <si>
    <t>② "이륜차"란, 회사가 계약자의 요청에 따라 본 계약서에 특정한 이륜차를 말하며, 인도 시 부착된 부속품</t>
    <phoneticPr fontId="23" type="noConversion"/>
  </si>
  <si>
    <t>③ "계약기간"이란, 계약자가 본 계약에 따라 이륜차를 인도받아 사용하는 기간을 말한다.</t>
    <phoneticPr fontId="23" type="noConversion"/>
  </si>
  <si>
    <t>④ "보증금"이란, 할부금 지급 및 본 계약상 채무이행을 담보하기 위해 계약자가 회사에 납부하는 금원을</t>
    <phoneticPr fontId="23" type="noConversion"/>
  </si>
  <si>
    <r>
      <rPr>
        <sz val="8"/>
        <color rgb="FF2B2B2B"/>
        <rFont val="맑은 고딕"/>
        <family val="3"/>
        <charset val="129"/>
      </rPr>
      <t>말하며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>.</t>
    </r>
    <phoneticPr fontId="23" type="noConversion"/>
  </si>
  <si>
    <t>⑤ "계약자"는 본 계약 1면에 "계약자"로 기재된 라이더 본인을 말하며, 본 계약상 주채무자이자 본 계약</t>
    <phoneticPr fontId="23" type="noConversion"/>
  </si>
  <si>
    <r>
      <rPr>
        <sz val="8"/>
        <color rgb="FF2B2B2B"/>
        <rFont val="맑은 고딕"/>
        <family val="3"/>
        <charset val="129"/>
      </rPr>
      <t>차량을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실제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자이다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</si>
  <si>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</si>
  <si>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⑦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비용을</t>
    </r>
    <phoneticPr fontId="23" type="noConversion"/>
  </si>
  <si>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</si>
  <si>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⑧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계약이관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</si>
  <si>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⑨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구상금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</t>
    </r>
    <phoneticPr fontId="23" type="noConversion"/>
  </si>
  <si>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</si>
  <si>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rFont val="Segoe UI Symbol"/>
        <family val="1"/>
      </rPr>
      <t>⑩</t>
    </r>
    <r>
      <rPr>
        <sz val="8"/>
        <rFont val="Arial"/>
        <family val="2"/>
      </rPr>
      <t xml:space="preserve"> "</t>
    </r>
    <r>
      <rPr>
        <sz val="8"/>
        <rFont val="맑은 고딕"/>
        <family val="3"/>
        <charset val="129"/>
      </rPr>
      <t>미수선처리</t>
    </r>
    <r>
      <rPr>
        <sz val="8"/>
        <rFont val="Arial"/>
        <family val="2"/>
      </rPr>
      <t>"</t>
    </r>
    <r>
      <rPr>
        <sz val="8"/>
        <rFont val="맑은 고딕"/>
        <family val="3"/>
        <charset val="129"/>
      </rPr>
      <t>란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사고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발생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차량을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수리하지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임의로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수리비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전부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금액을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현</t>
    </r>
    <phoneticPr fontId="23" type="noConversion"/>
  </si>
  <si>
    <t>금으로 지급받는 행위를 말한다.</t>
    <phoneticPr fontId="23" type="noConversion"/>
  </si>
  <si>
    <r>
      <rPr>
        <sz val="8"/>
        <color rgb="FF2B2B2B"/>
        <rFont val="Segoe UI Symbol"/>
        <family val="1"/>
      </rPr>
      <t>⑪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플랫폼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일차감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프로그램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가맹중인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배달플랫폼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제휴계약이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체결되</t>
    </r>
    <phoneticPr fontId="23" type="noConversion"/>
  </si>
  <si>
    <t>어 있는 경우 해당 플랫폼사의 페이를 통해 할부금·과태료 등 납부가 가능한 전산 시스템을 말한다.</t>
    <phoneticPr fontId="2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</si>
  <si>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3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서류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제출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이륜차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인도</t>
    </r>
    <r>
      <rPr>
        <b/>
        <sz val="9"/>
        <color rgb="FF1F3864"/>
        <rFont val="Arial"/>
        <family val="2"/>
      </rPr>
      <t>)</t>
    </r>
    <phoneticPr fontId="2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</si>
  <si>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보완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응한다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</si>
  <si>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rFont val="맑은 고딕"/>
        <family val="3"/>
        <charset val="129"/>
      </rPr>
      <t>제출된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서류는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어떠한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경우에도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반환하지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않는다</t>
    </r>
    <r>
      <rPr>
        <sz val="8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</si>
  <si>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청구시작일부터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인도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</t>
    </r>
    <r>
      <rPr>
        <sz val="8"/>
        <color rgb="FF2B2B2B"/>
        <rFont val="DejaVu Sans"/>
        <family val="1"/>
      </rPr>
      <t>후에는</t>
    </r>
    <phoneticPr fontId="23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</si>
  <si>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하자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결함을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2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</si>
  <si>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4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소유권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유보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이전</t>
    </r>
    <r>
      <rPr>
        <b/>
        <sz val="9"/>
        <color rgb="FF1F3864"/>
        <rFont val="Arial"/>
        <family val="2"/>
      </rPr>
      <t>)</t>
    </r>
    <phoneticPr fontId="2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</si>
  <si>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유보된다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</si>
  <si>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완전히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</t>
    </r>
    <phoneticPr fontId="23" type="noConversion"/>
  </si>
  <si>
    <r>
      <rPr>
        <sz val="8"/>
        <color theme="1"/>
        <rFont val="맑은 고딕"/>
        <family val="3"/>
        <charset val="129"/>
      </rPr>
      <t>차의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소유권을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계약자에게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이전한다</t>
    </r>
    <r>
      <rPr>
        <sz val="8"/>
        <color theme="1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</si>
  <si>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반납형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귀속된다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</si>
  <si>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</t>
    </r>
    <phoneticPr fontId="23" type="noConversion"/>
  </si>
  <si>
    <r>
      <rPr>
        <sz val="8"/>
        <color rgb="FF2B2B2B"/>
        <rFont val="맑은 고딕"/>
        <family val="3"/>
        <charset val="129"/>
      </rPr>
      <t>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2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</si>
  <si>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5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계약자의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책임</t>
    </r>
    <r>
      <rPr>
        <b/>
        <sz val="9"/>
        <color rgb="FF1F3864"/>
        <rFont val="Arial"/>
        <family val="2"/>
      </rPr>
      <t>)</t>
    </r>
    <phoneticPr fontId="23" type="noConversion"/>
  </si>
  <si>
    <r>
      <rPr>
        <sz val="8"/>
        <color theme="1"/>
        <rFont val="Segoe UI Symbol"/>
        <family val="1"/>
      </rPr>
      <t>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선량한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관리자의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주의로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이륜차를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유지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관리하여야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하며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운행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중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발생하는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모든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사고에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대해</t>
    </r>
    <phoneticPr fontId="23" type="noConversion"/>
  </si>
  <si>
    <r>
      <rPr>
        <sz val="8"/>
        <color theme="1"/>
        <rFont val="맑은 고딕"/>
        <family val="3"/>
        <charset val="129"/>
      </rPr>
      <t>책임을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부담한다</t>
    </r>
    <r>
      <rPr>
        <sz val="8"/>
        <color theme="1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</si>
  <si>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부착물을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장착하거나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구조를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</si>
  <si>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목적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범위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본인이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수익할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</t>
    </r>
    <phoneticPr fontId="23" type="noConversion"/>
  </si>
  <si>
    <r>
      <rPr>
        <sz val="8"/>
        <color theme="1"/>
        <rFont val="맑은 고딕"/>
        <family val="3"/>
        <charset val="129"/>
      </rPr>
      <t>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운행이익권만을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가진다</t>
    </r>
    <r>
      <rPr>
        <sz val="8"/>
        <color theme="1"/>
        <rFont val="Arial"/>
        <family val="2"/>
      </rPr>
      <t xml:space="preserve">. </t>
    </r>
    <r>
      <rPr>
        <sz val="8"/>
        <color theme="1"/>
        <rFont val="맑은 고딕"/>
        <family val="3"/>
        <charset val="129"/>
      </rPr>
      <t>계약자는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이륜차를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</t>
    </r>
    <r>
      <rPr>
        <sz val="8"/>
        <color theme="1"/>
        <rFont val="Arial"/>
        <family val="2"/>
      </rPr>
      <t>3</t>
    </r>
    <r>
      <rPr>
        <sz val="8"/>
        <color theme="1"/>
        <rFont val="맑은 고딕"/>
        <family val="3"/>
        <charset val="129"/>
      </rPr>
      <t>자에게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양도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전대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담보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제공하거나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사용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수익하게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수</t>
    </r>
    <phoneticPr fontId="23" type="noConversion"/>
  </si>
  <si>
    <r>
      <rPr>
        <sz val="8"/>
        <color theme="1"/>
        <rFont val="맑은 고딕"/>
        <family val="3"/>
        <charset val="129"/>
      </rPr>
      <t>없다</t>
    </r>
    <r>
      <rPr>
        <sz val="8"/>
        <color theme="1"/>
        <rFont val="Arial"/>
        <family val="2"/>
      </rPr>
      <t xml:space="preserve">. </t>
    </r>
    <r>
      <rPr>
        <sz val="8"/>
        <color theme="1"/>
        <rFont val="맑은 고딕"/>
        <family val="3"/>
        <charset val="129"/>
      </rPr>
      <t>또한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제</t>
    </r>
    <r>
      <rPr>
        <sz val="8"/>
        <color theme="1"/>
        <rFont val="Arial"/>
        <family val="2"/>
      </rPr>
      <t>15</t>
    </r>
    <r>
      <rPr>
        <sz val="8"/>
        <color theme="1"/>
        <rFont val="맑은 고딕"/>
        <family val="3"/>
        <charset val="129"/>
      </rPr>
      <t>조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제</t>
    </r>
    <r>
      <rPr>
        <sz val="8"/>
        <color theme="1"/>
        <rFont val="Arial"/>
        <family val="2"/>
      </rPr>
      <t>16</t>
    </r>
    <r>
      <rPr>
        <sz val="8"/>
        <color theme="1"/>
        <rFont val="맑은 고딕"/>
        <family val="3"/>
        <charset val="129"/>
      </rPr>
      <t>조에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따라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해지된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즉시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중단하고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이륜차를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반환하여</t>
    </r>
    <phoneticPr fontId="23" type="noConversion"/>
  </si>
  <si>
    <r>
      <rPr>
        <sz val="8"/>
        <color theme="1"/>
        <rFont val="맑은 고딕"/>
        <family val="3"/>
        <charset val="129"/>
      </rPr>
      <t>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한다</t>
    </r>
    <r>
      <rPr>
        <sz val="8"/>
        <color theme="1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</si>
  <si>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할부판매라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</t>
    </r>
    <phoneticPr fontId="23" type="noConversion"/>
  </si>
  <si>
    <r>
      <rPr>
        <sz val="8"/>
        <color theme="1"/>
        <rFont val="맑은 고딕"/>
        <family val="3"/>
        <charset val="129"/>
      </rPr>
      <t>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없다</t>
    </r>
    <r>
      <rPr>
        <sz val="8"/>
        <color theme="1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</si>
  <si>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보전처분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강제집행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위험이</t>
    </r>
    <phoneticPr fontId="23" type="noConversion"/>
  </si>
  <si>
    <r>
      <rPr>
        <sz val="8"/>
        <color theme="1"/>
        <rFont val="맑은 고딕"/>
        <family val="3"/>
        <charset val="129"/>
      </rPr>
      <t>있는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계약자는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이륜차가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소유임을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주장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입증하여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침해를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방지하고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즉시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사실을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통지</t>
    </r>
    <phoneticPr fontId="23" type="noConversion"/>
  </si>
  <si>
    <r>
      <rPr>
        <sz val="8"/>
        <color theme="1"/>
        <rFont val="맑은 고딕"/>
        <family val="3"/>
        <charset val="129"/>
      </rPr>
      <t>하여야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한다</t>
    </r>
    <r>
      <rPr>
        <sz val="8"/>
        <color theme="1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</si>
  <si>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시점부터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</t>
    </r>
    <phoneticPr fontId="23" type="noConversion"/>
  </si>
  <si>
    <r>
      <rPr>
        <sz val="8"/>
        <color theme="1"/>
        <rFont val="맑은 고딕"/>
        <family val="3"/>
        <charset val="129"/>
      </rPr>
      <t>한다</t>
    </r>
    <r>
      <rPr>
        <sz val="8"/>
        <color theme="1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</si>
  <si>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⑦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통보하고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자신의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하나를</t>
    </r>
    <r>
      <rPr>
        <sz val="8"/>
        <color rgb="FF2B2B2B"/>
        <rFont val="Arial"/>
        <family val="2"/>
      </rPr>
      <t xml:space="preserve"> 5</t>
    </r>
    <phoneticPr fontId="23" type="noConversion"/>
  </si>
  <si>
    <t>일 이내에 이행하여야 한다. (1) 원상복구 수리, (2) 동일 차종·색상·연식 등 구성이 동일한 차량으로 교체</t>
    <phoneticPr fontId="23" type="noConversion"/>
  </si>
  <si>
    <t>(교체차량은 회사 소유로 본 계약상 이륜차로 간주), (3) 인수형 계약의 경우 잔여 할부금 100%를 5일 내</t>
    <phoneticPr fontId="23" type="noConversion"/>
  </si>
  <si>
    <t>지급하여 계약 종료. 차량 대체 시 발생하는 실비(취득세·인지세·번호판 발급비 등)는 변경 건별로 즉시 납</t>
    <phoneticPr fontId="23" type="noConversion"/>
  </si>
  <si>
    <t>부한다.</t>
    <phoneticPr fontId="23" type="noConversion"/>
  </si>
  <si>
    <r>
      <rPr>
        <sz val="8"/>
        <color rgb="FF2B2B2B"/>
        <rFont val="Segoe UI Symbol"/>
        <family val="1"/>
      </rPr>
      <t>⑧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키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부속품을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인수하므로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</t>
    </r>
    <phoneticPr fontId="23" type="noConversion"/>
  </si>
  <si>
    <r>
      <rPr>
        <sz val="8"/>
        <color theme="1"/>
        <rFont val="맑은 고딕"/>
        <family val="3"/>
        <charset val="129"/>
      </rPr>
      <t>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대한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모든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책임을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부담한다</t>
    </r>
    <r>
      <rPr>
        <sz val="8"/>
        <color theme="1"/>
        <rFont val="Arial"/>
        <family val="2"/>
      </rPr>
      <t>.</t>
    </r>
    <phoneticPr fontId="2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</si>
  <si>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6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보증금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계약금</t>
    </r>
    <r>
      <rPr>
        <b/>
        <sz val="9"/>
        <color rgb="FF1F3864"/>
        <rFont val="Arial"/>
        <family val="2"/>
      </rPr>
      <t>)</t>
    </r>
    <phoneticPr fontId="2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</si>
  <si>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포어스바이크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동의를</t>
    </r>
    <phoneticPr fontId="23" type="noConversion"/>
  </si>
  <si>
    <r>
      <rPr>
        <sz val="8"/>
        <color rgb="FF2B2B2B"/>
        <rFont val="맑은 고딕"/>
        <family val="3"/>
        <charset val="129"/>
      </rPr>
      <t>받아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최대</t>
    </r>
    <r>
      <rPr>
        <sz val="8"/>
        <color rgb="FF2B2B2B"/>
        <rFont val="Arial"/>
        <family val="2"/>
      </rPr>
      <t xml:space="preserve"> 7</t>
    </r>
    <r>
      <rPr>
        <sz val="8"/>
        <color rgb="FF2B2B2B"/>
        <rFont val="맑은 고딕"/>
        <family val="3"/>
        <charset val="129"/>
      </rPr>
      <t>일의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유예기간을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</si>
  <si>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rFont val="Segoe UI Symbol"/>
        <family val="1"/>
      </rPr>
      <t>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전항의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유예기간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지급이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이루어지지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통지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최고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없이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해지될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있으며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계약</t>
    </r>
    <phoneticPr fontId="23" type="noConversion"/>
  </si>
  <si>
    <r>
      <rPr>
        <sz val="8"/>
        <color theme="1"/>
        <rFont val="맑은 고딕"/>
        <family val="3"/>
        <charset val="129"/>
      </rPr>
      <t>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즉시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이륜차를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반환함과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동시에</t>
    </r>
    <r>
      <rPr>
        <sz val="8"/>
        <color theme="1"/>
        <rFont val="Arial"/>
        <family val="2"/>
      </rPr>
      <t xml:space="preserve"> (1) </t>
    </r>
    <r>
      <rPr>
        <sz val="8"/>
        <color theme="1"/>
        <rFont val="맑은 고딕"/>
        <family val="3"/>
        <charset val="129"/>
      </rPr>
      <t>인도일부터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반환일까지의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일할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사용료</t>
    </r>
    <r>
      <rPr>
        <sz val="8"/>
        <color theme="1"/>
        <rFont val="Arial"/>
        <family val="2"/>
      </rPr>
      <t xml:space="preserve">, (2) </t>
    </r>
    <r>
      <rPr>
        <sz val="8"/>
        <color theme="1"/>
        <rFont val="맑은 고딕"/>
        <family val="3"/>
        <charset val="129"/>
      </rPr>
      <t>이륜차의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감가손실액</t>
    </r>
    <r>
      <rPr>
        <sz val="8"/>
        <color theme="1"/>
        <rFont val="Arial"/>
        <family val="2"/>
      </rPr>
      <t>,</t>
    </r>
    <phoneticPr fontId="23" type="noConversion"/>
  </si>
  <si>
    <t>(3) 차량 등록비·번호판 비용 등 회사가 이미 지출한 부대비용 일체를 회사에 배상하여야 한다.</t>
    <phoneticPr fontId="2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</si>
  <si>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다만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phoneticPr fontId="23" type="noConversion"/>
  </si>
  <si>
    <r>
      <t>·</t>
    </r>
    <r>
      <rPr>
        <sz val="8"/>
        <color theme="1"/>
        <rFont val="맑은 고딕"/>
        <family val="3"/>
        <charset val="129"/>
      </rPr>
      <t>수리비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등이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확인될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있으므로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계약기간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만료일로부터</t>
    </r>
    <r>
      <rPr>
        <sz val="8"/>
        <color theme="1"/>
        <rFont val="Arial"/>
        <family val="2"/>
      </rPr>
      <t xml:space="preserve"> 1</t>
    </r>
    <r>
      <rPr>
        <sz val="8"/>
        <color theme="1"/>
        <rFont val="맑은 고딕"/>
        <family val="3"/>
        <charset val="129"/>
      </rPr>
      <t>개월이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경과한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이후에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반환한다</t>
    </r>
    <r>
      <rPr>
        <sz val="8"/>
        <color theme="1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</si>
  <si>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차액</t>
    </r>
    <phoneticPr fontId="23" type="noConversion"/>
  </si>
  <si>
    <r>
      <rPr>
        <sz val="8"/>
        <color theme="1"/>
        <rFont val="맑은 고딕"/>
        <family val="3"/>
        <charset val="129"/>
      </rPr>
      <t>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추가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납부하여야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한다</t>
    </r>
    <r>
      <rPr>
        <sz val="8"/>
        <color theme="1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</si>
  <si>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범칙금은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초과분은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</si>
  <si>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반환받을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</si>
  <si>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rFont val="Segoe UI Symbol"/>
        <family val="1"/>
      </rPr>
      <t>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계약서에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기재된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할부금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및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관련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비용을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공휴일과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무관하게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정해진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납부기한에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수납</t>
    </r>
    <phoneticPr fontId="23" type="noConversion"/>
  </si>
  <si>
    <r>
      <rPr>
        <sz val="8"/>
        <rFont val="맑은 고딕"/>
        <family val="3"/>
        <charset val="129"/>
      </rPr>
      <t>대행사</t>
    </r>
    <r>
      <rPr>
        <sz val="8"/>
        <rFont val="Arial"/>
        <family val="2"/>
      </rPr>
      <t>(</t>
    </r>
    <r>
      <rPr>
        <sz val="8"/>
        <rFont val="맑은 고딕"/>
        <family val="3"/>
        <charset val="129"/>
      </rPr>
      <t>포어스바이크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유한회사</t>
    </r>
    <r>
      <rPr>
        <sz val="8"/>
        <rFont val="Arial"/>
        <family val="2"/>
      </rPr>
      <t xml:space="preserve">) </t>
    </r>
    <r>
      <rPr>
        <sz val="8"/>
        <rFont val="맑은 고딕"/>
        <family val="3"/>
        <charset val="129"/>
      </rPr>
      <t>명의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계좌로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납부하여야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한다</t>
    </r>
    <r>
      <rPr>
        <sz val="8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</si>
  <si>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결제방법이란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안내한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은행계좌로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한국은행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통화를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결제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</t>
    </r>
    <phoneticPr fontId="23" type="noConversion"/>
  </si>
  <si>
    <r>
      <rPr>
        <sz val="8"/>
        <color rgb="FF2B2B2B"/>
        <rFont val="맑은 고딕"/>
        <family val="3"/>
        <charset val="129"/>
      </rPr>
      <t>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의미한다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</si>
  <si>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매도인의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인상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정부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불가피한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사정으로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변동될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</t>
    </r>
    <phoneticPr fontId="23" type="noConversion"/>
  </si>
  <si>
    <r>
      <rPr>
        <sz val="8"/>
        <color rgb="FF2B2B2B"/>
        <rFont val="맑은 고딕"/>
        <family val="3"/>
        <charset val="129"/>
      </rPr>
      <t>지하며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출고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취소할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</si>
  <si>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불가능한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</t>
    </r>
    <phoneticPr fontId="23" type="noConversion"/>
  </si>
  <si>
    <r>
      <rPr>
        <sz val="8"/>
        <color rgb="FF2B2B2B"/>
        <rFont val="맑은 고딕"/>
        <family val="3"/>
        <charset val="129"/>
      </rPr>
      <t>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</si>
  <si>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납부주기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조정되는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산정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적용한다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</si>
  <si>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구상금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등록세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손해배상금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phoneticPr fontId="23" type="noConversion"/>
  </si>
  <si>
    <r>
      <t xml:space="preserve"> </t>
    </r>
    <r>
      <rPr>
        <sz val="8"/>
        <color rgb="FF2B2B2B"/>
        <rFont val="맑은 고딕"/>
        <family val="3"/>
        <charset val="129"/>
      </rPr>
      <t>연체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미납이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법령이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(1) </t>
    </r>
    <r>
      <rPr>
        <sz val="8"/>
        <color rgb="FF2B2B2B"/>
        <rFont val="맑은 고딕"/>
        <family val="3"/>
        <charset val="129"/>
      </rPr>
      <t>신용정보회</t>
    </r>
    <phoneticPr fontId="23" type="noConversion"/>
  </si>
  <si>
    <r>
      <rPr>
        <sz val="8"/>
        <color rgb="FF2B2B2B"/>
        <rFont val="맑은 고딕"/>
        <family val="3"/>
        <charset val="129"/>
      </rPr>
      <t>사·신용정보집중기관에 채무불이행 사실을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등록하거나</t>
    </r>
    <r>
      <rPr>
        <sz val="8"/>
        <color rgb="FF2B2B2B"/>
        <rFont val="Arial"/>
        <family val="2"/>
      </rPr>
      <t xml:space="preserve">, (2) </t>
    </r>
    <r>
      <rPr>
        <sz val="8"/>
        <color rgb="FF2B2B2B"/>
        <rFont val="맑은 고딕"/>
        <family val="3"/>
        <charset val="129"/>
      </rPr>
      <t>신용정보업체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채권추심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전문기관에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채권추</t>
    </r>
    <phoneticPr fontId="23" type="noConversion"/>
  </si>
  <si>
    <r>
      <rPr>
        <sz val="8"/>
        <color rgb="FF2B2B2B"/>
        <rFont val="맑은 고딕"/>
        <family val="3"/>
        <charset val="129"/>
      </rPr>
      <t>심을 위임할 수 있다. 수납대행사인 포어스바이크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대리하여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</t>
    </r>
    <r>
      <rPr>
        <sz val="8"/>
        <color rgb="FF2B2B2B"/>
        <rFont val="Arial"/>
        <family val="2"/>
      </rPr>
      <t xml:space="preserve"> </t>
    </r>
    <phoneticPr fontId="23" type="noConversion"/>
  </si>
  <si>
    <t>독촉을 할 수 있다.</t>
    <phoneticPr fontId="23" type="noConversion"/>
  </si>
  <si>
    <r>
      <rPr>
        <sz val="8"/>
        <color rgb="FF2B2B2B"/>
        <rFont val="Segoe UI Symbol"/>
        <family val="1"/>
      </rPr>
      <t>⑦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가맹중인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배달플랫폼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제휴계약이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체결되어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플랫폼사의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페이</t>
    </r>
    <phoneticPr fontId="23" type="noConversion"/>
  </si>
  <si>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가능하다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단</t>
    </r>
    <r>
      <rPr>
        <sz val="8"/>
        <color rgb="FF2B2B2B"/>
        <rFont val="Arial"/>
        <family val="2"/>
      </rPr>
      <t xml:space="preserve">, (1) </t>
    </r>
    <r>
      <rPr>
        <sz val="8"/>
        <color rgb="FF2B2B2B"/>
        <rFont val="맑은 고딕"/>
        <family val="3"/>
        <charset val="129"/>
      </rPr>
      <t>계약자와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플랫폼사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가맹계약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Arial"/>
        <family val="2"/>
      </rPr>
      <t xml:space="preserve">, (2) </t>
    </r>
    <r>
      <rPr>
        <sz val="8"/>
        <color rgb="FF2B2B2B"/>
        <rFont val="맑은 고딕"/>
        <family val="3"/>
        <charset val="129"/>
      </rPr>
      <t>회사와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플</t>
    </r>
    <phoneticPr fontId="23" type="noConversion"/>
  </si>
  <si>
    <r>
      <t xml:space="preserve"> </t>
    </r>
    <r>
      <rPr>
        <sz val="8"/>
        <color rgb="FF2B2B2B"/>
        <rFont val="맑은 고딕"/>
        <family val="3"/>
        <charset val="129"/>
      </rPr>
      <t>제휴계약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Arial"/>
        <family val="2"/>
      </rPr>
      <t xml:space="preserve">, (3) </t>
    </r>
    <r>
      <rPr>
        <sz val="8"/>
        <color rgb="FF2B2B2B"/>
        <rFont val="맑은 고딕"/>
        <family val="3"/>
        <charset val="129"/>
      </rPr>
      <t>플랫폼사의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페이가</t>
    </r>
    <r>
      <rPr>
        <sz val="8"/>
        <color rgb="FF2B2B2B"/>
        <rFont val="Arial"/>
        <family val="2"/>
      </rPr>
      <t xml:space="preserve"> 72</t>
    </r>
    <r>
      <rPr>
        <sz val="8"/>
        <color rgb="FF2B2B2B"/>
        <rFont val="맑은 고딕"/>
        <family val="3"/>
        <charset val="129"/>
      </rPr>
      <t>시간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연속으로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금액만큼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출금되지</t>
    </r>
    <phoneticPr fontId="23" type="noConversion"/>
  </si>
  <si>
    <r>
      <t xml:space="preserve"> </t>
    </r>
    <r>
      <rPr>
        <sz val="8"/>
        <color rgb="FF2B2B2B"/>
        <rFont val="맑은 고딕"/>
        <family val="3"/>
        <charset val="129"/>
      </rPr>
      <t>아니한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일차감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프로그램은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중단되고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1</t>
    </r>
    <r>
      <rPr>
        <sz val="8"/>
        <color rgb="FF2B2B2B"/>
        <rFont val="맑은 고딕"/>
        <family val="3"/>
        <charset val="129"/>
      </rPr>
      <t>항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2</t>
    </r>
    <r>
      <rPr>
        <sz val="8"/>
        <color rgb="FF2B2B2B"/>
        <rFont val="맑은 고딕"/>
        <family val="3"/>
        <charset val="129"/>
      </rPr>
      <t>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결제방법이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변경된다</t>
    </r>
    <r>
      <rPr>
        <sz val="8"/>
        <color rgb="FF2B2B2B"/>
        <rFont val="Arial"/>
        <family val="2"/>
      </rPr>
      <t>.</t>
    </r>
    <phoneticPr fontId="2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</si>
  <si>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8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지연손해금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처리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지체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위약금</t>
    </r>
    <r>
      <rPr>
        <b/>
        <sz val="9"/>
        <color rgb="FF1F3864"/>
        <rFont val="Arial"/>
        <family val="2"/>
      </rPr>
      <t>)</t>
    </r>
    <phoneticPr fontId="23" type="noConversion"/>
  </si>
  <si>
    <r>
      <rPr>
        <sz val="8"/>
        <rFont val="Segoe UI Symbol"/>
        <family val="1"/>
      </rPr>
      <t>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계약상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약정된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채무를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기한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이행하지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위약금이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발생하며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회사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청구일로부터</t>
    </r>
    <r>
      <rPr>
        <sz val="8"/>
        <rFont val="Arial"/>
        <family val="2"/>
      </rPr>
      <t xml:space="preserve"> 7</t>
    </r>
    <r>
      <rPr>
        <sz val="8"/>
        <rFont val="맑은 고딕"/>
        <family val="3"/>
        <charset val="129"/>
      </rPr>
      <t>일</t>
    </r>
    <phoneticPr fontId="23" type="noConversion"/>
  </si>
  <si>
    <r>
      <rPr>
        <sz val="8"/>
        <rFont val="맑은 고딕"/>
        <family val="3"/>
        <charset val="129"/>
      </rPr>
      <t>이내에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지급한다</t>
    </r>
    <r>
      <rPr>
        <sz val="8"/>
        <rFont val="Arial"/>
        <family val="2"/>
      </rPr>
      <t>.</t>
    </r>
    <phoneticPr fontId="23" type="noConversion"/>
  </si>
  <si>
    <r>
      <rPr>
        <sz val="8"/>
        <rFont val="Segoe UI Symbol"/>
        <family val="1"/>
      </rPr>
      <t>②</t>
    </r>
    <r>
      <rPr>
        <sz val="8"/>
        <rFont val="Arial"/>
        <family val="2"/>
      </rPr>
      <t xml:space="preserve"> "</t>
    </r>
    <r>
      <rPr>
        <sz val="8"/>
        <rFont val="맑은 고딕"/>
        <family val="3"/>
        <charset val="129"/>
      </rPr>
      <t>지연손해금</t>
    </r>
    <r>
      <rPr>
        <sz val="8"/>
        <rFont val="Arial"/>
        <family val="2"/>
      </rPr>
      <t>"</t>
    </r>
    <r>
      <rPr>
        <sz val="8"/>
        <rFont val="맑은 고딕"/>
        <family val="3"/>
        <charset val="129"/>
      </rPr>
      <t>이란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할부금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해지위약금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수리비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과태료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등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지급할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금액의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납부를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지체한</t>
    </r>
    <phoneticPr fontId="23" type="noConversion"/>
  </si>
  <si>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발생하는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금원으로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다음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산식에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따라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산정한다</t>
    </r>
    <r>
      <rPr>
        <sz val="8"/>
        <rFont val="Arial"/>
        <family val="2"/>
      </rPr>
      <t>. [</t>
    </r>
    <r>
      <rPr>
        <sz val="8"/>
        <rFont val="맑은 고딕"/>
        <family val="3"/>
        <charset val="129"/>
      </rPr>
      <t>지연손해금</t>
    </r>
    <r>
      <rPr>
        <sz val="8"/>
        <rFont val="Arial"/>
        <family val="2"/>
      </rPr>
      <t xml:space="preserve"> = </t>
    </r>
    <r>
      <rPr>
        <sz val="8"/>
        <rFont val="맑은 고딕"/>
        <family val="3"/>
        <charset val="129"/>
      </rPr>
      <t>연체금액</t>
    </r>
    <r>
      <rPr>
        <sz val="8"/>
        <rFont val="Arial"/>
        <family val="2"/>
      </rPr>
      <t xml:space="preserve"> </t>
    </r>
    <r>
      <rPr>
        <sz val="8"/>
        <rFont val="DejaVu Sans"/>
        <family val="2"/>
        <charset val="129"/>
      </rPr>
      <t>×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경과일수</t>
    </r>
    <r>
      <rPr>
        <sz val="8"/>
        <rFont val="Arial"/>
        <family val="2"/>
      </rPr>
      <t xml:space="preserve"> </t>
    </r>
    <r>
      <rPr>
        <sz val="8"/>
        <rFont val="DejaVu Sans"/>
        <family val="2"/>
        <charset val="129"/>
      </rPr>
      <t>×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연</t>
    </r>
    <r>
      <rPr>
        <sz val="8"/>
        <rFont val="Arial"/>
        <family val="2"/>
      </rPr>
      <t xml:space="preserve"> 15%]</t>
    </r>
    <phoneticPr fontId="23" type="noConversion"/>
  </si>
  <si>
    <r>
      <rPr>
        <sz val="8"/>
        <rFont val="Segoe UI Symbol"/>
        <family val="1"/>
      </rPr>
      <t>③</t>
    </r>
    <r>
      <rPr>
        <sz val="8"/>
        <rFont val="Arial"/>
        <family val="2"/>
      </rPr>
      <t xml:space="preserve"> "</t>
    </r>
    <r>
      <rPr>
        <sz val="8"/>
        <rFont val="맑은 고딕"/>
        <family val="3"/>
        <charset val="129"/>
      </rPr>
      <t>처리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위약금</t>
    </r>
    <r>
      <rPr>
        <sz val="8"/>
        <rFont val="Arial"/>
        <family val="2"/>
      </rPr>
      <t>"</t>
    </r>
    <r>
      <rPr>
        <sz val="8"/>
        <rFont val="맑은 고딕"/>
        <family val="3"/>
        <charset val="129"/>
      </rPr>
      <t>이란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할부금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완납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명의이전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사용폐지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등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처리절차의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지체로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발생하는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비용</t>
    </r>
    <phoneticPr fontId="23" type="noConversion"/>
  </si>
  <si>
    <t>·위약을 보전하는 금원으로, 다음 각 호를 합산하여 산정한다.</t>
    <phoneticPr fontId="23" type="noConversion"/>
  </si>
  <si>
    <t>1. 정액 처리비: [1만원 × 지체일수] (회사 행정처리·관리 비용)</t>
    <phoneticPr fontId="23" type="noConversion"/>
  </si>
  <si>
    <t>2. 실비: 회사가 실제 부담한 사용폐지·이전등록 신고지연 과태료, 자동차세 등 명의 유지로 부과된 제세</t>
    <phoneticPr fontId="23" type="noConversion"/>
  </si>
  <si>
    <t>공과금 일체.</t>
    <phoneticPr fontId="2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</si>
  <si>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9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운행자성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운행지배</t>
    </r>
    <r>
      <rPr>
        <b/>
        <sz val="9"/>
        <color rgb="FF1F3864"/>
        <rFont val="Arial"/>
        <family val="2"/>
      </rPr>
      <t>)</t>
    </r>
    <phoneticPr fontId="23" type="noConversion"/>
  </si>
  <si>
    <r>
      <rPr>
        <sz val="8"/>
        <rFont val="Segoe UI Symbol"/>
        <family val="1"/>
      </rPr>
      <t>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차량의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소유권은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있으나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회사는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자동차손해배상보장법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</t>
    </r>
    <r>
      <rPr>
        <sz val="8"/>
        <rFont val="Arial"/>
        <family val="2"/>
      </rPr>
      <t>3</t>
    </r>
    <r>
      <rPr>
        <sz val="8"/>
        <rFont val="맑은 고딕"/>
        <family val="3"/>
        <charset val="129"/>
      </rPr>
      <t>조에서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정한</t>
    </r>
    <r>
      <rPr>
        <sz val="8"/>
        <rFont val="Arial"/>
        <family val="2"/>
      </rPr>
      <t xml:space="preserve"> "</t>
    </r>
    <r>
      <rPr>
        <sz val="8"/>
        <rFont val="맑은 고딕"/>
        <family val="3"/>
        <charset val="129"/>
      </rPr>
      <t>자기</t>
    </r>
    <phoneticPr fontId="23" type="noConversion"/>
  </si>
  <si>
    <r>
      <rPr>
        <sz val="8"/>
        <rFont val="맑은 고딕"/>
        <family val="3"/>
        <charset val="129"/>
      </rPr>
      <t>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위하여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자동차를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운행하는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자</t>
    </r>
    <r>
      <rPr>
        <sz val="8"/>
        <rFont val="Arial"/>
        <family val="2"/>
      </rPr>
      <t>"(</t>
    </r>
    <r>
      <rPr>
        <sz val="8"/>
        <rFont val="맑은 고딕"/>
        <family val="3"/>
        <charset val="129"/>
      </rPr>
      <t>이하</t>
    </r>
    <r>
      <rPr>
        <sz val="8"/>
        <rFont val="Arial"/>
        <family val="2"/>
      </rPr>
      <t xml:space="preserve"> "</t>
    </r>
    <r>
      <rPr>
        <sz val="8"/>
        <rFont val="맑은 고딕"/>
        <family val="3"/>
        <charset val="129"/>
      </rPr>
      <t>운행자</t>
    </r>
    <r>
      <rPr>
        <sz val="8"/>
        <rFont val="Arial"/>
        <family val="2"/>
      </rPr>
      <t>")</t>
    </r>
    <r>
      <rPr>
        <sz val="8"/>
        <rFont val="맑은 고딕"/>
        <family val="3"/>
        <charset val="129"/>
      </rPr>
      <t>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해당하지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않는다</t>
    </r>
    <r>
      <rPr>
        <sz val="8"/>
        <rFont val="Arial"/>
        <family val="2"/>
      </rPr>
      <t xml:space="preserve">. </t>
    </r>
    <r>
      <rPr>
        <sz val="8"/>
        <rFont val="맑은 고딕"/>
        <family val="3"/>
        <charset val="129"/>
      </rPr>
      <t>회사는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차량에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대한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운행지</t>
    </r>
    <phoneticPr fontId="23" type="noConversion"/>
  </si>
  <si>
    <r>
      <rPr>
        <sz val="8"/>
        <rFont val="맑은 고딕"/>
        <family val="3"/>
        <charset val="129"/>
      </rPr>
      <t>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및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운행이익을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갖지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않는다</t>
    </r>
    <r>
      <rPr>
        <sz val="8"/>
        <rFont val="Arial"/>
        <family val="2"/>
      </rPr>
      <t>.</t>
    </r>
    <phoneticPr fontId="23" type="noConversion"/>
  </si>
  <si>
    <r>
      <rPr>
        <sz val="8"/>
        <rFont val="Segoe UI Symbol"/>
        <family val="1"/>
      </rPr>
      <t>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차량의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보험은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직접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가입하며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회사는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보험계약의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당사자가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아니다</t>
    </r>
    <r>
      <rPr>
        <sz val="8"/>
        <rFont val="Arial"/>
        <family val="2"/>
      </rPr>
      <t>.</t>
    </r>
    <phoneticPr fontId="23" type="noConversion"/>
  </si>
  <si>
    <r>
      <rPr>
        <sz val="8"/>
        <rFont val="Segoe UI Symbol"/>
        <family val="1"/>
      </rPr>
      <t>③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이륜차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보관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사용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등으로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</t>
    </r>
    <r>
      <rPr>
        <sz val="8"/>
        <rFont val="Arial"/>
        <family val="2"/>
      </rPr>
      <t>3</t>
    </r>
    <r>
      <rPr>
        <sz val="8"/>
        <rFont val="맑은 고딕"/>
        <family val="3"/>
        <charset val="129"/>
      </rPr>
      <t>자에게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손해가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발생한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고의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과실이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없는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책임은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</t>
    </r>
    <phoneticPr fontId="23" type="noConversion"/>
  </si>
  <si>
    <r>
      <rPr>
        <sz val="8"/>
        <rFont val="맑은 고딕"/>
        <family val="3"/>
        <charset val="129"/>
      </rPr>
      <t>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부담한다</t>
    </r>
    <r>
      <rPr>
        <sz val="8"/>
        <rFont val="Arial"/>
        <family val="2"/>
      </rPr>
      <t xml:space="preserve">.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명의로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차량의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자동차보험에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가입할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의무가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있으며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차량이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유상</t>
    </r>
    <phoneticPr fontId="23" type="noConversion"/>
  </si>
  <si>
    <r>
      <rPr>
        <sz val="8"/>
        <color rgb="FF2B2B2B"/>
        <rFont val="맑은 고딕"/>
        <family val="3"/>
        <charset val="129"/>
      </rPr>
      <t>운송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목적으로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고려하여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유상운송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용도에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적합한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가입하여야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부적합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보험가</t>
    </r>
    <phoneticPr fontId="23" type="noConversion"/>
  </si>
  <si>
    <r>
      <rPr>
        <sz val="8"/>
        <color rgb="FF2B2B2B"/>
        <rFont val="맑은 고딕"/>
        <family val="3"/>
        <charset val="129"/>
      </rPr>
      <t>입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보장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부족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가입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불가하거나</t>
    </r>
    <phoneticPr fontId="23" type="noConversion"/>
  </si>
  <si>
    <r>
      <rPr>
        <sz val="8"/>
        <color rgb="FF2B2B2B"/>
        <rFont val="맑은 고딕"/>
        <family val="3"/>
        <charset val="129"/>
      </rPr>
      <t>보험금으로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</si>
  <si>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theme="1"/>
        <rFont val="Segoe UI Symbol"/>
        <family val="1"/>
      </rPr>
      <t>④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</t>
    </r>
    <r>
      <rPr>
        <sz val="8"/>
        <color theme="1"/>
        <rFont val="Arial"/>
        <family val="2"/>
      </rPr>
      <t>3</t>
    </r>
    <r>
      <rPr>
        <sz val="8"/>
        <color theme="1"/>
        <rFont val="맑은 고딕"/>
        <family val="3"/>
        <charset val="129"/>
      </rPr>
      <t>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상대로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책임을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청구하는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자신의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비용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책임으로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면책시켜</t>
    </r>
    <phoneticPr fontId="23" type="noConversion"/>
  </si>
  <si>
    <r>
      <rPr>
        <sz val="8"/>
        <color theme="1"/>
        <rFont val="맑은 고딕"/>
        <family val="3"/>
        <charset val="129"/>
      </rPr>
      <t>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하며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회사가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부득이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배상한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금액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관련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비용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일체를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즉시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상환하여야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한다</t>
    </r>
    <r>
      <rPr>
        <sz val="8"/>
        <color theme="1"/>
        <rFont val="Arial"/>
        <family val="2"/>
      </rPr>
      <t>.</t>
    </r>
    <phoneticPr fontId="2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</si>
  <si>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10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계약의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이관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승계</t>
    </r>
    <r>
      <rPr>
        <b/>
        <sz val="9"/>
        <color rgb="FF1F3864"/>
        <rFont val="Arial"/>
        <family val="2"/>
      </rPr>
      <t>)</t>
    </r>
    <phoneticPr fontId="2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</si>
  <si>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</si>
  <si>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승계하고자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인적사항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신용상태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영업상황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제공하여야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</t>
    </r>
    <phoneticPr fontId="23" type="noConversion"/>
  </si>
  <si>
    <r>
      <rPr>
        <sz val="8"/>
        <color rgb="FF2B2B2B"/>
        <rFont val="맑은 고딕"/>
        <family val="3"/>
        <charset val="129"/>
      </rPr>
      <t>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심사기준에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부합하지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않으면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거절할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</si>
  <si>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넘긴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계속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phoneticPr fontId="23" type="noConversion"/>
  </si>
  <si>
    <r>
      <rPr>
        <sz val="8"/>
        <color rgb="FF2B2B2B"/>
        <rFont val="맑은 고딕"/>
        <family val="3"/>
        <charset val="129"/>
      </rPr>
      <t>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</si>
  <si>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위해서는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</si>
  <si>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승계받고자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계약이관서에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서명함으로써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</t>
    </r>
    <r>
      <rPr>
        <sz val="8"/>
        <color rgb="FF2B2B2B"/>
        <rFont val="Arial"/>
        <family val="2"/>
      </rPr>
      <t>.</t>
    </r>
    <phoneticPr fontId="2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</si>
  <si>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11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차량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위치정보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등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제공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동의</t>
    </r>
    <r>
      <rPr>
        <b/>
        <sz val="9"/>
        <color rgb="FF1F3864"/>
        <rFont val="Arial"/>
        <family val="2"/>
      </rPr>
      <t>)</t>
    </r>
    <phoneticPr fontId="2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</si>
  <si>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분실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부착되어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phoneticPr fontId="23" type="noConversion"/>
  </si>
  <si>
    <r>
      <rPr>
        <sz val="8"/>
        <color rgb="FF2B2B2B"/>
        <rFont val="맑은 고딕"/>
        <family val="3"/>
        <charset val="129"/>
      </rPr>
      <t>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</si>
  <si>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이용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제공의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적법성을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확보할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</t>
    </r>
    <phoneticPr fontId="23" type="noConversion"/>
  </si>
  <si>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이와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손해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과태료에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phoneticPr fontId="23" type="noConversion"/>
  </si>
  <si>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</si>
  <si>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제거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</si>
  <si>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채무불이행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보험사고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관리에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범위내에서만</t>
    </r>
    <phoneticPr fontId="23" type="noConversion"/>
  </si>
  <si>
    <r>
      <rPr>
        <sz val="8"/>
        <color rgb="FF2B2B2B"/>
        <rFont val="맑은 고딕"/>
        <family val="3"/>
        <charset val="129"/>
      </rPr>
      <t>위치정보를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활용한다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</si>
  <si>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12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이륜차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유지비용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제세공과금</t>
    </r>
    <r>
      <rPr>
        <b/>
        <sz val="9"/>
        <color rgb="FF1F3864"/>
        <rFont val="Arial"/>
        <family val="2"/>
      </rPr>
      <t>)</t>
    </r>
    <phoneticPr fontId="2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</si>
  <si>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법령과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관할관청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지시를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준수한다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</si>
  <si>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언제든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준수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점검할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협조하여</t>
    </r>
    <phoneticPr fontId="23" type="noConversion"/>
  </si>
  <si>
    <r>
      <rPr>
        <sz val="8"/>
        <color rgb="FF2B2B2B"/>
        <rFont val="맑은 고딕"/>
        <family val="3"/>
        <charset val="129"/>
      </rPr>
      <t>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</si>
  <si>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사용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고의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과실이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phoneticPr fontId="23" type="noConversion"/>
  </si>
  <si>
    <r>
      <rPr>
        <sz val="8"/>
        <color rgb="FF2B2B2B"/>
        <rFont val="맑은 고딕"/>
        <family val="3"/>
        <charset val="129"/>
      </rPr>
      <t>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가입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유상운송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목적으로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사용되는</t>
    </r>
    <phoneticPr fontId="23" type="noConversion"/>
  </si>
  <si>
    <r>
      <rPr>
        <sz val="8"/>
        <color rgb="FF2B2B2B"/>
        <rFont val="맑은 고딕"/>
        <family val="3"/>
        <charset val="129"/>
      </rPr>
      <t>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고려하여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유상운송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용도에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적합한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가입할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</si>
  <si>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맑은 고딕"/>
        <family val="3"/>
        <charset val="129"/>
      </rPr>
      <t>부적합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가입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보장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부족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본인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가입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보험처리가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</t>
    </r>
    <phoneticPr fontId="23" type="noConversion"/>
  </si>
  <si>
    <r>
      <rPr>
        <sz val="8"/>
        <color rgb="FF2B2B2B"/>
        <rFont val="맑은 고딕"/>
        <family val="3"/>
        <charset val="129"/>
      </rPr>
      <t>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보험금으로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</si>
  <si>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유지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사용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등록말소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폐차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제세공과금</t>
    </r>
    <phoneticPr fontId="23" type="noConversion"/>
  </si>
  <si>
    <r>
      <t>(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벌과금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</si>
  <si>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된다</t>
    </r>
    <r>
      <rPr>
        <sz val="8"/>
        <color rgb="FF2B2B2B"/>
        <rFont val="Arial"/>
        <family val="2"/>
      </rPr>
      <t xml:space="preserve">: (1)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전대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</t>
    </r>
    <phoneticPr fontId="23" type="noConversion"/>
  </si>
  <si>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Arial"/>
        <family val="2"/>
      </rPr>
      <t xml:space="preserve">, (2)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부족한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Arial"/>
        <family val="2"/>
      </rPr>
      <t xml:space="preserve">, (3) </t>
    </r>
    <r>
      <rPr>
        <sz val="8"/>
        <color rgb="FF2B2B2B"/>
        <rFont val="맑은 고딕"/>
        <family val="3"/>
        <charset val="129"/>
      </rPr>
      <t>이륜차</t>
    </r>
    <phoneticPr fontId="23" type="noConversion"/>
  </si>
  <si>
    <t>규격·성능·기능을 임의로 변경하거나 번호판을 훼손하는 행위, (4) 이륜차를 제3자에게 담보 목적으로 제</t>
    <phoneticPr fontId="23" type="noConversion"/>
  </si>
  <si>
    <r>
      <rPr>
        <sz val="8"/>
        <color rgb="FF2B2B2B"/>
        <rFont val="맑은 고딕"/>
        <family val="3"/>
        <charset val="129"/>
      </rPr>
      <t>공하는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Arial"/>
        <family val="2"/>
      </rPr>
      <t xml:space="preserve">, (5)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표지를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제거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위치를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</si>
  <si>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조의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최고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18</t>
    </r>
    <r>
      <rPr>
        <sz val="8"/>
        <color rgb="FF2B2B2B"/>
        <rFont val="맑은 고딕"/>
        <family val="3"/>
        <charset val="129"/>
      </rPr>
      <t>조</t>
    </r>
    <phoneticPr fontId="23" type="noConversion"/>
  </si>
  <si>
    <t>에 따른 위약금 및 원상복구비 등 일체의 손해를 청구할 수 있다.</t>
    <phoneticPr fontId="2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</si>
  <si>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14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3</t>
    </r>
    <r>
      <rPr>
        <b/>
        <sz val="9"/>
        <color rgb="FF1F3864"/>
        <rFont val="맑은 고딕"/>
        <family val="3"/>
        <charset val="129"/>
      </rPr>
      <t>자에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대한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면책</t>
    </r>
    <r>
      <rPr>
        <b/>
        <sz val="9"/>
        <color rgb="FF1F3864"/>
        <rFont val="Arial"/>
        <family val="2"/>
      </rPr>
      <t>)</t>
    </r>
    <phoneticPr fontId="2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</si>
  <si>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구상금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phoneticPr fontId="23" type="noConversion"/>
  </si>
  <si>
    <r>
      <rPr>
        <sz val="8"/>
        <color rgb="FF2B2B2B"/>
        <rFont val="맑은 고딕"/>
        <family val="3"/>
        <charset val="129"/>
      </rPr>
      <t>청구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시점이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인적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물적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구상금을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phoneticPr fontId="23" type="noConversion"/>
  </si>
  <si>
    <r>
      <rPr>
        <sz val="8"/>
        <color rgb="FF2B2B2B"/>
        <rFont val="맑은 고딕"/>
        <family val="3"/>
        <charset val="129"/>
      </rPr>
      <t>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자신의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책임으로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면책시켜야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</si>
  <si>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소유자라는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phoneticPr fontId="23" type="noConversion"/>
  </si>
  <si>
    <r>
      <rPr>
        <sz val="8"/>
        <color rgb="FF2B2B2B"/>
        <rFont val="맑은 고딕"/>
        <family val="3"/>
        <charset val="129"/>
      </rPr>
      <t>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</si>
  <si>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소송비용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부담하여야한다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</si>
  <si>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가입하는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할부판매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상품으로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당사자가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보험료</t>
    </r>
    <phoneticPr fontId="23" type="noConversion"/>
  </si>
  <si>
    <r>
      <t>·</t>
    </r>
    <r>
      <rPr>
        <sz val="8"/>
        <color rgb="FF2B2B2B"/>
        <rFont val="맑은 고딕"/>
        <family val="3"/>
        <charset val="129"/>
      </rPr>
      <t>자기부담금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구상금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면책금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사고처리비용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Arial"/>
        <family val="2"/>
      </rPr>
      <t>,</t>
    </r>
    <phoneticPr fontId="23" type="noConversion"/>
  </si>
  <si>
    <r>
      <rPr>
        <sz val="8"/>
        <rFont val="맑은 고딕"/>
        <family val="3"/>
        <charset val="129"/>
      </rPr>
      <t>회사는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대해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책임을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않는다</t>
    </r>
    <r>
      <rPr>
        <sz val="8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</si>
  <si>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구상금을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범위를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>,</t>
    </r>
    <phoneticPr fontId="23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</si>
  <si>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고지하여야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보험사가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구상금을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통보</t>
    </r>
    <phoneticPr fontId="23" type="noConversion"/>
  </si>
  <si>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7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변제하여야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</si>
  <si>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전항의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고지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변제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위반한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</t>
    </r>
    <phoneticPr fontId="23" type="noConversion"/>
  </si>
  <si>
    <r>
      <rPr>
        <sz val="8"/>
        <color rgb="FF2B2B2B"/>
        <rFont val="맑은 고딕"/>
        <family val="3"/>
        <charset val="129"/>
      </rPr>
      <t>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부득이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배상한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상환한다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</si>
  <si>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15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계약자에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의한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중도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해지</t>
    </r>
    <r>
      <rPr>
        <b/>
        <sz val="9"/>
        <color rgb="FF1F3864"/>
        <rFont val="Arial"/>
        <family val="2"/>
      </rPr>
      <t>)</t>
    </r>
    <phoneticPr fontId="2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</si>
  <si>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8</t>
    </r>
    <r>
      <rPr>
        <sz val="8"/>
        <color rgb="FF2B2B2B"/>
        <rFont val="맑은 고딕"/>
        <family val="3"/>
        <charset val="129"/>
      </rPr>
      <t>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17</t>
    </r>
    <r>
      <rPr>
        <sz val="8"/>
        <color rgb="FF2B2B2B"/>
        <rFont val="맑은 고딕"/>
        <family val="3"/>
        <charset val="129"/>
      </rPr>
      <t>조에서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phoneticPr fontId="23" type="noConversion"/>
  </si>
  <si>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</si>
  <si>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rFont val="Segoe UI Symbol"/>
        <family val="1"/>
      </rPr>
      <t>③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예정일까지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지정한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장소에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이륜차를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반환하며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관련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비용은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부담한다</t>
    </r>
    <r>
      <rPr>
        <sz val="8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</si>
  <si>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최종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해지일은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평가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정산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성실히</t>
    </r>
    <phoneticPr fontId="23" type="noConversion"/>
  </si>
  <si>
    <r>
      <rPr>
        <sz val="8"/>
        <color rgb="FF2B2B2B"/>
        <rFont val="맑은 고딕"/>
        <family val="3"/>
        <charset val="129"/>
      </rPr>
      <t>협조하여야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</si>
  <si>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16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계약의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해지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사유</t>
    </r>
    <r>
      <rPr>
        <b/>
        <sz val="9"/>
        <color rgb="FF1F3864"/>
        <rFont val="Arial"/>
        <family val="2"/>
      </rPr>
      <t>)</t>
    </r>
    <phoneticPr fontId="23" type="noConversion"/>
  </si>
  <si>
    <r>
      <rPr>
        <sz val="8"/>
        <color theme="1"/>
        <rFont val="맑은 고딕"/>
        <family val="3"/>
        <charset val="129"/>
      </rPr>
      <t>다음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호에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해당하는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통지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최고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없이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기한이익을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상실하며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회사는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해지하고</t>
    </r>
    <phoneticPr fontId="23" type="noConversion"/>
  </si>
  <si>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 xml:space="preserve">: (1)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전대</t>
    </r>
    <r>
      <rPr>
        <sz val="8"/>
        <color rgb="FF2B2B2B"/>
        <rFont val="Arial"/>
        <family val="2"/>
      </rPr>
      <t xml:space="preserve">, (2)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미달자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발견</t>
    </r>
    <r>
      <rPr>
        <sz val="8"/>
        <color rgb="FF2B2B2B"/>
        <rFont val="Arial"/>
        <family val="2"/>
      </rPr>
      <t>, (3)</t>
    </r>
    <phoneticPr fontId="23" type="noConversion"/>
  </si>
  <si>
    <r>
      <rPr>
        <sz val="8"/>
        <rFont val="맑은 고딕"/>
        <family val="3"/>
        <charset val="129"/>
      </rPr>
      <t>정해진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납부기한에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할부금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미납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및</t>
    </r>
    <r>
      <rPr>
        <sz val="8"/>
        <rFont val="Arial"/>
        <family val="2"/>
      </rPr>
      <t xml:space="preserve"> 7</t>
    </r>
    <r>
      <rPr>
        <sz val="8"/>
        <rFont val="맑은 고딕"/>
        <family val="3"/>
        <charset val="129"/>
      </rPr>
      <t>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이상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지체</t>
    </r>
    <r>
      <rPr>
        <sz val="8"/>
        <rFont val="Arial"/>
        <family val="2"/>
      </rPr>
      <t xml:space="preserve">, (4) </t>
    </r>
    <r>
      <rPr>
        <sz val="8"/>
        <rFont val="맑은 고딕"/>
        <family val="3"/>
        <charset val="129"/>
      </rPr>
      <t>통지받은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수리비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과태료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구상금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등을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정당한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사유</t>
    </r>
    <phoneticPr fontId="23" type="noConversion"/>
  </si>
  <si>
    <r>
      <rPr>
        <sz val="8"/>
        <rFont val="맑은 고딕"/>
        <family val="3"/>
        <charset val="129"/>
      </rPr>
      <t>없이</t>
    </r>
    <r>
      <rPr>
        <sz val="8"/>
        <rFont val="Arial"/>
        <family val="2"/>
      </rPr>
      <t xml:space="preserve"> 7</t>
    </r>
    <r>
      <rPr>
        <sz val="8"/>
        <rFont val="맑은 고딕"/>
        <family val="3"/>
        <charset val="129"/>
      </rPr>
      <t>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미납</t>
    </r>
    <r>
      <rPr>
        <sz val="8"/>
        <rFont val="Arial"/>
        <family val="2"/>
      </rPr>
      <t xml:space="preserve">, (5) </t>
    </r>
    <r>
      <rPr>
        <sz val="8"/>
        <rFont val="맑은 고딕"/>
        <family val="3"/>
        <charset val="129"/>
      </rPr>
      <t>무면허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음주운전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등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운전자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귀책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배상금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청구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후</t>
    </r>
    <r>
      <rPr>
        <sz val="8"/>
        <rFont val="Arial"/>
        <family val="2"/>
      </rPr>
      <t xml:space="preserve"> 7</t>
    </r>
    <r>
      <rPr>
        <sz val="8"/>
        <rFont val="맑은 고딕"/>
        <family val="3"/>
        <charset val="129"/>
      </rPr>
      <t>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미납</t>
    </r>
    <r>
      <rPr>
        <sz val="8"/>
        <rFont val="Arial"/>
        <family val="2"/>
      </rPr>
      <t xml:space="preserve">, (6) </t>
    </r>
    <r>
      <rPr>
        <sz val="8"/>
        <rFont val="맑은 고딕"/>
        <family val="3"/>
        <charset val="129"/>
      </rPr>
      <t>제</t>
    </r>
    <r>
      <rPr>
        <sz val="8"/>
        <rFont val="Arial"/>
        <family val="2"/>
      </rPr>
      <t>3</t>
    </r>
    <r>
      <rPr>
        <sz val="8"/>
        <rFont val="맑은 고딕"/>
        <family val="3"/>
        <charset val="129"/>
      </rPr>
      <t>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담보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제공</t>
    </r>
    <r>
      <rPr>
        <sz val="8"/>
        <rFont val="Arial"/>
        <family val="2"/>
      </rPr>
      <t xml:space="preserve"> </t>
    </r>
    <phoneticPr fontId="23" type="noConversion"/>
  </si>
  <si>
    <r>
      <rPr>
        <sz val="8"/>
        <color theme="1"/>
        <rFont val="맑은 고딕"/>
        <family val="3"/>
        <charset val="129"/>
      </rPr>
      <t>등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소유권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침해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규격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성능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표지의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무단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변경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훼손</t>
    </r>
    <r>
      <rPr>
        <sz val="8"/>
        <color theme="1"/>
        <rFont val="Arial"/>
        <family val="2"/>
      </rPr>
      <t xml:space="preserve">, (7) </t>
    </r>
    <r>
      <rPr>
        <sz val="8"/>
        <color theme="1"/>
        <rFont val="맑은 고딕"/>
        <family val="3"/>
        <charset val="129"/>
      </rPr>
      <t>위치정보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장치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훼손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은닉</t>
    </r>
    <r>
      <rPr>
        <sz val="8"/>
        <color theme="1"/>
        <rFont val="Arial"/>
        <family val="2"/>
      </rPr>
      <t xml:space="preserve">, (8) </t>
    </r>
    <r>
      <rPr>
        <sz val="8"/>
        <color theme="1"/>
        <rFont val="맑은 고딕"/>
        <family val="3"/>
        <charset val="129"/>
      </rPr>
      <t>보험사</t>
    </r>
    <phoneticPr fontId="23" type="noConversion"/>
  </si>
  <si>
    <t>구상금 통보 후 7일 이내 미변제, (9) 사고 발생 시 고지 의무 위반.</t>
    <phoneticPr fontId="2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</si>
  <si>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17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해지위약금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등의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부과방법</t>
    </r>
    <r>
      <rPr>
        <b/>
        <sz val="9"/>
        <color rgb="FF1F3864"/>
        <rFont val="Arial"/>
        <family val="2"/>
      </rPr>
      <t>)</t>
    </r>
    <phoneticPr fontId="23" type="noConversion"/>
  </si>
  <si>
    <r>
      <rPr>
        <sz val="8"/>
        <rFont val="Segoe UI Symbol"/>
        <family val="1"/>
      </rPr>
      <t>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위약금은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잔여기간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동안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입는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손해에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대한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배상액으로</t>
    </r>
    <r>
      <rPr>
        <sz val="8"/>
        <rFont val="Arial"/>
        <family val="2"/>
      </rPr>
      <t xml:space="preserve"> [</t>
    </r>
    <r>
      <rPr>
        <sz val="8"/>
        <rFont val="맑은 고딕"/>
        <family val="3"/>
        <charset val="129"/>
      </rPr>
      <t>잔여기간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총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할부금</t>
    </r>
    <r>
      <rPr>
        <sz val="8"/>
        <rFont val="Arial"/>
        <family val="2"/>
      </rPr>
      <t xml:space="preserve"> × 20%]</t>
    </r>
    <r>
      <rPr>
        <sz val="8"/>
        <rFont val="맑은 고딕"/>
        <family val="3"/>
        <charset val="129"/>
      </rPr>
      <t>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정한다</t>
    </r>
    <r>
      <rPr>
        <sz val="8"/>
        <rFont val="Arial"/>
        <family val="2"/>
      </rPr>
      <t>.</t>
    </r>
    <phoneticPr fontId="23" type="noConversion"/>
  </si>
  <si>
    <r>
      <rPr>
        <sz val="8"/>
        <rFont val="Segoe UI Symbol"/>
        <family val="1"/>
      </rPr>
      <t>③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이륜차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부착물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키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부속품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일체에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파손이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원상복구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수리비를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청구일로</t>
    </r>
    <phoneticPr fontId="23" type="noConversion"/>
  </si>
  <si>
    <t>계약자는 위약금을 계약 해지일까지 회사에 지급한다.</t>
    <phoneticPr fontId="23" type="noConversion"/>
  </si>
  <si>
    <t xml:space="preserve">② 기납부 보증금은 위약금과 별도로 계약 위반에 대한 위약벌로서 회사에 귀속되며, 계약자 귀책으로 본 </t>
    <phoneticPr fontId="23" type="noConversion"/>
  </si>
  <si>
    <t>계약이 해지되는 경우 반환하지 않는다. 위약금·손해배상금은 별도로 청구한다.</t>
    <phoneticPr fontId="23" type="noConversion"/>
  </si>
  <si>
    <r>
      <rPr>
        <sz val="8"/>
        <rFont val="Segoe UI Symbol"/>
        <family val="1"/>
      </rPr>
      <t>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지연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거부하는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이륜차를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임의로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회수할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있으며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회사의</t>
    </r>
    <phoneticPr fontId="23" type="noConversion"/>
  </si>
  <si>
    <r>
      <rPr>
        <sz val="8"/>
        <rFont val="Segoe UI Symbol"/>
        <family val="1"/>
      </rPr>
      <t>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해지되는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즉시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지정한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장소로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이륜차를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반환한다</t>
    </r>
    <r>
      <rPr>
        <sz val="8"/>
        <rFont val="Arial"/>
        <family val="2"/>
      </rPr>
      <t>.</t>
    </r>
    <phoneticPr fontId="23" type="noConversion"/>
  </si>
  <si>
    <r>
      <rPr>
        <sz val="8"/>
        <rFont val="맑은 고딕"/>
        <family val="3"/>
        <charset val="129"/>
      </rPr>
      <t>적법한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회수에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대해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이의를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제기할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없다</t>
    </r>
    <r>
      <rPr>
        <sz val="8"/>
        <rFont val="Arial"/>
        <family val="2"/>
      </rPr>
      <t xml:space="preserve">. </t>
    </r>
    <r>
      <rPr>
        <sz val="8"/>
        <rFont val="맑은 고딕"/>
        <family val="3"/>
        <charset val="129"/>
      </rPr>
      <t>회수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비용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일체는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부담한다</t>
    </r>
    <r>
      <rPr>
        <sz val="8"/>
        <rFont val="Arial"/>
        <family val="2"/>
      </rPr>
      <t>.</t>
    </r>
    <phoneticPr fontId="23" type="noConversion"/>
  </si>
  <si>
    <r>
      <rPr>
        <sz val="8"/>
        <rFont val="Segoe UI Symbol"/>
        <family val="1"/>
      </rPr>
      <t>③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해지일부터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이륜차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최종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반환일까지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</t>
    </r>
    <r>
      <rPr>
        <sz val="8"/>
        <rFont val="Arial"/>
        <family val="2"/>
      </rPr>
      <t>8</t>
    </r>
    <r>
      <rPr>
        <sz val="8"/>
        <rFont val="맑은 고딕"/>
        <family val="3"/>
        <charset val="129"/>
      </rPr>
      <t>조에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따른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처리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위약금을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지급한다</t>
    </r>
    <r>
      <rPr>
        <sz val="8"/>
        <rFont val="Arial"/>
        <family val="2"/>
      </rPr>
      <t>.</t>
    </r>
    <phoneticPr fontId="2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</si>
  <si>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19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계약만료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후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처리</t>
    </r>
    <r>
      <rPr>
        <b/>
        <sz val="9"/>
        <color rgb="FF1F3864"/>
        <rFont val="Arial"/>
        <family val="2"/>
      </rPr>
      <t>)</t>
    </r>
    <phoneticPr fontId="2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</si>
  <si>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사고에</t>
    </r>
    <phoneticPr fontId="23" type="noConversion"/>
  </si>
  <si>
    <r>
      <rPr>
        <sz val="8"/>
        <rFont val="맑은 고딕"/>
        <family val="3"/>
        <charset val="129"/>
      </rPr>
      <t>회사는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민사상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책임을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않는다</t>
    </r>
    <r>
      <rPr>
        <sz val="8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</si>
  <si>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(1)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보험가입증명서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신분증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</t>
    </r>
    <r>
      <rPr>
        <sz val="8"/>
        <color rgb="FF2B2B2B"/>
        <rFont val="Arial"/>
        <family val="2"/>
      </rPr>
      <t xml:space="preserve">, (2) </t>
    </r>
    <r>
      <rPr>
        <sz val="8"/>
        <color rgb="FF2B2B2B"/>
        <rFont val="맑은 고딕"/>
        <family val="3"/>
        <charset val="129"/>
      </rPr>
      <t>사용폐지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</t>
    </r>
    <phoneticPr fontId="23" type="noConversion"/>
  </si>
  <si>
    <r>
      <rPr>
        <sz val="8"/>
        <color rgb="FF2B2B2B"/>
        <rFont val="맑은 고딕"/>
        <family val="3"/>
        <charset val="129"/>
      </rPr>
      <t>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번호판을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등기우편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선택한다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</si>
  <si>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이루어지는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등록세는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존재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관계없이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</t>
    </r>
    <phoneticPr fontId="23" type="noConversion"/>
  </si>
  <si>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신고는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대행한다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등록세를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차감할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있고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영수증을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</t>
    </r>
    <phoneticPr fontId="23" type="noConversion"/>
  </si>
  <si>
    <r>
      <rPr>
        <sz val="8"/>
        <color rgb="FF2B2B2B"/>
        <rFont val="맑은 고딕"/>
        <family val="3"/>
        <charset val="129"/>
      </rPr>
      <t>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</si>
  <si>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완납되어야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가능하며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>(D)</t>
    </r>
    <r>
      <rPr>
        <sz val="8"/>
        <color rgb="FF2B2B2B"/>
        <rFont val="맑은 고딕"/>
        <family val="3"/>
        <charset val="129"/>
      </rPr>
      <t>이후</t>
    </r>
    <phoneticPr fontId="23" type="noConversion"/>
  </si>
  <si>
    <r>
      <t>D+3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진행되고</t>
    </r>
    <r>
      <rPr>
        <sz val="8"/>
        <color rgb="FF2B2B2B"/>
        <rFont val="Arial"/>
        <family val="2"/>
      </rPr>
      <t>, D+15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기한이익을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상실하며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phoneticPr fontId="23" type="noConversion"/>
  </si>
  <si>
    <r>
      <rPr>
        <sz val="8"/>
        <color rgb="FF2B2B2B"/>
        <rFont val="맑은 고딕"/>
        <family val="3"/>
        <charset val="129"/>
      </rPr>
      <t>차량을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연체이자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회수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처분비용에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충당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부족분은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</si>
  <si>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반납형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수리견적을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작성하여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</t>
    </r>
    <phoneticPr fontId="23" type="noConversion"/>
  </si>
  <si>
    <r>
      <rPr>
        <sz val="8"/>
        <color rgb="FF2B2B2B"/>
        <rFont val="맑은 고딕"/>
        <family val="3"/>
        <charset val="129"/>
      </rPr>
      <t>서 차감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</si>
  <si>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폐지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반납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전달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보험가입증명서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신분증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</t>
    </r>
    <r>
      <rPr>
        <sz val="8"/>
        <color rgb="FF2B2B2B"/>
        <rFont val="Arial"/>
        <family val="2"/>
      </rPr>
      <t>)</t>
    </r>
    <phoneticPr fontId="23" type="noConversion"/>
  </si>
  <si>
    <r>
      <rPr>
        <sz val="8"/>
        <rFont val="맑은 고딕"/>
        <family val="3"/>
        <charset val="129"/>
      </rPr>
      <t>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만료일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익일까지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완료되어야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하며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이를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지체하는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</t>
    </r>
    <r>
      <rPr>
        <sz val="8"/>
        <rFont val="Arial"/>
        <family val="2"/>
      </rPr>
      <t>8</t>
    </r>
    <r>
      <rPr>
        <sz val="8"/>
        <rFont val="맑은 고딕"/>
        <family val="3"/>
        <charset val="129"/>
      </rPr>
      <t>조에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따른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처리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위약금</t>
    </r>
    <phoneticPr fontId="23" type="noConversion"/>
  </si>
  <si>
    <r>
      <rPr>
        <sz val="8"/>
        <rFont val="맑은 고딕"/>
        <family val="3"/>
        <charset val="129"/>
      </rPr>
      <t>및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실비를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납부하여야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한다</t>
    </r>
    <r>
      <rPr>
        <sz val="8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</si>
  <si>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</si>
  <si>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19</t>
    </r>
    <r>
      <rPr>
        <sz val="8"/>
        <color rgb="FF2B2B2B"/>
        <rFont val="맑은 고딕"/>
        <family val="3"/>
        <charset val="129"/>
      </rPr>
      <t>조에서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</si>
  <si>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21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변제충당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순서</t>
    </r>
    <r>
      <rPr>
        <b/>
        <sz val="9"/>
        <color rgb="FF1F3864"/>
        <rFont val="Arial"/>
        <family val="2"/>
      </rPr>
      <t>)</t>
    </r>
    <phoneticPr fontId="2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</si>
  <si>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충당하기에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부족한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납기일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먼저</t>
    </r>
    <phoneticPr fontId="2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</si>
  <si>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만료일보다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일찍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사용폐지를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보험환급금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DejaVu Sans"/>
        <family val="1"/>
      </rPr>
      <t xml:space="preserve"> 환급은</t>
    </r>
    <phoneticPr fontId="23" type="noConversion"/>
  </si>
  <si>
    <r>
      <rPr>
        <sz val="8"/>
        <color rgb="FF2B2B2B"/>
        <rFont val="맑은 고딕"/>
        <family val="3"/>
        <charset val="129"/>
      </rPr>
      <t>청구할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</si>
  <si>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맑은 고딕"/>
        <family val="3"/>
        <charset val="129"/>
      </rPr>
      <t>도래한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채무액부터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우선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</si>
  <si>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연체이자가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연체이자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원금의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순으로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</si>
  <si>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현금영수증은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한국모터사이클리스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주민등록번호를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발급한다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</si>
  <si>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대상이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익월</t>
    </r>
    <r>
      <rPr>
        <sz val="8"/>
        <color rgb="FF2B2B2B"/>
        <rFont val="Arial"/>
        <family val="2"/>
      </rPr>
      <t xml:space="preserve"> 5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</si>
  <si>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현금영수증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통지의무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해태로</t>
    </r>
    <phoneticPr fontId="23" type="noConversion"/>
  </si>
  <si>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불이익은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</si>
  <si>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다른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사업자등록번호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타인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) </t>
    </r>
    <r>
      <rPr>
        <sz val="8"/>
        <color rgb="FF2B2B2B"/>
        <rFont val="맑은 고딕"/>
        <family val="3"/>
        <charset val="129"/>
      </rPr>
      <t>명의로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현금영수증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원하는</t>
    </r>
    <phoneticPr fontId="23" type="noConversion"/>
  </si>
  <si>
    <t>경우, 발급 대상 거래 이전에 회사에 사전 통지하여 승인을 받아야 한다.</t>
    <phoneticPr fontId="23" type="noConversion"/>
  </si>
  <si>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계약에서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정하지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사항에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관하여는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관계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법령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및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관련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규정을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따른다</t>
    </r>
    <r>
      <rPr>
        <sz val="8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</si>
  <si>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할부판매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인수받았거나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제조사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phoneticPr fontId="23" type="noConversion"/>
  </si>
  <si>
    <r>
      <rPr>
        <sz val="8"/>
        <color rgb="FF2B2B2B"/>
        <rFont val="맑은 고딕"/>
        <family val="3"/>
        <charset val="129"/>
      </rPr>
      <t>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</si>
  <si>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A/S </t>
    </r>
    <r>
      <rPr>
        <sz val="8"/>
        <color rgb="FF2B2B2B"/>
        <rFont val="맑은 고딕"/>
        <family val="3"/>
        <charset val="129"/>
      </rPr>
      <t>처리를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</si>
  <si>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부과받은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사실을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phoneticPr fontId="2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</si>
  <si>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계약만기일까지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</t>
    </r>
    <phoneticPr fontId="23" type="noConversion"/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</si>
  <si>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</si>
  <si>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등록세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제세공과금은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</si>
  <si>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플랫폼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일차감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프로그램을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이용하는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일회성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</si>
  <si>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변경된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서면으로</t>
    </r>
    <phoneticPr fontId="23" type="noConversion"/>
  </si>
  <si>
    <r>
      <rPr>
        <sz val="8"/>
        <color rgb="FF2B2B2B"/>
        <rFont val="맑은 고딕"/>
        <family val="3"/>
        <charset val="129"/>
      </rPr>
      <t>작성하여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예정일로부터</t>
    </r>
    <r>
      <rPr>
        <sz val="8"/>
        <color rgb="FF2B2B2B"/>
        <rFont val="Arial"/>
        <family val="2"/>
      </rPr>
      <t xml:space="preserve"> 14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통지한다</t>
    </r>
    <r>
      <rPr>
        <sz val="8"/>
        <color rgb="FF2B2B2B"/>
        <rFont val="Arial"/>
        <family val="2"/>
      </rPr>
      <t>.</t>
    </r>
    <phoneticPr fontId="23" type="noConversion"/>
  </si>
  <si>
    <r>
      <rPr>
        <sz val="8"/>
        <rFont val="Segoe UI Symbol"/>
        <family val="1"/>
      </rPr>
      <t>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적용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예정일까지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이의를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제기하지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변경된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약관을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승인한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것으로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본다</t>
    </r>
    <r>
      <rPr>
        <sz val="8"/>
        <rFont val="Arial"/>
        <family val="2"/>
      </rPr>
      <t>.</t>
    </r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</si>
</sst>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,###&quot;원&quot;"/>
  </numFmts>
  <fonts count="73">
    <font>
      <sz val="11"/>
      <color theme="1"/>
      <name val="Calibri"/>
      <family val="2"/>
      <charset val="1"/>
    </font>
    <font>
      <b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/>
      <sz val="8"/>
      <color rgb="FF808080"/>
      <name val="DejaVu Sans"/>
      <family val="2"/>
    </font>
    <font>
      <b/>
      <sz val="12"/>
      <color rgb="FFC00000"/>
      <name val="맑은 고딕"/>
      <family val="3"/>
      <charset val="129"/>
    </font>
    <font>
      <b/>
      <sz val="10"/>
      <color rgb="FF1F3864"/>
      <name val="DejaVu Sans"/>
      <family val="2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11"/>
      <color rgb="FFFFFFFF"/>
      <name val="DejaVu Sans"/>
      <family val="2"/>
    </font>
    <font>
      <i/>
      <sz val="8"/>
      <color rgb="FF595959"/>
      <name val="DejaVu Sans"/>
      <family val="2"/>
    </font>
    <font>
      <sz val="8"/>
      <color rgb="FF404040"/>
      <name val="맑은 고딕"/>
      <family val="3"/>
      <charset val="129"/>
    </font>
    <font>
      <sz val="9"/>
      <color rgb="FF000000"/>
      <name val="DejaVu Sans"/>
      <family val="2"/>
    </font>
    <font>
      <b/>
      <sz val="9"/>
      <color rgb="FF1F3864"/>
      <name val="맑은 고딕"/>
      <family val="3"/>
      <charset val="129"/>
    </font>
    <font>
      <b/>
      <sz val="14"/>
      <color rgb="FFFFFFFF"/>
      <name val="DejaVu Sans"/>
      <family val="2"/>
    </font>
    <font>
      <sz val="8"/>
      <color rgb="FF2B2B2B"/>
      <name val="DejaVu Sans"/>
      <family val="2"/>
    </font>
    <font>
      <sz val="8"/>
      <color rgb="FF2B2B2B"/>
      <name val="맑은 고딕"/>
      <family val="3"/>
      <charset val="129"/>
    </font>
    <font>
      <sz val="8"/>
      <color rgb="FF2B2B2B"/>
      <name val="DejaVu Sans"/>
      <family val="2"/>
      <charset val="1"/>
    </font>
    <font>
      <sz val="8"/>
      <color rgb="FF2B2B2B"/>
      <name val="DejaVu Sans"/>
      <family val="3"/>
      <charset val="129"/>
    </font>
    <font>
      <sz val="8"/>
      <color rgb="FF2B2B2B"/>
      <name val="DejaVu Sans"/>
      <family val="1"/>
      <charset val="1"/>
    </font>
    <font>
      <b/>
      <sz val="9"/>
      <color rgb="FF1F3864"/>
      <name val="DejaVu Sans"/>
      <family val="3"/>
      <charset val="129"/>
    </font>
    <font>
      <sz val="8"/>
      <name val="돋움"/>
      <family val="3"/>
      <charset val="129"/>
    </font>
    <font>
      <sz val="8"/>
      <color rgb="FF2B2B2B"/>
      <name val="Arial"/>
      <family val="2"/>
    </font>
    <font>
      <sz val="8"/>
      <color rgb="FF2B2B2B"/>
      <name val="Segoe UI Symbol"/>
      <family val="1"/>
    </font>
    <font>
      <sz val="8"/>
      <color rgb="FF2B2B2B"/>
      <name val="DejaVu Sans"/>
      <family val="1"/>
    </font>
    <font>
      <sz val="8"/>
      <color rgb="FF2B2B2B"/>
      <name val="돋움"/>
      <family val="3"/>
      <charset val="129"/>
    </font>
    <font>
      <b/>
      <sz val="18"/>
      <color rgb="FFFFFFFF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Arial"/>
      <family val="2"/>
    </font>
    <font>
      <sz val="8"/>
      <color theme="1"/>
      <name val="DejaVu Sans"/>
      <family val="1"/>
    </font>
    <font>
      <sz val="8"/>
      <color theme="1"/>
      <name val="Segoe UI Symbol"/>
      <family val="1"/>
    </font>
    <font>
      <sz val="8"/>
      <color theme="1"/>
      <name val="DejaVu Sans"/>
      <family val="3"/>
      <charset val="129"/>
    </font>
    <font>
      <b/>
      <sz val="9"/>
      <color rgb="FFC00000"/>
      <name val="DejaVu Sans"/>
      <family val="2"/>
    </font>
    <font>
      <b/>
      <sz val="8"/>
      <color rgb="FFC00000"/>
      <name val="DejaVu Sans"/>
      <family val="3"/>
      <charset val="129"/>
    </font>
    <font>
      <b/>
      <sz val="8"/>
      <color rgb="FFC000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8"/>
      <color rgb="FF2B2B2B"/>
      <name val="DejaVu Sans"/>
      <family val="1"/>
      <charset val="129"/>
    </font>
    <font>
      <sz val="8"/>
      <color rgb="FF404040"/>
      <name val="DejaVu Sans"/>
      <family val="3"/>
      <charset val="129"/>
    </font>
    <font>
      <b/>
      <sz val="14"/>
      <color rgb="FFFFFFFF"/>
      <name val="DejaVu Sans"/>
      <family val="2"/>
      <charset val="1"/>
    </font>
    <font>
      <sz val="8"/>
      <color theme="1"/>
      <name val="DejaVu Sans"/>
      <family val="2"/>
    </font>
    <font>
      <sz val="10"/>
      <name val="DejaVu Sans"/>
      <family val="2"/>
      <charset val="1"/>
    </font>
    <font>
      <b/>
      <sz val="10"/>
      <name val="DejaVu Sans"/>
      <family val="2"/>
    </font>
    <font>
      <sz val="9"/>
      <color rgb="FF000000"/>
      <name val="DejaVu Sans"/>
      <family val="3"/>
      <charset val="129"/>
    </font>
    <font>
      <b/>
      <sz val="9"/>
      <color rgb="FF1F4E89"/>
      <name val="맑은 고딕"/>
      <family val="3"/>
      <charset val="129"/>
    </font>
    <font>
      <b/>
      <sz val="9"/>
      <color rgb="FF1F4E89"/>
      <name val="DejaVu Sans"/>
      <family val="3"/>
      <charset val="129"/>
    </font>
    <font>
      <b/>
      <sz val="20"/>
      <color rgb="FF0F172A"/>
      <name val="DejaVu Sans"/>
      <family val="2"/>
    </font>
    <font>
      <i/>
      <sz val="10"/>
      <color rgb="FF6B7280"/>
      <name val="DejaVu Sans"/>
      <family val="3"/>
      <charset val="129"/>
    </font>
    <font>
      <b/>
      <sz val="12"/>
      <color rgb="FF0F172A"/>
      <name val="DejaVu Sans"/>
      <family val="2"/>
    </font>
    <font>
      <sz val="9"/>
      <color rgb="FF111111"/>
      <name val="맑은 고딕"/>
      <family val="3"/>
      <charset val="129"/>
    </font>
    <font>
      <sz val="9"/>
      <color rgb="FF111111"/>
      <name val="DejaVu Sans"/>
      <family val="2"/>
    </font>
    <font>
      <b/>
      <sz val="9"/>
      <color rgb="FF0F172A"/>
      <name val="맑은 고딕"/>
      <family val="3"/>
      <charset val="129"/>
    </font>
    <font>
      <b/>
      <sz val="9"/>
      <color rgb="FF991B1B"/>
      <name val="DejaVu Sans"/>
      <family val="2"/>
    </font>
    <font>
      <b/>
      <sz val="9"/>
      <color rgb="FF991B1B"/>
      <name val="맑은 고딕"/>
      <family val="3"/>
      <charset val="129"/>
    </font>
    <font>
      <b/>
      <sz val="11"/>
      <color rgb="FF111111"/>
      <name val="DejaVu Sans"/>
      <family val="2"/>
    </font>
    <font>
      <b/>
      <sz val="11"/>
      <color rgb="FF111111"/>
      <name val="맑은 고딕"/>
      <family val="3"/>
      <charset val="129"/>
    </font>
    <font>
      <sz val="8"/>
      <color rgb="FF2B2B2B"/>
      <name val="DejaVu Sans"/>
      <family val="2"/>
      <charset val="129"/>
    </font>
    <font>
      <sz val="10"/>
      <color rgb="FF111111"/>
      <name val="DejaVu Sans"/>
      <family val="3"/>
      <charset val="129"/>
    </font>
    <font>
      <sz val="9"/>
      <color rgb="FF111111"/>
      <name val="DejaVu Sans"/>
      <family val="3"/>
      <charset val="129"/>
    </font>
    <font>
      <b/>
      <sz val="12"/>
      <color rgb="FF0F172A"/>
      <name val="DejaVu Sans"/>
      <family val="3"/>
      <charset val="129"/>
    </font>
    <font>
      <sz val="8"/>
      <name val="Arial"/>
      <family val="2"/>
    </font>
    <font>
      <sz val="8"/>
      <name val="맑은 고딕"/>
      <family val="3"/>
      <charset val="129"/>
    </font>
    <font>
      <sz val="8"/>
      <name val="Segoe UI Symbol"/>
      <family val="1"/>
    </font>
    <font>
      <sz val="8"/>
      <name val="DejaVu Sans"/>
      <family val="1"/>
    </font>
    <font>
      <sz val="8"/>
      <name val="DejaVu Sans"/>
      <family val="3"/>
      <charset val="129"/>
    </font>
    <font>
      <sz val="8"/>
      <color theme="1"/>
      <name val="DejaVu Sans"/>
      <family val="2"/>
      <charset val="129"/>
    </font>
    <font>
      <sz val="8"/>
      <name val="DejaVu Sans"/>
      <family val="2"/>
      <charset val="129"/>
    </font>
    <font>
      <b/>
      <sz val="9"/>
      <color rgb="FF1F3864"/>
      <name val="Arial"/>
      <family val="2"/>
    </font>
    <font>
      <sz val="9"/>
      <name val="DejaVu Sans"/>
    </font>
    <font>
      <sz val="11"/>
      <name val="Calibri"/>
      <family val="2"/>
      <charset val="1"/>
    </font>
    <font>
      <b/>
      <sz val="8"/>
      <color rgb="FFC00000"/>
      <name val="DejaVu Sans"/>
    </font>
    <font>
      <sz val="11"/>
      <color rgb="FFC00000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2E5597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AF0F8"/>
        <bgColor rgb="FFE8EEF7"/>
      </patternFill>
    </fill>
    <fill>
      <patternFill patternType="solid">
        <fgColor rgb="FFFFF4E3"/>
        <bgColor rgb="FFFFF2CC"/>
      </patternFill>
    </fill>
    <fill>
      <patternFill patternType="solid">
        <fgColor rgb="FFE8EEF7"/>
        <bgColor rgb="FFEAF0F8"/>
      </patternFill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BE5E5"/>
        <bgColor rgb="FFFFF4E3"/>
      </patternFill>
    </fill>
    <fill>
      <patternFill patternType="solid">
        <fgColor rgb="FF1F3864"/>
        <bgColor rgb="FF0E2E5C"/>
      </patternFill>
    </fill>
    <fill>
      <patternFill patternType="solid">
        <fgColor rgb="FFFFFFFF"/>
        <bgColor rgb="FFF9FAFB"/>
      </patternFill>
    </fill>
    <fill>
      <patternFill patternType="solid">
        <fgColor rgb="FFB22222"/>
        <bgColor rgb="FF991B1B"/>
      </patternFill>
    </fill>
    <fill>
      <patternFill patternType="solid">
        <fgColor rgb="FFF7F9FC"/>
        <bgColor rgb="FFF9FAFB"/>
      </patternFill>
    </fill>
    <fill>
      <patternFill patternType="solid">
        <fgColor rgb="FFF9FAFB"/>
        <bgColor rgb="FFF7F9FC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rgb="FF111111"/>
      </bottom>
      <diagonal/>
    </border>
    <border>
      <left/>
      <right/>
      <top/>
      <bottom style="thin">
        <color rgb="FFD1D5DB"/>
      </bottom>
      <diagonal/>
    </border>
    <border>
      <left/>
      <right/>
      <top style="medium">
        <color rgb="FF111111"/>
      </top>
      <bottom/>
      <diagonal/>
    </border>
    <border>
      <left/>
      <right/>
      <top/>
      <bottom style="thin">
        <color rgb="FF11111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9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left" vertical="center" wrapText="1" indent="1"/>
    </xf>
    <xf numFmtId="0" fontId="17" fillId="0" borderId="0" xfId="0" applyFont="1" applyAlignment="1">
      <alignment horizontal="left" vertical="top" wrapText="1" indent="1"/>
    </xf>
    <xf numFmtId="0" fontId="18" fillId="0" borderId="0" xfId="0" applyFont="1" applyAlignment="1">
      <alignment horizontal="left" vertical="top" wrapText="1" indent="1"/>
    </xf>
    <xf numFmtId="0" fontId="20" fillId="0" borderId="0" xfId="0" applyFont="1" applyAlignment="1">
      <alignment horizontal="left" vertical="top" wrapText="1" indent="1"/>
    </xf>
    <xf numFmtId="0" fontId="26" fillId="0" borderId="0" xfId="0" applyFont="1" applyAlignment="1">
      <alignment horizontal="left" vertical="top" wrapText="1" indent="1"/>
    </xf>
    <xf numFmtId="0" fontId="27" fillId="0" borderId="0" xfId="0" applyFont="1" applyAlignment="1">
      <alignment horizontal="left" vertical="top" wrapText="1" indent="1"/>
    </xf>
    <xf numFmtId="0" fontId="1" fillId="8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9" fillId="7" borderId="1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 vertical="top" wrapText="1" indent="1"/>
    </xf>
    <xf numFmtId="0" fontId="31" fillId="0" borderId="0" xfId="0" applyFont="1" applyAlignment="1">
      <alignment horizontal="left" vertical="top" wrapText="1" indent="1"/>
    </xf>
    <xf numFmtId="0" fontId="15" fillId="5" borderId="1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top" wrapText="1" indent="1"/>
    </xf>
    <xf numFmtId="0" fontId="40" fillId="11" borderId="0" xfId="0" applyFont="1" applyFill="1" applyAlignment="1">
      <alignment horizontal="center" vertical="center" wrapText="1"/>
    </xf>
    <xf numFmtId="0" fontId="41" fillId="0" borderId="0" xfId="0" applyFont="1" applyAlignment="1">
      <alignment horizontal="left" vertical="top" wrapText="1" indent="1"/>
    </xf>
    <xf numFmtId="0" fontId="21" fillId="5" borderId="0" xfId="0" applyFont="1" applyFill="1" applyAlignment="1">
      <alignment horizontal="left" vertical="top" wrapText="1" indent="1"/>
    </xf>
    <xf numFmtId="0" fontId="19" fillId="5" borderId="0" xfId="0" applyFont="1" applyFill="1" applyAlignment="1">
      <alignment horizontal="left" vertical="top" wrapText="1" indent="1"/>
    </xf>
    <xf numFmtId="0" fontId="42" fillId="0" borderId="0" xfId="0" applyFont="1" applyAlignment="1">
      <alignment horizontal="left" vertical="center" indent="1"/>
    </xf>
    <xf numFmtId="0" fontId="38" fillId="0" borderId="0" xfId="0" applyFont="1" applyAlignment="1">
      <alignment horizontal="left" vertical="top" wrapText="1" indent="1"/>
    </xf>
    <xf numFmtId="0" fontId="9" fillId="5" borderId="0" xfId="0" applyFont="1" applyFill="1" applyAlignment="1">
      <alignment horizontal="left" vertical="center" wrapText="1"/>
    </xf>
    <xf numFmtId="0" fontId="43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 indent="1"/>
    </xf>
    <xf numFmtId="0" fontId="15" fillId="12" borderId="1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46" fillId="7" borderId="0" xfId="0" applyFont="1" applyFill="1" applyAlignment="1">
      <alignment horizontal="left" vertical="center" wrapText="1" indent="1"/>
    </xf>
    <xf numFmtId="0" fontId="45" fillId="7" borderId="0" xfId="0" applyFont="1" applyFill="1" applyAlignment="1">
      <alignment horizontal="left" vertical="center" wrapText="1" indent="1"/>
    </xf>
    <xf numFmtId="0" fontId="52" fillId="0" borderId="0" xfId="0" applyFont="1" applyAlignment="1">
      <alignment horizontal="center" vertical="top"/>
    </xf>
    <xf numFmtId="0" fontId="53" fillId="0" borderId="0" xfId="0" applyFont="1" applyAlignment="1">
      <alignment horizontal="left" vertical="top" wrapText="1"/>
    </xf>
    <xf numFmtId="0" fontId="54" fillId="0" borderId="0" xfId="0" applyFont="1" applyAlignment="1">
      <alignment horizontal="left" vertical="top" wrapText="1"/>
    </xf>
    <xf numFmtId="0" fontId="0" fillId="0" borderId="8" xfId="0" applyBorder="1"/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/>
    </xf>
    <xf numFmtId="0" fontId="64" fillId="0" borderId="0" xfId="0" applyFont="1" applyAlignment="1">
      <alignment horizontal="left" vertical="top" wrapText="1" indent="1"/>
    </xf>
    <xf numFmtId="0" fontId="65" fillId="0" borderId="0" xfId="0" applyFont="1" applyAlignment="1">
      <alignment horizontal="left" vertical="top" wrapText="1" indent="1"/>
    </xf>
    <xf numFmtId="0" fontId="66" fillId="0" borderId="0" xfId="0" applyFont="1" applyAlignment="1">
      <alignment horizontal="left" vertical="top" wrapText="1" indent="1"/>
    </xf>
    <xf numFmtId="0" fontId="57" fillId="0" borderId="0" xfId="0" applyFont="1" applyAlignment="1">
      <alignment horizontal="left" vertical="top" wrapText="1" indent="1"/>
    </xf>
    <xf numFmtId="0" fontId="62" fillId="0" borderId="0" xfId="0" applyFont="1" applyAlignment="1">
      <alignment horizontal="left" vertical="top" wrapText="1" indent="1"/>
    </xf>
    <xf numFmtId="0" fontId="22" fillId="5" borderId="0" xfId="0" applyFont="1" applyFill="1" applyAlignment="1">
      <alignment horizontal="left" vertical="center" wrapText="1" indent="1"/>
    </xf>
    <xf numFmtId="0" fontId="35" fillId="10" borderId="1" xfId="0" applyFont="1" applyFill="1" applyBorder="1" applyAlignment="1">
      <alignment horizontal="left" vertical="center" wrapText="1" indent="1"/>
    </xf>
    <xf numFmtId="0" fontId="0" fillId="0" borderId="4" xfId="0" applyBorder="1"/>
    <xf numFmtId="0" fontId="0" fillId="0" borderId="3" xfId="0" applyBorder="1"/>
    <xf numFmtId="0" fontId="2" fillId="4" borderId="1" xfId="0" applyFont="1" applyFill="1" applyBorder="1" applyAlignment="1">
      <alignment horizontal="left" vertical="center" wrapText="1" indent="1"/>
    </xf>
    <xf numFmtId="0" fontId="11" fillId="1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2" fillId="12" borderId="1" xfId="0" applyFont="1" applyFill="1" applyBorder="1" applyAlignment="1">
      <alignment horizontal="left" vertical="center" wrapText="1" indent="1"/>
    </xf>
    <xf numFmtId="0" fontId="3" fillId="12" borderId="1" xfId="0" applyFont="1" applyFill="1" applyBorder="1" applyAlignment="1">
      <alignment horizontal="left" vertical="center" wrapText="1" indent="1"/>
    </xf>
    <xf numFmtId="0" fontId="11" fillId="8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11" xfId="0" applyBorder="1"/>
    <xf numFmtId="0" fontId="36" fillId="10" borderId="1" xfId="0" applyFont="1" applyFill="1" applyBorder="1" applyAlignment="1">
      <alignment horizontal="center" vertical="center" wrapText="1"/>
    </xf>
    <xf numFmtId="0" fontId="34" fillId="10" borderId="1" xfId="0" applyFont="1" applyFill="1" applyBorder="1" applyAlignment="1">
      <alignment horizontal="center" vertical="center" wrapText="1"/>
    </xf>
    <xf numFmtId="0" fontId="39" fillId="14" borderId="1" xfId="0" applyFont="1" applyFill="1" applyBorder="1" applyAlignment="1">
      <alignment horizontal="left" vertical="center" wrapText="1" indent="1"/>
    </xf>
    <xf numFmtId="0" fontId="12" fillId="6" borderId="1" xfId="0" applyFont="1" applyFill="1" applyBorder="1" applyAlignment="1">
      <alignment horizontal="left" vertical="center" wrapText="1" indent="1"/>
    </xf>
    <xf numFmtId="0" fontId="9" fillId="14" borderId="1" xfId="0" applyFont="1" applyFill="1" applyBorder="1" applyAlignment="1">
      <alignment horizontal="center" vertical="center" wrapText="1"/>
    </xf>
    <xf numFmtId="0" fontId="62" fillId="6" borderId="1" xfId="0" applyFont="1" applyFill="1" applyBorder="1" applyAlignment="1">
      <alignment horizontal="left" vertical="center" wrapText="1" indent="1"/>
    </xf>
    <xf numFmtId="0" fontId="70" fillId="0" borderId="4" xfId="0" applyFont="1" applyBorder="1"/>
    <xf numFmtId="0" fontId="70" fillId="0" borderId="3" xfId="0" applyFont="1" applyBorder="1"/>
    <xf numFmtId="0" fontId="3" fillId="4" borderId="1" xfId="0" applyFont="1" applyFill="1" applyBorder="1" applyAlignment="1">
      <alignment horizontal="left" vertical="center" wrapText="1" indent="1"/>
    </xf>
    <xf numFmtId="0" fontId="8" fillId="4" borderId="0" xfId="0" applyFont="1" applyFill="1" applyAlignment="1">
      <alignment horizontal="left" vertical="center" wrapText="1" indent="1"/>
    </xf>
    <xf numFmtId="0" fontId="0" fillId="0" borderId="0" xfId="0"/>
    <xf numFmtId="176" fontId="2" fillId="12" borderId="1" xfId="0" applyNumberFormat="1" applyFont="1" applyFill="1" applyBorder="1" applyAlignment="1">
      <alignment horizontal="left" vertical="center" wrapText="1" indent="1"/>
    </xf>
    <xf numFmtId="0" fontId="11" fillId="2" borderId="0" xfId="0" applyFont="1" applyFill="1" applyAlignment="1">
      <alignment horizontal="center" vertical="center" wrapText="1"/>
    </xf>
    <xf numFmtId="0" fontId="71" fillId="10" borderId="1" xfId="0" applyFont="1" applyFill="1" applyBorder="1" applyAlignment="1">
      <alignment horizontal="left" vertical="center" wrapText="1" indent="1"/>
    </xf>
    <xf numFmtId="0" fontId="72" fillId="0" borderId="4" xfId="0" applyFont="1" applyBorder="1"/>
    <xf numFmtId="0" fontId="72" fillId="0" borderId="3" xfId="0" applyFont="1" applyBorder="1"/>
    <xf numFmtId="0" fontId="62" fillId="12" borderId="1" xfId="0" applyFont="1" applyFill="1" applyBorder="1" applyAlignment="1">
      <alignment horizontal="left" vertical="center" wrapText="1" indent="1"/>
    </xf>
    <xf numFmtId="0" fontId="37" fillId="10" borderId="1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0" fillId="0" borderId="10" xfId="0" applyBorder="1"/>
    <xf numFmtId="0" fontId="22" fillId="14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 indent="1"/>
    </xf>
    <xf numFmtId="0" fontId="28" fillId="9" borderId="0" xfId="0" applyFont="1" applyFill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6" fillId="11" borderId="0" xfId="0" applyFont="1" applyFill="1" applyAlignment="1">
      <alignment horizontal="center" vertical="center" wrapText="1"/>
    </xf>
    <xf numFmtId="0" fontId="48" fillId="0" borderId="6" xfId="0" applyFont="1" applyBorder="1" applyAlignment="1">
      <alignment horizontal="left" vertical="center"/>
    </xf>
    <xf numFmtId="0" fontId="0" fillId="0" borderId="6" xfId="0" applyBorder="1"/>
    <xf numFmtId="0" fontId="49" fillId="0" borderId="7" xfId="0" applyFont="1" applyBorder="1" applyAlignment="1">
      <alignment horizontal="left"/>
    </xf>
    <xf numFmtId="0" fontId="0" fillId="0" borderId="7" xfId="0" applyBorder="1"/>
    <xf numFmtId="0" fontId="51" fillId="0" borderId="0" xfId="0" applyFont="1" applyAlignment="1">
      <alignment horizontal="left" vertical="top" wrapText="1"/>
    </xf>
    <xf numFmtId="0" fontId="59" fillId="0" borderId="0" xfId="0" applyFont="1" applyAlignment="1">
      <alignment horizontal="left" vertical="top" wrapText="1"/>
    </xf>
    <xf numFmtId="0" fontId="59" fillId="0" borderId="0" xfId="0" applyFont="1" applyAlignment="1">
      <alignment horizontal="left" vertical="top" wrapText="1" indent="1"/>
    </xf>
    <xf numFmtId="0" fontId="58" fillId="15" borderId="0" xfId="0" applyFont="1" applyFill="1" applyAlignment="1">
      <alignment horizontal="left" vertical="center" wrapText="1" indent="1"/>
    </xf>
    <xf numFmtId="0" fontId="55" fillId="0" borderId="9" xfId="0" applyFont="1" applyBorder="1" applyAlignment="1">
      <alignment horizontal="center" vertical="center"/>
    </xf>
    <xf numFmtId="0" fontId="0" fillId="0" borderId="9" xfId="0" applyBorder="1"/>
    <xf numFmtId="0" fontId="69" fillId="0" borderId="0" xfId="0" applyFont="1" applyAlignment="1">
      <alignment horizontal="left" vertical="top" wrapText="1"/>
    </xf>
    <xf numFmtId="0" fontId="70" fillId="0" borderId="0" xfId="0" applyFont="1"/>
    <xf numFmtId="0" fontId="59" fillId="0" borderId="0" xfId="0" applyFont="1" applyAlignment="1">
      <alignment horizontal="left" vertical="center" wrapText="1"/>
    </xf>
    <xf numFmtId="0" fontId="47" fillId="0" borderId="0" xfId="0" applyFont="1" applyAlignment="1">
      <alignment horizontal="left" vertical="center"/>
    </xf>
    <xf numFmtId="0" fontId="69" fillId="0" borderId="0" xfId="0" applyFont="1" applyAlignment="1">
      <alignment horizontal="left" vertical="top" wrapText="1" indent="1"/>
    </xf>
    <xf numFmtId="0" fontId="50" fillId="0" borderId="0" xfId="0" applyFont="1" applyAlignment="1">
      <alignment horizontal="left" vertical="top" wrapText="1" indent="1"/>
    </xf>
    <xf numFmtId="0" fontId="60" fillId="0" borderId="7" xfId="0" applyFont="1" applyBorder="1" applyAlignment="1">
      <alignment horizontal="left"/>
    </xf>
    <xf numFmtId="0" fontId="9" fillId="12" borderId="0" xfId="0" applyFont="1" applyFill="1" applyAlignment="1">
      <alignment horizontal="right" vertical="center" wrapText="1"/>
    </xf>
    <xf numFmtId="0" fontId="10" fillId="1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99CCFF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404040"/>
      <rgbColor rgb="FF993300"/>
      <rgbColor rgb="FF993366"/>
      <rgbColor rgb="FF2E5597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396241</xdr:colOff>
      <xdr:row>46</xdr:row>
      <xdr:rowOff>7621</xdr:rowOff>
    </xdr:from>
    <xdr:to>
      <xdr:col>9</xdr:col>
      <xdr:colOff>1005840</xdr:colOff>
      <xdr:row>47</xdr:row>
      <xdr:rowOff>7620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9521" y="14348461"/>
          <a:ext cx="609599" cy="60959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861060</xdr:colOff>
      <xdr:row>34</xdr:row>
      <xdr:rowOff>137160</xdr:rowOff>
    </xdr:from>
    <xdr:to>
      <xdr:col>10</xdr:col>
      <xdr:colOff>30479</xdr:colOff>
      <xdr:row>36</xdr:row>
      <xdr:rowOff>30479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53200" y="11910060"/>
          <a:ext cx="609599" cy="609599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약리스트"/>
      <sheetName val="계약서"/>
      <sheetName val="이용약관"/>
      <sheetName val="별지_구상금"/>
    </sheetNames>
    <sheetDataSet>
      <sheetData sheetId="0">
        <row r="2">
          <cell r="A2">
            <v>1</v>
          </cell>
          <cell r="B2" t="str">
            <v>2026-04-24</v>
          </cell>
          <cell r="C2" t="str">
            <v>UHR150</v>
          </cell>
          <cell r="D2" t="str">
            <v>LWMTDKH95THJ00467</v>
          </cell>
          <cell r="E2" t="str">
            <v>1나88370</v>
          </cell>
          <cell r="F2" t="str">
            <v>화이트</v>
          </cell>
          <cell r="G2" t="str">
            <v>비포함</v>
          </cell>
          <cell r="H2" t="str">
            <v>만30세</v>
          </cell>
          <cell r="I2">
            <v>26400</v>
          </cell>
          <cell r="J2">
            <v>365</v>
          </cell>
          <cell r="K2">
            <v>300000</v>
          </cell>
          <cell r="L2" t="str">
            <v>중앙 오토바이 가수점</v>
          </cell>
          <cell r="M2" t="str">
            <v>737-55-00719</v>
          </cell>
          <cell r="N2" t="str">
            <v>안종식</v>
          </cell>
          <cell r="O2" t="str">
            <v>경기도 오산시 가장로 763, 1층 5,6호(가수동)</v>
          </cell>
          <cell r="P2" t="str">
            <v>010-5813-7336</v>
          </cell>
          <cell r="Q2" t="str">
            <v>jungang@example.com</v>
          </cell>
          <cell r="R2" t="str">
            <v>820530-1046518</v>
          </cell>
          <cell r="S2" t="str">
            <v>010-5813-7336</v>
          </cell>
          <cell r="T2" t="str">
            <v>경기도 오산시 궐동로 77, 1층(궐동)</v>
          </cell>
          <cell r="U2" t="str">
            <v>렌트</v>
          </cell>
          <cell r="V2" t="str">
            <v>인수형</v>
          </cell>
          <cell r="W2" t="str">
            <v>계좌이체</v>
          </cell>
          <cell r="X2" t="str">
            <v>기업은행 929-028075-04-011 포어스바이크(유)</v>
          </cell>
          <cell r="Y2" t="str">
            <v>월2회(15일,말일)</v>
          </cell>
        </row>
      </sheetData>
      <sheetData sheetId="1">
        <row r="11">
          <cell r="C11" t="str">
            <v>안종식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view="pageBreakPreview" zoomScaleNormal="100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P3" sqref="P3"/>
    </sheetView>
  </sheetViews>
  <sheetFormatPr defaultColWidth="8.6640625" defaultRowHeight="14.4"/>
  <cols>
    <col min="1" max="30" width="18" customWidth="1"/>
  </cols>
  <sheetData>
    <row r="1" spans="1:19" ht="30" customHeight="1">
      <c r="A1" s="13" t="s">
        <v>32</v>
      </c>
      <c r="B1" s="13" t="s">
        <v>33</v>
      </c>
      <c r="C1" s="13" t="s">
        <v>34</v>
      </c>
      <c r="D1" s="13" t="s">
        <v>35</v>
      </c>
      <c r="E1" s="13" t="s">
        <v>36</v>
      </c>
      <c r="F1" s="13" t="s">
        <v>37</v>
      </c>
      <c r="G1" s="13" t="s">
        <v>38</v>
      </c>
      <c r="H1" s="13" t="s">
        <v>39</v>
      </c>
      <c r="I1" s="13" t="s">
        <v>40</v>
      </c>
      <c r="J1" s="13" t="s">
        <v>41</v>
      </c>
      <c r="K1" s="13" t="s">
        <v>42</v>
      </c>
      <c r="L1" s="13" t="s">
        <v>43</v>
      </c>
      <c r="M1" s="13" t="s">
        <v>44</v>
      </c>
      <c r="N1" s="13" t="s">
        <v>45</v>
      </c>
      <c r="O1" s="13" t="s">
        <v>46</v>
      </c>
      <c r="P1" s="13" t="s">
        <v>47</v>
      </c>
      <c r="Q1" s="13" t="s">
        <v>48</v>
      </c>
      <c r="R1" s="13"/>
      <c r="S1" s="13" t="s">
        <v>49</v>
      </c>
    </row>
    <row r="2" spans="1:19" ht="46.5" customHeight="1">
      <c r="A2" s="2">
        <v>1</v>
      </c>
      <c r="B2" s="2" t="s">
        <v>50</v>
      </c>
      <c r="C2" s="2" t="s">
        <v>51</v>
      </c>
      <c r="D2" s="2" t="s">
        <v>52</v>
      </c>
      <c r="E2" s="2" t="s">
        <v>53</v>
      </c>
      <c r="F2" s="3" t="s">
        <v>54</v>
      </c>
      <c r="G2" s="3" t="s">
        <v>55</v>
      </c>
      <c r="H2" s="3" t="s">
        <v>56</v>
      </c>
      <c r="I2" s="2">
        <v>26400</v>
      </c>
      <c r="J2" s="2">
        <v>365</v>
      </c>
      <c r="K2" s="2">
        <v>300000</v>
      </c>
      <c r="L2" s="3" t="s">
        <v>57</v>
      </c>
      <c r="M2" s="2" t="s">
        <v>58</v>
      </c>
      <c r="N2" s="3" t="s">
        <v>59</v>
      </c>
      <c r="O2" s="28" t="s">
        <v>60</v>
      </c>
      <c r="P2" s="3" t="s">
        <v>61</v>
      </c>
      <c r="Q2" s="3" t="s">
        <v>62</v>
      </c>
      <c r="R2" s="3" t="s">
        <v>63</v>
      </c>
      <c r="S2" s="3" t="s">
        <v>64</v>
      </c>
    </row>
  </sheetData>
  <phoneticPr fontId="23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6"/>
  <sheetViews>
    <sheetView tabSelected="1" view="pageBreakPreview" topLeftCell="A31" zoomScaleNormal="100" zoomScaleSheetLayoutView="100" workbookViewId="0">
      <selection activeCell="B43" sqref="B43:J43"/>
    </sheetView>
  </sheetViews>
  <sheetFormatPr defaultColWidth="8.6640625" defaultRowHeight="14.4"/>
  <cols>
    <col min="1" max="1" width="1.5546875" customWidth="1"/>
    <col min="2" max="2" width="11" customWidth="1"/>
    <col min="3" max="3" width="11.88671875" customWidth="1"/>
    <col min="4" max="4" width="17.44140625" customWidth="1"/>
    <col min="5" max="5" width="11" customWidth="1"/>
    <col min="6" max="6" width="16" customWidth="1"/>
    <col min="7" max="7" width="10" customWidth="1"/>
    <col min="8" max="8" width="16" customWidth="1"/>
    <col min="9" max="9" width="10" customWidth="1"/>
    <col min="10" max="10" width="20.5546875" customWidth="1"/>
    <col min="11" max="11" width="2.109375" customWidth="1"/>
    <col min="12" max="12" width="6" customWidth="1"/>
  </cols>
  <sheetData>
    <row r="1" spans="1:12" ht="7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5" t="s">
        <v>65</v>
      </c>
    </row>
    <row r="2" spans="1:12" ht="48" customHeight="1">
      <c r="A2" s="4"/>
      <c r="B2" s="81" t="s">
        <v>66</v>
      </c>
      <c r="C2" s="66"/>
      <c r="D2" s="66"/>
      <c r="E2" s="66"/>
      <c r="F2" s="66"/>
      <c r="G2" s="66"/>
      <c r="H2" s="66"/>
      <c r="I2" s="66"/>
      <c r="J2" s="66"/>
      <c r="K2" s="4"/>
      <c r="L2" s="6">
        <v>1</v>
      </c>
    </row>
    <row r="3" spans="1:12" ht="24" customHeight="1">
      <c r="A3" s="4"/>
      <c r="B3" s="65" t="s">
        <v>67</v>
      </c>
      <c r="C3" s="66"/>
      <c r="D3" s="66"/>
      <c r="E3" s="66"/>
      <c r="F3" s="101"/>
      <c r="G3" s="66"/>
      <c r="H3" s="66"/>
      <c r="I3" s="102"/>
      <c r="J3" s="66"/>
      <c r="K3" s="4"/>
      <c r="L3" s="4"/>
    </row>
    <row r="4" spans="1:12" ht="7.5" customHeight="1">
      <c r="A4" s="4"/>
      <c r="B4" s="4"/>
      <c r="C4" s="4"/>
      <c r="D4" s="4"/>
      <c r="E4" s="14"/>
      <c r="F4" s="4"/>
      <c r="G4" s="4"/>
      <c r="H4" s="4"/>
      <c r="I4" s="4"/>
      <c r="J4" s="4"/>
      <c r="K4" s="4"/>
      <c r="L4" s="4"/>
    </row>
    <row r="5" spans="1:12" ht="25.5" customHeight="1">
      <c r="A5" s="4"/>
      <c r="B5" s="78" t="s">
        <v>68</v>
      </c>
      <c r="C5" s="66"/>
      <c r="D5" s="66"/>
      <c r="E5" s="66"/>
      <c r="F5" s="66"/>
      <c r="G5" s="66"/>
      <c r="H5" s="66"/>
      <c r="I5" s="66"/>
      <c r="J5" s="66"/>
      <c r="K5" s="4"/>
      <c r="L5" s="4"/>
    </row>
    <row r="6" spans="1:12" ht="21.75" customHeight="1">
      <c r="A6" s="4"/>
      <c r="B6" s="15" t="s">
        <v>34</v>
      </c>
      <c r="C6" s="48" t="str">
        <f>IFERROR(IF(VLOOKUP($L$2,[1]계약리스트!$A$2:$AD$10000,3,0)="","",VLOOKUP($L$2,[1]계약리스트!$A$2:$AD$10000,3,0)),"")</f>
        <v>UHR150</v>
      </c>
      <c r="D6" s="47"/>
      <c r="E6" s="15" t="s">
        <v>36</v>
      </c>
      <c r="F6" s="48" t="str">
        <f>IFERROR(IF(VLOOKUP($L$2,[1]계약리스트!$A$2:$AD$10000,5,0)="","",VLOOKUP($L$2,[1]계약리스트!$A$2:$AD$10000,5,0)),"")</f>
        <v>1나88370</v>
      </c>
      <c r="G6" s="47"/>
      <c r="H6" s="15" t="s">
        <v>37</v>
      </c>
      <c r="I6" s="48" t="str">
        <f>IFERROR(IF(VLOOKUP($L$2,[1]계약리스트!$A$2:$AD$10000,6,0)="","",VLOOKUP($L$2,[1]계약리스트!$A$2:$AD$10000,6,0)),"")</f>
        <v>화이트</v>
      </c>
      <c r="J6" s="47"/>
      <c r="K6" s="4"/>
      <c r="L6" s="4"/>
    </row>
    <row r="7" spans="1:12" ht="21.75" customHeight="1">
      <c r="A7" s="4"/>
      <c r="B7" s="15" t="s">
        <v>35</v>
      </c>
      <c r="C7" s="48" t="str">
        <f>IFERROR(IF(VLOOKUP($L$2,[1]계약리스트!$A$2:$AD$10000,4,0)="","",VLOOKUP($L$2,[1]계약리스트!$A$2:$AD$10000,4,0)),"")</f>
        <v>LWMTDKH95THJ00467</v>
      </c>
      <c r="D7" s="47"/>
      <c r="E7" s="15" t="s">
        <v>38</v>
      </c>
      <c r="F7" s="48" t="str">
        <f>IFERROR(IF(VLOOKUP($L$2,[1]계약리스트!$A$2:$AD$10000,7,0)="","",VLOOKUP($L$2,[1]계약리스트!$A$2:$AD$10000,7,0)),"")</f>
        <v>비포함</v>
      </c>
      <c r="G7" s="46"/>
      <c r="H7" s="46"/>
      <c r="I7" s="46"/>
      <c r="J7" s="47"/>
      <c r="K7" s="4"/>
      <c r="L7" s="4"/>
    </row>
    <row r="8" spans="1:12" ht="21.75" customHeight="1">
      <c r="A8" s="4"/>
      <c r="B8" s="56" t="s">
        <v>69</v>
      </c>
      <c r="C8" s="46"/>
      <c r="D8" s="46"/>
      <c r="E8" s="46"/>
      <c r="F8" s="46"/>
      <c r="G8" s="46"/>
      <c r="H8" s="46"/>
      <c r="I8" s="46"/>
      <c r="J8" s="47"/>
      <c r="K8" s="4"/>
      <c r="L8" s="4"/>
    </row>
    <row r="9" spans="1:12" ht="7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25.5" customHeight="1">
      <c r="A10" s="4"/>
      <c r="B10" s="53" t="s">
        <v>70</v>
      </c>
      <c r="C10" s="50"/>
      <c r="D10" s="50"/>
      <c r="E10" s="50"/>
      <c r="F10" s="50"/>
      <c r="G10" s="50"/>
      <c r="H10" s="50"/>
      <c r="I10" s="50"/>
      <c r="J10" s="50"/>
      <c r="K10" s="4"/>
      <c r="L10" s="4"/>
    </row>
    <row r="11" spans="1:12" ht="21.75" customHeight="1">
      <c r="A11" s="4"/>
      <c r="B11" s="15" t="s">
        <v>71</v>
      </c>
      <c r="C11" s="51" t="str">
        <f>_xlfn.XLOOKUP(L2,계약리스트!A:A,계약리스트!L:L)</f>
        <v>안종식</v>
      </c>
      <c r="D11" s="47"/>
      <c r="E11" s="15" t="s">
        <v>72</v>
      </c>
      <c r="F11" s="51" t="str">
        <f>_xlfn.XLOOKUP(L2,계약리스트!A:A,계약리스트!M:M)</f>
        <v>820530-1046518</v>
      </c>
      <c r="G11" s="47"/>
      <c r="H11" s="15" t="s">
        <v>46</v>
      </c>
      <c r="I11" s="51" t="str">
        <f>_xlfn.XLOOKUP(L2,계약리스트!A:A,계약리스트!O:O)</f>
        <v>010-5813-7336</v>
      </c>
      <c r="J11" s="47"/>
      <c r="K11" s="4"/>
      <c r="L11" s="4"/>
    </row>
    <row r="12" spans="1:12" ht="21.75" customHeight="1">
      <c r="A12" s="4"/>
      <c r="B12" s="15" t="s">
        <v>45</v>
      </c>
      <c r="C12" s="52" t="str">
        <f>_xlfn.XLOOKUP(L2,계약리스트!A:A,계약리스트!N:N)</f>
        <v>경기도 오산시 궐동로 77, 1층(궐동)</v>
      </c>
      <c r="D12" s="46"/>
      <c r="E12" s="46"/>
      <c r="F12" s="46"/>
      <c r="G12" s="46"/>
      <c r="H12" s="46"/>
      <c r="I12" s="46"/>
      <c r="J12" s="47"/>
      <c r="K12" s="4"/>
      <c r="L12" s="4"/>
    </row>
    <row r="13" spans="1:12" ht="19.5" customHeight="1">
      <c r="A13" s="4"/>
      <c r="B13" s="59" t="s">
        <v>73</v>
      </c>
      <c r="C13" s="46"/>
      <c r="D13" s="46"/>
      <c r="E13" s="46"/>
      <c r="F13" s="46"/>
      <c r="G13" s="46"/>
      <c r="H13" s="46"/>
      <c r="I13" s="46"/>
      <c r="J13" s="47"/>
      <c r="K13" s="4"/>
      <c r="L13" s="4"/>
    </row>
    <row r="14" spans="1:12" ht="7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25.5" customHeight="1">
      <c r="A15" s="4"/>
      <c r="B15" s="68" t="s">
        <v>74</v>
      </c>
      <c r="C15" s="66"/>
      <c r="D15" s="66"/>
      <c r="E15" s="66"/>
      <c r="F15" s="66"/>
      <c r="G15" s="66"/>
      <c r="H15" s="66"/>
      <c r="I15" s="66"/>
      <c r="J15" s="66"/>
      <c r="K15" s="4"/>
      <c r="L15" s="4"/>
    </row>
    <row r="16" spans="1:12" ht="21.75" customHeight="1">
      <c r="A16" s="4"/>
      <c r="B16" s="1" t="s">
        <v>47</v>
      </c>
      <c r="C16" s="48" t="str">
        <f>_xlfn.XLOOKUP(L2,계약리스트!A:A,계약리스트!P:P)</f>
        <v>할부판매</v>
      </c>
      <c r="D16" s="47"/>
      <c r="E16" s="1" t="s">
        <v>48</v>
      </c>
      <c r="F16" s="48" t="str">
        <f>_xlfn.XLOOKUP(L2,계약리스트!A:A,계약리스트!Q:Q)</f>
        <v>인수형</v>
      </c>
      <c r="G16" s="47"/>
      <c r="H16" s="18" t="s">
        <v>75</v>
      </c>
      <c r="I16" s="48">
        <f>_xlfn.XLOOKUP(L2,계약리스트!A:A,계약리스트!J:J)</f>
        <v>365</v>
      </c>
      <c r="J16" s="47"/>
      <c r="K16" s="4"/>
      <c r="L16" s="4"/>
    </row>
    <row r="17" spans="1:12" ht="21.75" customHeight="1">
      <c r="A17" s="4"/>
      <c r="B17" s="15" t="s">
        <v>76</v>
      </c>
      <c r="C17" s="67">
        <f>_xlfn.XLOOKUP(L2,계약리스트!A:A,계약리스트!I:I)</f>
        <v>26400</v>
      </c>
      <c r="D17" s="47"/>
      <c r="E17" s="15" t="s">
        <v>42</v>
      </c>
      <c r="F17" s="67">
        <f>_xlfn.XLOOKUP(L2,계약리스트!A:A,계약리스트!K:K)</f>
        <v>300000</v>
      </c>
      <c r="G17" s="47"/>
      <c r="H17" s="15" t="s">
        <v>49</v>
      </c>
      <c r="I17" s="51" t="str">
        <f>_xlfn.XLOOKUP(L2,계약리스트!A:A,계약리스트!S:S)</f>
        <v>월2회(15일,말일)</v>
      </c>
      <c r="J17" s="47"/>
      <c r="K17" s="4"/>
      <c r="L17" s="4"/>
    </row>
    <row r="18" spans="1:12" ht="21.75" customHeight="1">
      <c r="A18" s="4"/>
      <c r="B18" s="1" t="s">
        <v>77</v>
      </c>
      <c r="C18" s="64" t="s">
        <v>63</v>
      </c>
      <c r="D18" s="47"/>
      <c r="E18" s="1" t="s">
        <v>78</v>
      </c>
      <c r="F18" s="64" t="s">
        <v>79</v>
      </c>
      <c r="G18" s="46"/>
      <c r="H18" s="46"/>
      <c r="I18" s="46"/>
      <c r="J18" s="47"/>
      <c r="K18" s="4"/>
      <c r="L18" s="4"/>
    </row>
    <row r="19" spans="1:12" ht="21.75" customHeight="1">
      <c r="A19" s="4"/>
      <c r="B19" s="1" t="s">
        <v>80</v>
      </c>
      <c r="C19" s="64" t="s">
        <v>81</v>
      </c>
      <c r="D19" s="46"/>
      <c r="E19" s="46"/>
      <c r="F19" s="46"/>
      <c r="G19" s="46"/>
      <c r="H19" s="46"/>
      <c r="I19" s="46"/>
      <c r="J19" s="47"/>
      <c r="K19" s="4"/>
      <c r="L19" s="4"/>
    </row>
    <row r="20" spans="1:12" ht="7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25.5" customHeight="1">
      <c r="A21" s="4"/>
      <c r="B21" s="53" t="s">
        <v>82</v>
      </c>
      <c r="C21" s="50"/>
      <c r="D21" s="50"/>
      <c r="E21" s="50"/>
      <c r="F21" s="50"/>
      <c r="G21" s="50"/>
      <c r="H21" s="50"/>
      <c r="I21" s="50"/>
      <c r="J21" s="50"/>
      <c r="K21" s="4"/>
      <c r="L21" s="4"/>
    </row>
    <row r="22" spans="1:12" ht="21.75" customHeight="1">
      <c r="A22" s="4"/>
      <c r="B22" s="15" t="s">
        <v>83</v>
      </c>
      <c r="C22" s="52" t="s">
        <v>67</v>
      </c>
      <c r="D22" s="47"/>
      <c r="E22" s="15" t="s">
        <v>84</v>
      </c>
      <c r="F22" s="51" t="s">
        <v>85</v>
      </c>
      <c r="G22" s="47"/>
      <c r="H22" s="15" t="s">
        <v>86</v>
      </c>
      <c r="I22" s="52" t="s">
        <v>87</v>
      </c>
      <c r="J22" s="47"/>
      <c r="K22" s="4"/>
      <c r="L22" s="4"/>
    </row>
    <row r="23" spans="1:12" ht="21.75" customHeight="1">
      <c r="A23" s="4"/>
      <c r="B23" s="15" t="s">
        <v>45</v>
      </c>
      <c r="C23" s="52" t="s">
        <v>88</v>
      </c>
      <c r="D23" s="46"/>
      <c r="E23" s="46"/>
      <c r="F23" s="47"/>
      <c r="G23" s="15" t="s">
        <v>89</v>
      </c>
      <c r="H23" s="51" t="s">
        <v>90</v>
      </c>
      <c r="I23" s="46"/>
      <c r="J23" s="47"/>
      <c r="K23" s="4"/>
      <c r="L23" s="4"/>
    </row>
    <row r="24" spans="1:12" ht="7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25.5" customHeight="1">
      <c r="A25" s="4"/>
      <c r="B25" s="49" t="s">
        <v>91</v>
      </c>
      <c r="C25" s="50"/>
      <c r="D25" s="50"/>
      <c r="E25" s="50"/>
      <c r="F25" s="50"/>
      <c r="G25" s="50"/>
      <c r="H25" s="50"/>
      <c r="I25" s="50"/>
      <c r="J25" s="50"/>
      <c r="K25" s="4"/>
      <c r="L25" s="4"/>
    </row>
    <row r="26" spans="1:12" ht="33.75" customHeight="1">
      <c r="A26" s="4"/>
      <c r="B26" s="57" t="s">
        <v>92</v>
      </c>
      <c r="C26" s="47"/>
      <c r="D26" s="45" t="s">
        <v>93</v>
      </c>
      <c r="E26" s="46"/>
      <c r="F26" s="46"/>
      <c r="G26" s="46"/>
      <c r="H26" s="46"/>
      <c r="I26" s="46"/>
      <c r="J26" s="47"/>
      <c r="K26" s="4"/>
      <c r="L26" s="4"/>
    </row>
    <row r="27" spans="1:12" ht="53.7" customHeight="1">
      <c r="A27" s="4"/>
      <c r="B27" s="57" t="s">
        <v>94</v>
      </c>
      <c r="C27" s="47"/>
      <c r="D27" s="45" t="s">
        <v>95</v>
      </c>
      <c r="E27" s="46"/>
      <c r="F27" s="46"/>
      <c r="G27" s="46"/>
      <c r="H27" s="46"/>
      <c r="I27" s="46"/>
      <c r="J27" s="47"/>
      <c r="K27" s="4"/>
      <c r="L27" s="4"/>
    </row>
    <row r="28" spans="1:12" ht="33.75" customHeight="1">
      <c r="A28" s="4"/>
      <c r="B28" s="57" t="s">
        <v>96</v>
      </c>
      <c r="C28" s="47"/>
      <c r="D28" s="45" t="s">
        <v>97</v>
      </c>
      <c r="E28" s="46"/>
      <c r="F28" s="46"/>
      <c r="G28" s="46"/>
      <c r="H28" s="46"/>
      <c r="I28" s="46"/>
      <c r="J28" s="47"/>
      <c r="K28" s="4"/>
      <c r="L28" s="4"/>
    </row>
    <row r="29" spans="1:12" ht="31.5" customHeight="1">
      <c r="A29" s="4"/>
      <c r="B29" s="73" t="s">
        <v>98</v>
      </c>
      <c r="C29" s="47"/>
      <c r="D29" s="45" t="s">
        <v>99</v>
      </c>
      <c r="E29" s="46"/>
      <c r="F29" s="46"/>
      <c r="G29" s="46"/>
      <c r="H29" s="46"/>
      <c r="I29" s="46"/>
      <c r="J29" s="47"/>
      <c r="K29" s="4"/>
      <c r="L29" s="4"/>
    </row>
    <row r="30" spans="1:12" ht="39" customHeight="1">
      <c r="A30" s="4"/>
      <c r="B30" s="57" t="s">
        <v>100</v>
      </c>
      <c r="C30" s="47"/>
      <c r="D30" s="45" t="s">
        <v>101</v>
      </c>
      <c r="E30" s="46"/>
      <c r="F30" s="46"/>
      <c r="G30" s="46"/>
      <c r="H30" s="46"/>
      <c r="I30" s="46"/>
      <c r="J30" s="47"/>
      <c r="K30" s="4"/>
      <c r="L30" s="4"/>
    </row>
    <row r="31" spans="1:12" ht="78" customHeight="1">
      <c r="A31" s="4"/>
      <c r="B31" s="57" t="s">
        <v>102</v>
      </c>
      <c r="C31" s="47"/>
      <c r="D31" s="69" t="s">
        <v>103</v>
      </c>
      <c r="E31" s="70"/>
      <c r="F31" s="70"/>
      <c r="G31" s="70"/>
      <c r="H31" s="70"/>
      <c r="I31" s="70"/>
      <c r="J31" s="71"/>
      <c r="K31" s="4"/>
      <c r="L31" s="4"/>
    </row>
    <row r="32" spans="1:12" ht="31.5" customHeight="1">
      <c r="A32" s="4"/>
      <c r="B32" s="80" t="s">
        <v>104</v>
      </c>
      <c r="C32" s="46"/>
      <c r="D32" s="46"/>
      <c r="E32" s="46"/>
      <c r="F32" s="46"/>
      <c r="G32" s="46"/>
      <c r="H32" s="46"/>
      <c r="I32" s="46"/>
      <c r="J32" s="47"/>
      <c r="K32" s="4"/>
      <c r="L32" s="4"/>
    </row>
    <row r="33" spans="1:12" ht="31.5" customHeight="1">
      <c r="A33" s="4"/>
      <c r="B33" s="72" t="s">
        <v>105</v>
      </c>
      <c r="C33" s="62"/>
      <c r="D33" s="62"/>
      <c r="E33" s="62"/>
      <c r="F33" s="62"/>
      <c r="G33" s="62"/>
      <c r="H33" s="62"/>
      <c r="I33" s="62"/>
      <c r="J33" s="63"/>
      <c r="K33" s="4"/>
      <c r="L33" s="4"/>
    </row>
    <row r="34" spans="1:12" ht="31.5" customHeight="1">
      <c r="A34" s="4"/>
      <c r="B34" s="61" t="s">
        <v>106</v>
      </c>
      <c r="C34" s="62"/>
      <c r="D34" s="62"/>
      <c r="E34" s="62"/>
      <c r="F34" s="62"/>
      <c r="G34" s="62"/>
      <c r="H34" s="62"/>
      <c r="I34" s="62"/>
      <c r="J34" s="63"/>
      <c r="K34" s="4"/>
      <c r="L34" s="4"/>
    </row>
    <row r="35" spans="1:12" ht="7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25.5" customHeight="1">
      <c r="A36" s="4"/>
      <c r="B36" s="79" t="s">
        <v>107</v>
      </c>
      <c r="C36" s="46"/>
      <c r="D36" s="46"/>
      <c r="E36" s="46"/>
      <c r="F36" s="46"/>
      <c r="G36" s="46"/>
      <c r="H36" s="46"/>
      <c r="I36" s="46"/>
      <c r="J36" s="47"/>
      <c r="K36" s="4"/>
      <c r="L36" s="4"/>
    </row>
    <row r="37" spans="1:12" ht="27.75" customHeight="1">
      <c r="A37" s="4"/>
      <c r="B37" s="60" t="s">
        <v>108</v>
      </c>
      <c r="C37" s="47"/>
      <c r="D37" s="58" t="s">
        <v>109</v>
      </c>
      <c r="E37" s="46"/>
      <c r="F37" s="46"/>
      <c r="G37" s="46"/>
      <c r="H37" s="46"/>
      <c r="I37" s="46"/>
      <c r="J37" s="47"/>
      <c r="K37" s="4"/>
      <c r="L37" s="4"/>
    </row>
    <row r="38" spans="1:12" ht="27.75" customHeight="1">
      <c r="A38" s="4"/>
      <c r="B38" s="60" t="s">
        <v>110</v>
      </c>
      <c r="C38" s="47"/>
      <c r="D38" s="58" t="s">
        <v>111</v>
      </c>
      <c r="E38" s="46"/>
      <c r="F38" s="46"/>
      <c r="G38" s="46"/>
      <c r="H38" s="46"/>
      <c r="I38" s="46"/>
      <c r="J38" s="47"/>
      <c r="K38" s="4"/>
      <c r="L38" s="4"/>
    </row>
    <row r="39" spans="1:12" ht="27.75" customHeight="1">
      <c r="A39" s="4"/>
      <c r="B39" s="60" t="s">
        <v>112</v>
      </c>
      <c r="C39" s="47"/>
      <c r="D39" s="58" t="s">
        <v>113</v>
      </c>
      <c r="E39" s="46"/>
      <c r="F39" s="46"/>
      <c r="G39" s="46"/>
      <c r="H39" s="46"/>
      <c r="I39" s="46"/>
      <c r="J39" s="47"/>
      <c r="K39" s="4"/>
      <c r="L39" s="4"/>
    </row>
    <row r="40" spans="1:12" ht="27.75" customHeight="1">
      <c r="A40" s="4"/>
      <c r="B40" s="60" t="s">
        <v>114</v>
      </c>
      <c r="C40" s="47"/>
      <c r="D40" s="58" t="s">
        <v>115</v>
      </c>
      <c r="E40" s="46"/>
      <c r="F40" s="46"/>
      <c r="G40" s="46"/>
      <c r="H40" s="46"/>
      <c r="I40" s="46"/>
      <c r="J40" s="47"/>
      <c r="K40" s="4"/>
      <c r="L40" s="4"/>
    </row>
    <row r="41" spans="1:12" ht="27.75" customHeight="1">
      <c r="A41" s="4"/>
      <c r="B41" s="60" t="s">
        <v>116</v>
      </c>
      <c r="C41" s="47"/>
      <c r="D41" s="58" t="s">
        <v>117</v>
      </c>
      <c r="E41" s="46"/>
      <c r="F41" s="46"/>
      <c r="G41" s="46"/>
      <c r="H41" s="46"/>
      <c r="I41" s="46"/>
      <c r="J41" s="47"/>
      <c r="K41" s="4"/>
      <c r="L41" s="4"/>
    </row>
    <row r="42" spans="1:12" ht="27.75" customHeight="1">
      <c r="A42" s="4"/>
      <c r="B42" s="60" t="s">
        <v>118</v>
      </c>
      <c r="C42" s="47"/>
      <c r="D42" s="58" t="s">
        <v>119</v>
      </c>
      <c r="E42" s="46"/>
      <c r="F42" s="46"/>
      <c r="G42" s="46"/>
      <c r="H42" s="46"/>
      <c r="I42" s="46"/>
      <c r="J42" s="47"/>
      <c r="K42" s="4"/>
      <c r="L42" s="4"/>
    </row>
    <row r="43" spans="1:12" ht="25.5" customHeight="1">
      <c r="A43" s="4"/>
      <c r="B43" s="76" t="s">
        <v>120</v>
      </c>
      <c r="C43" s="46"/>
      <c r="D43" s="46"/>
      <c r="E43" s="46"/>
      <c r="F43" s="46"/>
      <c r="G43" s="46"/>
      <c r="H43" s="46"/>
      <c r="I43" s="46"/>
      <c r="J43" s="47"/>
      <c r="K43" s="4"/>
      <c r="L43" s="4"/>
    </row>
    <row r="44" spans="1:12" ht="12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25.5" customHeight="1">
      <c r="A45" s="4"/>
      <c r="B45" s="78" t="s">
        <v>121</v>
      </c>
      <c r="C45" s="66"/>
      <c r="D45" s="66"/>
      <c r="E45" s="66"/>
      <c r="F45" s="66"/>
      <c r="G45" s="66"/>
      <c r="H45" s="66"/>
      <c r="I45" s="66"/>
      <c r="J45" s="66"/>
      <c r="K45" s="4"/>
      <c r="L45" s="4"/>
    </row>
    <row r="46" spans="1:12" ht="31.5" customHeight="1">
      <c r="A46" s="4"/>
      <c r="B46" s="77" t="s">
        <v>122</v>
      </c>
      <c r="C46" s="46"/>
      <c r="D46" s="46"/>
      <c r="E46" s="46"/>
      <c r="F46" s="46"/>
      <c r="G46" s="46"/>
      <c r="H46" s="46"/>
      <c r="I46" s="46"/>
      <c r="J46" s="47"/>
      <c r="K46" s="4"/>
      <c r="L46" s="4"/>
    </row>
    <row r="47" spans="1:12" ht="48" customHeight="1">
      <c r="A47" s="4"/>
      <c r="B47" s="1" t="s">
        <v>123</v>
      </c>
      <c r="C47" s="82" t="str">
        <f>C11</f>
        <v>안종식</v>
      </c>
      <c r="D47" s="46"/>
      <c r="E47" s="47"/>
      <c r="F47" s="29" t="s">
        <v>124</v>
      </c>
      <c r="G47" s="15" t="s">
        <v>125</v>
      </c>
      <c r="H47" s="82" t="s">
        <v>67</v>
      </c>
      <c r="I47" s="47"/>
      <c r="J47" s="29" t="s">
        <v>124</v>
      </c>
      <c r="K47" s="4"/>
      <c r="L47" s="4"/>
    </row>
    <row r="48" spans="1:12" ht="15" customHeight="1">
      <c r="A48" s="4"/>
      <c r="B48" s="74" t="s">
        <v>126</v>
      </c>
      <c r="C48" s="75"/>
      <c r="D48" s="75"/>
      <c r="E48" s="75"/>
      <c r="F48" s="75"/>
      <c r="G48" s="75"/>
      <c r="H48" s="75"/>
      <c r="I48" s="75"/>
      <c r="J48" s="55"/>
      <c r="K48" s="4"/>
      <c r="L48" s="4"/>
    </row>
    <row r="49" spans="1:12" ht="15" customHeight="1">
      <c r="A49" s="4"/>
      <c r="B49" s="30" t="s">
        <v>127</v>
      </c>
      <c r="C49" s="54"/>
      <c r="D49" s="55"/>
      <c r="E49" s="30" t="s">
        <v>128</v>
      </c>
      <c r="F49" s="54"/>
      <c r="G49" s="55"/>
      <c r="H49" s="30" t="s">
        <v>129</v>
      </c>
      <c r="I49" s="54"/>
      <c r="J49" s="55"/>
      <c r="K49" s="4"/>
      <c r="L49" s="4"/>
    </row>
    <row r="50" spans="1:12" ht="15" customHeight="1">
      <c r="A50" s="4"/>
      <c r="B50" s="30" t="s">
        <v>130</v>
      </c>
      <c r="C50" s="54"/>
      <c r="D50" s="55"/>
      <c r="E50" s="30" t="s">
        <v>131</v>
      </c>
      <c r="F50" s="54"/>
      <c r="G50" s="55"/>
      <c r="H50" s="30" t="s">
        <v>132</v>
      </c>
      <c r="I50" s="54"/>
      <c r="J50" s="55"/>
      <c r="K50" s="4"/>
      <c r="L50" s="4"/>
    </row>
    <row r="51" spans="1:12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</sheetData>
  <mergeCells count="74">
    <mergeCell ref="F3:H3"/>
    <mergeCell ref="C19:J19"/>
    <mergeCell ref="B21:J21"/>
    <mergeCell ref="B2:J2"/>
    <mergeCell ref="C47:E47"/>
    <mergeCell ref="C7:D7"/>
    <mergeCell ref="B5:J5"/>
    <mergeCell ref="C11:D11"/>
    <mergeCell ref="B28:C28"/>
    <mergeCell ref="B41:C41"/>
    <mergeCell ref="F22:G22"/>
    <mergeCell ref="B40:C40"/>
    <mergeCell ref="H47:I47"/>
    <mergeCell ref="C17:D17"/>
    <mergeCell ref="I17:J17"/>
    <mergeCell ref="B42:C42"/>
    <mergeCell ref="F49:G49"/>
    <mergeCell ref="B48:J48"/>
    <mergeCell ref="I50:J50"/>
    <mergeCell ref="C18:D18"/>
    <mergeCell ref="B43:J43"/>
    <mergeCell ref="B30:C30"/>
    <mergeCell ref="D41:J41"/>
    <mergeCell ref="B26:C26"/>
    <mergeCell ref="B46:J46"/>
    <mergeCell ref="C49:D49"/>
    <mergeCell ref="B45:J45"/>
    <mergeCell ref="D37:J37"/>
    <mergeCell ref="B36:J36"/>
    <mergeCell ref="B37:C37"/>
    <mergeCell ref="B32:J32"/>
    <mergeCell ref="H23:J23"/>
    <mergeCell ref="C50:D50"/>
    <mergeCell ref="F18:J18"/>
    <mergeCell ref="B3:E3"/>
    <mergeCell ref="C22:D22"/>
    <mergeCell ref="F50:G50"/>
    <mergeCell ref="I22:J22"/>
    <mergeCell ref="F17:G17"/>
    <mergeCell ref="I3:J3"/>
    <mergeCell ref="B15:J15"/>
    <mergeCell ref="D31:J31"/>
    <mergeCell ref="B33:J33"/>
    <mergeCell ref="C12:J12"/>
    <mergeCell ref="B38:C38"/>
    <mergeCell ref="D40:J40"/>
    <mergeCell ref="B29:C29"/>
    <mergeCell ref="D39:J39"/>
    <mergeCell ref="I49:J49"/>
    <mergeCell ref="I11:J11"/>
    <mergeCell ref="F6:G6"/>
    <mergeCell ref="B8:J8"/>
    <mergeCell ref="D30:J30"/>
    <mergeCell ref="B31:C31"/>
    <mergeCell ref="D42:J42"/>
    <mergeCell ref="B27:C27"/>
    <mergeCell ref="B13:J13"/>
    <mergeCell ref="D29:J29"/>
    <mergeCell ref="D38:J38"/>
    <mergeCell ref="B39:C39"/>
    <mergeCell ref="F7:J7"/>
    <mergeCell ref="B34:J34"/>
    <mergeCell ref="C16:D16"/>
    <mergeCell ref="D28:J28"/>
    <mergeCell ref="C6:D6"/>
    <mergeCell ref="I6:J6"/>
    <mergeCell ref="C23:F23"/>
    <mergeCell ref="F16:G16"/>
    <mergeCell ref="B10:J10"/>
    <mergeCell ref="D26:J26"/>
    <mergeCell ref="I16:J16"/>
    <mergeCell ref="D27:J27"/>
    <mergeCell ref="B25:J25"/>
    <mergeCell ref="F11:G11"/>
  </mergeCells>
  <phoneticPr fontId="23" type="noConversion"/>
  <printOptions horizontalCentered="1"/>
  <pageMargins left="0.3" right="0.3" top="0.4" bottom="0.4" header="0.511811023622047" footer="0.511811023622047"/>
  <pageSetup paperSize="9" scale="6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E190"/>
  <sheetViews>
    <sheetView showGridLines="0" view="pageBreakPreview" topLeftCell="A68" zoomScale="115" zoomScaleNormal="115" zoomScalePageLayoutView="115" workbookViewId="0">
      <selection activeCell="D88" sqref="D88"/>
    </sheetView>
  </sheetViews>
  <sheetFormatPr defaultColWidth="8.6640625" defaultRowHeight="14.4"/>
  <cols>
    <col min="1" max="1" width="2" customWidth="1"/>
    <col min="2" max="2" width="70.44140625" customWidth="1"/>
    <col min="3" max="3" width="1.5546875" customWidth="1"/>
    <col min="4" max="4" width="70.44140625" customWidth="1"/>
    <col min="5" max="5" width="65.6640625" customWidth="1"/>
    <col min="6" max="6" width="2" customWidth="1"/>
  </cols>
  <sheetData>
    <row r="1" spans="2:5" ht="27.75" customHeight="1">
      <c r="B1" s="83" t="s">
        <v>0</v>
      </c>
      <c r="C1" s="66"/>
      <c r="D1" s="66"/>
      <c r="E1" s="20"/>
    </row>
    <row r="2" spans="2:5" ht="6" customHeight="1"/>
    <row r="3" spans="2:5" ht="13.8" customHeight="1">
      <c r="B3" s="7" t="s">
        <v>1</v>
      </c>
      <c r="D3" s="7" t="s">
        <v>2</v>
      </c>
      <c r="E3" s="7"/>
    </row>
    <row r="4" spans="2:5" ht="13.8" customHeight="1">
      <c r="B4" s="10" t="s">
        <v>3</v>
      </c>
      <c r="D4" s="39" t="s">
        <v>238</v>
      </c>
      <c r="E4" s="8"/>
    </row>
    <row r="5" spans="2:5" ht="13.8" customHeight="1">
      <c r="B5" s="10" t="s">
        <v>4</v>
      </c>
      <c r="D5" s="40" t="s">
        <v>239</v>
      </c>
      <c r="E5" s="8"/>
    </row>
    <row r="6" spans="2:5" ht="13.8" customHeight="1">
      <c r="D6" s="11" t="s">
        <v>240</v>
      </c>
      <c r="E6" s="8"/>
    </row>
    <row r="7" spans="2:5" ht="13.8" customHeight="1">
      <c r="B7" s="7" t="s">
        <v>5</v>
      </c>
      <c r="D7" s="10" t="s">
        <v>241</v>
      </c>
      <c r="E7" s="8"/>
    </row>
    <row r="8" spans="2:5" ht="13.8" customHeight="1">
      <c r="B8" s="9" t="s">
        <v>175</v>
      </c>
      <c r="D8" s="11" t="s">
        <v>242</v>
      </c>
      <c r="E8" s="8"/>
    </row>
    <row r="9" spans="2:5" ht="13.8" customHeight="1">
      <c r="B9" s="10" t="s">
        <v>6</v>
      </c>
      <c r="D9" s="10" t="s">
        <v>243</v>
      </c>
      <c r="E9" s="8"/>
    </row>
    <row r="10" spans="2:5" ht="13.8" customHeight="1">
      <c r="B10" s="9" t="s">
        <v>176</v>
      </c>
      <c r="D10" s="11" t="s">
        <v>244</v>
      </c>
      <c r="E10" s="8"/>
    </row>
    <row r="11" spans="2:5" ht="13.8" customHeight="1">
      <c r="B11" s="10" t="s">
        <v>7</v>
      </c>
      <c r="D11" s="10" t="s">
        <v>245</v>
      </c>
      <c r="E11" s="8"/>
    </row>
    <row r="12" spans="2:5" ht="13.8" customHeight="1">
      <c r="B12" s="9" t="s">
        <v>177</v>
      </c>
      <c r="D12" s="11" t="s">
        <v>246</v>
      </c>
      <c r="E12" s="8"/>
    </row>
    <row r="13" spans="2:5" ht="13.8" customHeight="1">
      <c r="B13" s="9" t="s">
        <v>178</v>
      </c>
      <c r="D13" s="11" t="s">
        <v>247</v>
      </c>
    </row>
    <row r="14" spans="2:5" ht="13.8" customHeight="1">
      <c r="B14" s="10" t="s">
        <v>179</v>
      </c>
      <c r="D14" s="10" t="s">
        <v>248</v>
      </c>
    </row>
    <row r="15" spans="2:5" ht="13.8" customHeight="1">
      <c r="B15" s="9" t="s">
        <v>180</v>
      </c>
      <c r="D15" s="10" t="s">
        <v>249</v>
      </c>
    </row>
    <row r="16" spans="2:5" ht="13.8" customHeight="1">
      <c r="B16" s="10" t="s">
        <v>181</v>
      </c>
      <c r="D16" s="10" t="s">
        <v>250</v>
      </c>
    </row>
    <row r="17" spans="2:5" ht="13.8" customHeight="1">
      <c r="B17" s="25" t="s">
        <v>182</v>
      </c>
      <c r="D17" s="9" t="s">
        <v>251</v>
      </c>
    </row>
    <row r="18" spans="2:5" ht="13.8" customHeight="1">
      <c r="B18" s="25" t="s">
        <v>183</v>
      </c>
      <c r="D18" s="11" t="s">
        <v>252</v>
      </c>
      <c r="E18" s="7"/>
    </row>
    <row r="19" spans="2:5" ht="13.8" customHeight="1">
      <c r="B19" s="10" t="s">
        <v>184</v>
      </c>
      <c r="D19" s="10" t="s">
        <v>253</v>
      </c>
      <c r="E19" s="8"/>
    </row>
    <row r="20" spans="2:5" ht="13.8" customHeight="1">
      <c r="B20" s="25" t="s">
        <v>185</v>
      </c>
      <c r="D20" s="42" t="s">
        <v>254</v>
      </c>
      <c r="E20" s="8"/>
    </row>
    <row r="21" spans="2:5" ht="13.8" customHeight="1">
      <c r="B21" s="25" t="s">
        <v>186</v>
      </c>
      <c r="D21" s="42" t="s">
        <v>255</v>
      </c>
      <c r="E21" s="8"/>
    </row>
    <row r="22" spans="2:5" ht="13.8" customHeight="1">
      <c r="B22" s="10" t="s">
        <v>187</v>
      </c>
      <c r="E22" s="8"/>
    </row>
    <row r="23" spans="2:5" ht="13.8" customHeight="1">
      <c r="B23" s="39" t="s">
        <v>188</v>
      </c>
      <c r="D23" s="44" t="s">
        <v>256</v>
      </c>
      <c r="E23" s="8"/>
    </row>
    <row r="24" spans="2:5" ht="13.8" customHeight="1">
      <c r="B24" s="9" t="s">
        <v>189</v>
      </c>
      <c r="D24" s="39" t="s">
        <v>257</v>
      </c>
      <c r="E24" s="8"/>
    </row>
    <row r="25" spans="2:5" ht="13.8" customHeight="1">
      <c r="B25" s="25" t="s">
        <v>190</v>
      </c>
      <c r="D25" s="40" t="s">
        <v>258</v>
      </c>
      <c r="E25" s="8"/>
    </row>
    <row r="26" spans="2:5" ht="13.8" customHeight="1">
      <c r="B26" s="9" t="s">
        <v>191</v>
      </c>
      <c r="D26" s="39" t="s">
        <v>259</v>
      </c>
      <c r="E26" s="8"/>
    </row>
    <row r="27" spans="2:5" ht="13.8" customHeight="1">
      <c r="D27" s="40" t="s">
        <v>260</v>
      </c>
      <c r="E27" s="8"/>
    </row>
    <row r="28" spans="2:5" ht="13.8" customHeight="1">
      <c r="B28" s="44" t="s">
        <v>192</v>
      </c>
      <c r="D28" s="39" t="s">
        <v>261</v>
      </c>
      <c r="E28" s="8"/>
    </row>
    <row r="29" spans="2:5" ht="13.8" customHeight="1">
      <c r="B29" s="11" t="s">
        <v>193</v>
      </c>
      <c r="D29" s="43" t="s">
        <v>262</v>
      </c>
      <c r="E29" s="7"/>
    </row>
    <row r="30" spans="2:5" ht="13.8" customHeight="1">
      <c r="B30" s="40" t="s">
        <v>194</v>
      </c>
      <c r="D30" s="43" t="s">
        <v>263</v>
      </c>
      <c r="E30" s="8"/>
    </row>
    <row r="31" spans="2:5" ht="13.8" customHeight="1">
      <c r="B31" s="11" t="s">
        <v>195</v>
      </c>
      <c r="D31" s="43" t="s">
        <v>264</v>
      </c>
      <c r="E31" s="8"/>
    </row>
    <row r="32" spans="2:5" ht="13.8" customHeight="1">
      <c r="B32" s="10" t="s">
        <v>196</v>
      </c>
      <c r="D32" s="43" t="s">
        <v>265</v>
      </c>
    </row>
    <row r="33" spans="2:5" ht="13.8" customHeight="1"/>
    <row r="34" spans="2:5" ht="13.8" customHeight="1">
      <c r="B34" s="44" t="s">
        <v>197</v>
      </c>
      <c r="D34" s="44" t="s">
        <v>266</v>
      </c>
      <c r="E34" s="8"/>
    </row>
    <row r="35" spans="2:5" ht="13.8" customHeight="1">
      <c r="B35" s="11" t="s">
        <v>198</v>
      </c>
      <c r="D35" s="39" t="s">
        <v>267</v>
      </c>
      <c r="E35" s="8"/>
    </row>
    <row r="36" spans="2:5" ht="13.8" customHeight="1">
      <c r="B36" s="11" t="s">
        <v>199</v>
      </c>
      <c r="D36" s="40" t="s">
        <v>268</v>
      </c>
      <c r="E36" s="8"/>
    </row>
    <row r="37" spans="2:5" ht="13.8" customHeight="1">
      <c r="B37" s="19" t="s">
        <v>200</v>
      </c>
      <c r="D37" s="40" t="s">
        <v>269</v>
      </c>
      <c r="E37" s="8"/>
    </row>
    <row r="38" spans="2:5" ht="13.8" customHeight="1">
      <c r="B38" s="11" t="s">
        <v>201</v>
      </c>
      <c r="D38" s="39" t="s">
        <v>270</v>
      </c>
      <c r="E38" s="8"/>
    </row>
    <row r="39" spans="2:5" ht="13.8" customHeight="1">
      <c r="B39" s="11" t="s">
        <v>202</v>
      </c>
      <c r="D39" s="39" t="s">
        <v>271</v>
      </c>
      <c r="E39" s="7"/>
    </row>
    <row r="40" spans="2:5" ht="13.8" customHeight="1">
      <c r="B40" s="10" t="s">
        <v>203</v>
      </c>
      <c r="D40" s="40" t="s">
        <v>272</v>
      </c>
      <c r="E40" s="8"/>
    </row>
    <row r="41" spans="2:5" ht="13.8" customHeight="1">
      <c r="B41" s="8"/>
      <c r="D41" s="10" t="s">
        <v>273</v>
      </c>
      <c r="E41" s="12"/>
    </row>
    <row r="42" spans="2:5" ht="13.8" customHeight="1">
      <c r="B42" s="44" t="s">
        <v>204</v>
      </c>
      <c r="D42" s="10" t="s">
        <v>274</v>
      </c>
      <c r="E42" s="12"/>
    </row>
    <row r="43" spans="2:5" ht="13.8" customHeight="1">
      <c r="B43" s="17" t="s">
        <v>205</v>
      </c>
      <c r="D43" s="10" t="s">
        <v>275</v>
      </c>
      <c r="E43" s="8"/>
    </row>
    <row r="44" spans="2:5" ht="13.8" customHeight="1">
      <c r="B44" s="19" t="s">
        <v>206</v>
      </c>
      <c r="D44" s="17" t="s">
        <v>276</v>
      </c>
      <c r="E44" s="12"/>
    </row>
    <row r="45" spans="2:5" ht="13.8" customHeight="1">
      <c r="B45" s="11" t="s">
        <v>207</v>
      </c>
      <c r="D45" s="19" t="s">
        <v>277</v>
      </c>
      <c r="E45" s="8"/>
    </row>
    <row r="46" spans="2:5" ht="13.8" customHeight="1">
      <c r="B46" s="11" t="s">
        <v>208</v>
      </c>
      <c r="E46" s="8"/>
    </row>
    <row r="47" spans="2:5" ht="13.8" customHeight="1">
      <c r="B47" s="19" t="s">
        <v>209</v>
      </c>
      <c r="D47" s="44" t="s">
        <v>278</v>
      </c>
      <c r="E47" s="12"/>
    </row>
    <row r="48" spans="2:5" ht="13.8" customHeight="1">
      <c r="B48" s="19" t="s">
        <v>210</v>
      </c>
      <c r="D48" s="11" t="s">
        <v>279</v>
      </c>
      <c r="E48" s="8"/>
    </row>
    <row r="49" spans="2:5" ht="13.8" customHeight="1">
      <c r="B49" s="19" t="s">
        <v>211</v>
      </c>
      <c r="D49" s="11" t="s">
        <v>280</v>
      </c>
      <c r="E49" s="12"/>
    </row>
    <row r="50" spans="2:5" ht="13.8" customHeight="1">
      <c r="B50" s="11" t="s">
        <v>212</v>
      </c>
      <c r="D50" s="10" t="s">
        <v>281</v>
      </c>
      <c r="E50" s="12"/>
    </row>
    <row r="51" spans="2:5" ht="13.8" customHeight="1">
      <c r="B51" s="19" t="s">
        <v>213</v>
      </c>
      <c r="D51" s="11" t="s">
        <v>282</v>
      </c>
      <c r="E51" s="7"/>
    </row>
    <row r="52" spans="2:5" ht="13.8" customHeight="1">
      <c r="B52" s="11" t="s">
        <v>214</v>
      </c>
      <c r="D52" s="10" t="s">
        <v>283</v>
      </c>
      <c r="E52" s="7"/>
    </row>
    <row r="53" spans="2:5" ht="13.8" customHeight="1">
      <c r="B53" s="19" t="s">
        <v>215</v>
      </c>
      <c r="D53" s="11" t="s">
        <v>284</v>
      </c>
      <c r="E53" s="8"/>
    </row>
    <row r="54" spans="2:5" ht="13.8" customHeight="1">
      <c r="B54" s="19" t="s">
        <v>216</v>
      </c>
      <c r="D54" s="11" t="s">
        <v>285</v>
      </c>
      <c r="E54" s="8"/>
    </row>
    <row r="55" spans="2:5" ht="13.8" customHeight="1">
      <c r="B55" s="11" t="s">
        <v>217</v>
      </c>
      <c r="D55" s="8"/>
      <c r="E55" s="8"/>
    </row>
    <row r="56" spans="2:5" ht="13.8" customHeight="1">
      <c r="B56" s="19" t="s">
        <v>218</v>
      </c>
      <c r="D56" s="44" t="s">
        <v>286</v>
      </c>
      <c r="E56" s="12"/>
    </row>
    <row r="57" spans="2:5" ht="13.8" customHeight="1">
      <c r="B57" s="11" t="s">
        <v>219</v>
      </c>
      <c r="D57" s="11" t="s">
        <v>287</v>
      </c>
      <c r="E57" s="22"/>
    </row>
    <row r="58" spans="2:5" ht="13.8" customHeight="1">
      <c r="B58" s="16" t="s">
        <v>220</v>
      </c>
      <c r="D58" s="10" t="s">
        <v>288</v>
      </c>
      <c r="E58" s="23"/>
    </row>
    <row r="59" spans="2:5" ht="13.8" customHeight="1">
      <c r="B59" s="16" t="s">
        <v>221</v>
      </c>
      <c r="D59" s="11" t="s">
        <v>289</v>
      </c>
      <c r="E59" s="23"/>
    </row>
    <row r="60" spans="2:5" ht="13.8" customHeight="1">
      <c r="B60" s="16" t="s">
        <v>222</v>
      </c>
      <c r="D60" s="10" t="s">
        <v>290</v>
      </c>
      <c r="E60" s="8"/>
    </row>
    <row r="61" spans="2:5" ht="13.8" customHeight="1">
      <c r="B61" s="16" t="s">
        <v>223</v>
      </c>
      <c r="D61" s="10" t="s">
        <v>291</v>
      </c>
      <c r="E61" s="12"/>
    </row>
    <row r="62" spans="2:5" ht="13.8" customHeight="1">
      <c r="B62" s="11" t="s">
        <v>224</v>
      </c>
      <c r="D62" s="11" t="s">
        <v>292</v>
      </c>
      <c r="E62" s="8"/>
    </row>
    <row r="63" spans="2:5" ht="13.8" customHeight="1">
      <c r="B63" s="19" t="s">
        <v>225</v>
      </c>
      <c r="D63" s="11" t="s">
        <v>293</v>
      </c>
      <c r="E63" s="7"/>
    </row>
    <row r="64" spans="2:5" ht="13.8" customHeight="1">
      <c r="B64" s="21"/>
      <c r="D64" s="10" t="s">
        <v>294</v>
      </c>
      <c r="E64" s="8"/>
    </row>
    <row r="65" spans="2:5" ht="13.8" customHeight="1">
      <c r="B65" s="44" t="s">
        <v>226</v>
      </c>
      <c r="E65" s="8"/>
    </row>
    <row r="66" spans="2:5" ht="13.8" customHeight="1">
      <c r="B66" s="11" t="s">
        <v>227</v>
      </c>
      <c r="D66" s="44" t="s">
        <v>295</v>
      </c>
      <c r="E66" s="12"/>
    </row>
    <row r="67" spans="2:5" ht="13.8" customHeight="1">
      <c r="B67" s="10" t="s">
        <v>228</v>
      </c>
      <c r="D67" s="11" t="s">
        <v>296</v>
      </c>
      <c r="E67" s="8"/>
    </row>
    <row r="68" spans="2:5" ht="13.8" customHeight="1">
      <c r="B68" s="39" t="s">
        <v>229</v>
      </c>
      <c r="D68" s="11" t="s">
        <v>297</v>
      </c>
      <c r="E68" s="12"/>
    </row>
    <row r="69" spans="2:5" ht="13.8" customHeight="1">
      <c r="B69" s="19" t="s">
        <v>230</v>
      </c>
      <c r="D69" s="10" t="s">
        <v>298</v>
      </c>
      <c r="E69" s="8"/>
    </row>
    <row r="70" spans="2:5" ht="13.8" customHeight="1">
      <c r="B70" s="16" t="s">
        <v>231</v>
      </c>
      <c r="D70" s="11" t="s">
        <v>299</v>
      </c>
      <c r="E70" s="7"/>
    </row>
    <row r="71" spans="2:5" ht="13.8" customHeight="1">
      <c r="B71" s="11" t="s">
        <v>232</v>
      </c>
      <c r="D71" s="10" t="s">
        <v>300</v>
      </c>
      <c r="E71" s="8"/>
    </row>
    <row r="72" spans="2:5" ht="13.8" customHeight="1">
      <c r="B72" s="41" t="s">
        <v>233</v>
      </c>
      <c r="D72" s="10" t="s">
        <v>301</v>
      </c>
      <c r="E72" s="12"/>
    </row>
    <row r="73" spans="2:5" ht="13.8" customHeight="1">
      <c r="B73" s="11" t="s">
        <v>234</v>
      </c>
      <c r="D73" s="10" t="s">
        <v>302</v>
      </c>
      <c r="E73" s="8"/>
    </row>
    <row r="74" spans="2:5" ht="13.8" customHeight="1">
      <c r="B74" s="19" t="s">
        <v>235</v>
      </c>
      <c r="D74" s="10" t="s">
        <v>303</v>
      </c>
      <c r="E74" s="8"/>
    </row>
    <row r="75" spans="2:5" ht="13.8" customHeight="1">
      <c r="B75" s="11" t="s">
        <v>236</v>
      </c>
      <c r="D75" s="11" t="s">
        <v>304</v>
      </c>
      <c r="E75" s="8"/>
    </row>
    <row r="76" spans="2:5" ht="13.8" customHeight="1">
      <c r="B76" s="11" t="s">
        <v>237</v>
      </c>
      <c r="D76" s="10" t="s">
        <v>305</v>
      </c>
      <c r="E76" s="7"/>
    </row>
    <row r="77" spans="2:5" ht="13.8" customHeight="1">
      <c r="E77" s="8"/>
    </row>
    <row r="78" spans="2:5" ht="13.8" customHeight="1">
      <c r="E78" s="12"/>
    </row>
    <row r="79" spans="2:5" ht="13.8" customHeight="1">
      <c r="E79" s="8"/>
    </row>
    <row r="80" spans="2:5" ht="13.8" customHeight="1">
      <c r="E80" s="8"/>
    </row>
    <row r="81" spans="2:5" ht="13.8" customHeight="1">
      <c r="E81" s="8"/>
    </row>
    <row r="82" spans="2:5" ht="13.8" customHeight="1">
      <c r="E82" s="8"/>
    </row>
    <row r="83" spans="2:5" ht="13.8" customHeight="1">
      <c r="E83" s="7"/>
    </row>
    <row r="84" spans="2:5" ht="13.8" customHeight="1">
      <c r="B84" s="7" t="s">
        <v>8</v>
      </c>
      <c r="D84" s="7" t="s">
        <v>9</v>
      </c>
      <c r="E84" s="8"/>
    </row>
    <row r="85" spans="2:5" ht="13.8" customHeight="1">
      <c r="B85" s="10" t="s">
        <v>306</v>
      </c>
      <c r="D85" s="11" t="s">
        <v>366</v>
      </c>
      <c r="E85" s="12"/>
    </row>
    <row r="86" spans="2:5" ht="13.8" customHeight="1">
      <c r="B86" s="10" t="s">
        <v>307</v>
      </c>
      <c r="D86" s="11" t="s">
        <v>367</v>
      </c>
      <c r="E86" s="8"/>
    </row>
    <row r="87" spans="2:5" ht="13.8" customHeight="1">
      <c r="B87" s="9" t="s">
        <v>308</v>
      </c>
      <c r="D87" s="11" t="s">
        <v>370</v>
      </c>
      <c r="E87" s="8"/>
    </row>
    <row r="88" spans="2:5" ht="13.8" customHeight="1">
      <c r="B88" s="10" t="s">
        <v>309</v>
      </c>
      <c r="D88" s="10" t="s">
        <v>371</v>
      </c>
      <c r="E88" s="8"/>
    </row>
    <row r="89" spans="2:5" ht="13.8" customHeight="1">
      <c r="B89" s="10" t="s">
        <v>310</v>
      </c>
      <c r="D89" s="8"/>
      <c r="E89" s="12"/>
    </row>
    <row r="90" spans="2:5" ht="13.8" customHeight="1">
      <c r="B90" s="9" t="s">
        <v>311</v>
      </c>
      <c r="D90" s="44" t="s">
        <v>368</v>
      </c>
      <c r="E90" s="12"/>
    </row>
    <row r="91" spans="2:5" ht="13.8" customHeight="1">
      <c r="B91" s="8"/>
      <c r="D91" s="11" t="s">
        <v>369</v>
      </c>
      <c r="E91" s="8"/>
    </row>
    <row r="92" spans="2:5" ht="13.8" customHeight="1">
      <c r="B92" s="44" t="s">
        <v>312</v>
      </c>
      <c r="D92" s="10" t="s">
        <v>372</v>
      </c>
      <c r="E92" s="12"/>
    </row>
    <row r="93" spans="2:5" ht="13.8" customHeight="1">
      <c r="B93" s="11" t="s">
        <v>313</v>
      </c>
      <c r="D93" s="11" t="s">
        <v>373</v>
      </c>
      <c r="E93" s="12"/>
    </row>
    <row r="94" spans="2:5" ht="13.8" customHeight="1">
      <c r="B94" s="10" t="s">
        <v>314</v>
      </c>
      <c r="D94" s="8"/>
      <c r="E94" s="8"/>
    </row>
    <row r="95" spans="2:5" ht="13.8" customHeight="1">
      <c r="B95" s="10" t="s">
        <v>315</v>
      </c>
      <c r="D95" s="7" t="s">
        <v>10</v>
      </c>
      <c r="E95" s="12"/>
    </row>
    <row r="96" spans="2:5" ht="13.8" customHeight="1">
      <c r="B96" s="11" t="s">
        <v>316</v>
      </c>
      <c r="D96" s="11" t="s">
        <v>374</v>
      </c>
      <c r="E96" s="12"/>
    </row>
    <row r="97" spans="2:5" ht="13.8" customHeight="1">
      <c r="B97" s="10" t="s">
        <v>317</v>
      </c>
      <c r="D97" s="11" t="s">
        <v>375</v>
      </c>
      <c r="E97" s="8"/>
    </row>
    <row r="98" spans="2:5" ht="13.8" customHeight="1">
      <c r="B98" s="11" t="s">
        <v>318</v>
      </c>
      <c r="D98" s="11" t="s">
        <v>376</v>
      </c>
      <c r="E98" s="12"/>
    </row>
    <row r="99" spans="2:5" ht="13.8" customHeight="1">
      <c r="B99" s="11" t="s">
        <v>319</v>
      </c>
      <c r="D99" s="10" t="s">
        <v>377</v>
      </c>
      <c r="E99" s="8"/>
    </row>
    <row r="100" spans="2:5" ht="13.8" customHeight="1">
      <c r="B100" s="8" t="s">
        <v>320</v>
      </c>
      <c r="D100" s="11" t="s">
        <v>378</v>
      </c>
      <c r="E100" s="8"/>
    </row>
    <row r="101" spans="2:5" ht="13.8" customHeight="1">
      <c r="B101" s="40" t="s">
        <v>321</v>
      </c>
      <c r="D101" s="9" t="s">
        <v>379</v>
      </c>
      <c r="E101" s="7"/>
    </row>
    <row r="102" spans="2:5" ht="13.8" customHeight="1">
      <c r="B102" s="11" t="s">
        <v>322</v>
      </c>
      <c r="E102" s="8"/>
    </row>
    <row r="103" spans="2:5" ht="13.8" customHeight="1">
      <c r="B103" s="10" t="s">
        <v>323</v>
      </c>
      <c r="D103" s="7" t="s">
        <v>11</v>
      </c>
      <c r="E103" s="8"/>
    </row>
    <row r="104" spans="2:5" ht="13.8" customHeight="1">
      <c r="B104" s="10" t="s">
        <v>324</v>
      </c>
      <c r="D104" s="40" t="s">
        <v>380</v>
      </c>
      <c r="E104" s="12"/>
    </row>
    <row r="105" spans="2:5" ht="13.8" customHeight="1">
      <c r="B105" s="11" t="s">
        <v>325</v>
      </c>
      <c r="E105" s="8"/>
    </row>
    <row r="106" spans="2:5" ht="13.8" customHeight="1">
      <c r="B106" s="10" t="s">
        <v>326</v>
      </c>
      <c r="D106" s="7" t="s">
        <v>12</v>
      </c>
      <c r="E106" s="8"/>
    </row>
    <row r="107" spans="2:5" ht="13.8" customHeight="1">
      <c r="D107" s="10" t="s">
        <v>13</v>
      </c>
      <c r="E107" s="8"/>
    </row>
    <row r="108" spans="2:5" ht="13.8" customHeight="1">
      <c r="B108" s="44" t="s">
        <v>327</v>
      </c>
      <c r="D108" s="10" t="s">
        <v>14</v>
      </c>
      <c r="E108" s="7"/>
    </row>
    <row r="109" spans="2:5" ht="13.8" customHeight="1">
      <c r="B109" s="11" t="s">
        <v>15</v>
      </c>
      <c r="E109" s="8"/>
    </row>
    <row r="110" spans="2:5" ht="13.8" customHeight="1">
      <c r="B110" s="11" t="s">
        <v>328</v>
      </c>
      <c r="D110" s="7" t="s">
        <v>16</v>
      </c>
      <c r="E110" s="8"/>
    </row>
    <row r="111" spans="2:5" ht="13.8" customHeight="1">
      <c r="B111" s="10" t="s">
        <v>329</v>
      </c>
      <c r="D111" s="10" t="s">
        <v>17</v>
      </c>
      <c r="E111" s="8"/>
    </row>
    <row r="112" spans="2:5" ht="13.8" customHeight="1">
      <c r="B112" s="39" t="s">
        <v>330</v>
      </c>
      <c r="D112" s="10" t="s">
        <v>18</v>
      </c>
      <c r="E112" s="8"/>
    </row>
    <row r="113" spans="2:5" ht="13.8" customHeight="1">
      <c r="B113" s="11" t="s">
        <v>331</v>
      </c>
      <c r="D113" s="40" t="s">
        <v>19</v>
      </c>
      <c r="E113" s="8"/>
    </row>
    <row r="114" spans="2:5" ht="13.8" customHeight="1">
      <c r="B114" s="10" t="s">
        <v>332</v>
      </c>
      <c r="D114" s="8"/>
      <c r="E114" s="7"/>
    </row>
    <row r="115" spans="2:5" ht="13.8" customHeight="1">
      <c r="D115" s="31" t="s">
        <v>20</v>
      </c>
      <c r="E115" s="8"/>
    </row>
    <row r="116" spans="2:5" ht="13.8" customHeight="1">
      <c r="B116" s="44" t="s">
        <v>333</v>
      </c>
      <c r="D116" s="11" t="s">
        <v>381</v>
      </c>
      <c r="E116" s="12"/>
    </row>
    <row r="117" spans="2:5" ht="13.8" customHeight="1">
      <c r="B117" s="19" t="s">
        <v>334</v>
      </c>
      <c r="D117" s="10" t="s">
        <v>21</v>
      </c>
      <c r="E117" s="12"/>
    </row>
    <row r="118" spans="2:5" ht="13.8" customHeight="1">
      <c r="B118" s="10" t="s">
        <v>335</v>
      </c>
      <c r="D118" s="10" t="s">
        <v>382</v>
      </c>
      <c r="E118" s="8"/>
    </row>
    <row r="119" spans="2:5" ht="13.8" customHeight="1">
      <c r="B119" s="40" t="s">
        <v>336</v>
      </c>
      <c r="D119" s="11" t="s">
        <v>383</v>
      </c>
      <c r="E119" s="8"/>
    </row>
    <row r="120" spans="2:5" ht="13.8" customHeight="1">
      <c r="B120" s="40" t="s">
        <v>337</v>
      </c>
      <c r="E120" s="8"/>
    </row>
    <row r="121" spans="2:5" ht="13.8" customHeight="1">
      <c r="B121" s="19" t="s">
        <v>338</v>
      </c>
      <c r="D121" s="31" t="s">
        <v>22</v>
      </c>
      <c r="E121" s="7"/>
    </row>
    <row r="122" spans="2:5" ht="13.8" customHeight="1">
      <c r="B122" s="16" t="s">
        <v>339</v>
      </c>
      <c r="D122" s="10" t="s">
        <v>23</v>
      </c>
      <c r="E122" s="8"/>
    </row>
    <row r="123" spans="2:5" ht="13.8" customHeight="1">
      <c r="D123" s="40" t="s">
        <v>24</v>
      </c>
      <c r="E123" s="7"/>
    </row>
    <row r="124" spans="2:5" ht="13.8" customHeight="1">
      <c r="B124" s="44" t="s">
        <v>340</v>
      </c>
      <c r="E124" s="8"/>
    </row>
    <row r="125" spans="2:5" ht="13.8" customHeight="1">
      <c r="B125" s="39" t="s">
        <v>341</v>
      </c>
      <c r="D125" s="32" t="s">
        <v>25</v>
      </c>
      <c r="E125" s="12"/>
    </row>
    <row r="126" spans="2:5" ht="13.8" customHeight="1">
      <c r="B126" s="43" t="s">
        <v>343</v>
      </c>
      <c r="D126" s="11" t="s">
        <v>384</v>
      </c>
      <c r="E126" s="7"/>
    </row>
    <row r="127" spans="2:5" ht="13.8" customHeight="1">
      <c r="B127" s="43" t="s">
        <v>344</v>
      </c>
      <c r="D127" s="10" t="s">
        <v>26</v>
      </c>
      <c r="E127" s="8"/>
    </row>
    <row r="128" spans="2:5" ht="13.8" customHeight="1">
      <c r="B128" s="43" t="s">
        <v>345</v>
      </c>
      <c r="D128" s="11" t="s">
        <v>385</v>
      </c>
      <c r="E128" s="8"/>
    </row>
    <row r="129" spans="2:5" ht="13.8" customHeight="1">
      <c r="B129" s="39" t="s">
        <v>342</v>
      </c>
      <c r="D129" s="10" t="s">
        <v>386</v>
      </c>
      <c r="E129" s="8"/>
    </row>
    <row r="130" spans="2:5" ht="13.8" customHeight="1">
      <c r="B130" s="40" t="s">
        <v>27</v>
      </c>
      <c r="D130" s="11" t="s">
        <v>388</v>
      </c>
      <c r="E130" s="8"/>
    </row>
    <row r="131" spans="2:5" ht="13.8" customHeight="1">
      <c r="D131" s="11" t="s">
        <v>387</v>
      </c>
      <c r="E131" s="8"/>
    </row>
    <row r="132" spans="2:5" ht="13.8" customHeight="1">
      <c r="B132" s="7" t="s">
        <v>28</v>
      </c>
      <c r="E132" s="8"/>
    </row>
    <row r="133" spans="2:5" ht="13.8" customHeight="1">
      <c r="B133" s="39" t="s">
        <v>347</v>
      </c>
      <c r="D133" s="32" t="s">
        <v>29</v>
      </c>
      <c r="E133" s="8"/>
    </row>
    <row r="134" spans="2:5" ht="13.8" customHeight="1">
      <c r="B134" s="39" t="s">
        <v>346</v>
      </c>
      <c r="D134" s="11" t="s">
        <v>389</v>
      </c>
      <c r="E134" s="8"/>
    </row>
    <row r="135" spans="2:5" ht="13.8" customHeight="1">
      <c r="B135" s="40" t="s">
        <v>348</v>
      </c>
      <c r="D135" s="10" t="s">
        <v>390</v>
      </c>
      <c r="E135" s="8"/>
    </row>
    <row r="136" spans="2:5" ht="13.8" customHeight="1">
      <c r="B136" s="39" t="s">
        <v>349</v>
      </c>
      <c r="D136" s="39" t="s">
        <v>391</v>
      </c>
      <c r="E136" s="8"/>
    </row>
    <row r="137" spans="2:5" ht="13.8" customHeight="1">
      <c r="B137" s="8"/>
      <c r="E137" s="8"/>
    </row>
    <row r="138" spans="2:5" ht="13.8" customHeight="1">
      <c r="B138" s="44" t="s">
        <v>350</v>
      </c>
      <c r="E138" s="24"/>
    </row>
    <row r="139" spans="2:5" ht="13.8" customHeight="1">
      <c r="B139" s="11" t="s">
        <v>351</v>
      </c>
      <c r="E139" s="8"/>
    </row>
    <row r="140" spans="2:5" ht="13.8" customHeight="1">
      <c r="B140" s="40" t="s">
        <v>352</v>
      </c>
      <c r="E140" s="8"/>
    </row>
    <row r="141" spans="2:5" ht="13.8" customHeight="1">
      <c r="B141" s="11" t="s">
        <v>353</v>
      </c>
      <c r="E141" s="8"/>
    </row>
    <row r="142" spans="2:5" ht="13.8" customHeight="1">
      <c r="B142" s="10" t="s">
        <v>354</v>
      </c>
      <c r="E142" s="8"/>
    </row>
    <row r="143" spans="2:5" ht="13.8" customHeight="1">
      <c r="B143" s="11" t="s">
        <v>355</v>
      </c>
      <c r="E143" s="8"/>
    </row>
    <row r="144" spans="2:5" ht="13.8" customHeight="1">
      <c r="B144" s="10" t="s">
        <v>356</v>
      </c>
      <c r="E144" s="8"/>
    </row>
    <row r="145" spans="2:5" ht="13.8" customHeight="1">
      <c r="B145" s="10" t="s">
        <v>357</v>
      </c>
      <c r="E145" s="8"/>
    </row>
    <row r="146" spans="2:5" ht="13.8" customHeight="1">
      <c r="B146" s="11" t="s">
        <v>358</v>
      </c>
      <c r="E146" s="8"/>
    </row>
    <row r="147" spans="2:5" ht="13.8" customHeight="1">
      <c r="B147" s="8" t="s">
        <v>359</v>
      </c>
      <c r="E147" s="8"/>
    </row>
    <row r="148" spans="2:5" ht="13.8" customHeight="1">
      <c r="B148" s="10" t="s">
        <v>360</v>
      </c>
      <c r="E148" s="8"/>
    </row>
    <row r="149" spans="2:5" ht="13.8" customHeight="1">
      <c r="B149" s="11" t="s">
        <v>361</v>
      </c>
      <c r="E149" s="8"/>
    </row>
    <row r="150" spans="2:5" ht="13.8" customHeight="1">
      <c r="B150" s="10" t="s">
        <v>362</v>
      </c>
      <c r="E150" s="8"/>
    </row>
    <row r="151" spans="2:5" ht="13.8" customHeight="1">
      <c r="B151" s="11" t="s">
        <v>363</v>
      </c>
      <c r="E151" s="8"/>
    </row>
    <row r="152" spans="2:5" ht="13.8" customHeight="1">
      <c r="B152" s="40" t="s">
        <v>364</v>
      </c>
      <c r="E152" s="8"/>
    </row>
    <row r="153" spans="2:5" ht="13.8" customHeight="1">
      <c r="B153" s="40" t="s">
        <v>365</v>
      </c>
      <c r="E153" s="8"/>
    </row>
    <row r="154" spans="2:5" ht="13.8" customHeight="1">
      <c r="E154" s="8"/>
    </row>
    <row r="155" spans="2:5" ht="13.8" customHeight="1">
      <c r="E155" s="8"/>
    </row>
    <row r="156" spans="2:5" ht="13.8" customHeight="1">
      <c r="E156" s="8"/>
    </row>
    <row r="157" spans="2:5" ht="13.8" customHeight="1">
      <c r="E157" s="8"/>
    </row>
    <row r="158" spans="2:5" ht="13.8" customHeight="1">
      <c r="E158" s="8"/>
    </row>
    <row r="159" spans="2:5" ht="13.8" customHeight="1">
      <c r="B159" s="8"/>
      <c r="E159" s="8"/>
    </row>
    <row r="160" spans="2:5" ht="13.8" customHeight="1">
      <c r="B160" s="8"/>
      <c r="E160" s="8"/>
    </row>
    <row r="161" spans="2:5" ht="13.5" customHeight="1">
      <c r="B161" s="26" t="s">
        <v>30</v>
      </c>
      <c r="E161" s="8"/>
    </row>
    <row r="162" spans="2:5" ht="13.5" customHeight="1">
      <c r="B162" s="27" t="str">
        <f>"계약자             "&amp;계약서!C11&amp;"                       서명 또는 인"</f>
        <v>계약자             안종식                       서명 또는 인</v>
      </c>
      <c r="E162" s="8"/>
    </row>
    <row r="163" spans="2:5" ht="14.25" customHeight="1">
      <c r="B163" s="8"/>
      <c r="D163" s="8"/>
      <c r="E163" s="8"/>
    </row>
    <row r="164" spans="2:5" ht="14.25" customHeight="1">
      <c r="B164" s="8"/>
    </row>
    <row r="165" spans="2:5" ht="14.25" customHeight="1">
      <c r="B165" s="8"/>
    </row>
    <row r="166" spans="2:5" ht="14.25" customHeight="1">
      <c r="B166" s="8"/>
    </row>
    <row r="167" spans="2:5" ht="14.25" customHeight="1"/>
    <row r="168" spans="2:5" ht="14.25" customHeight="1"/>
    <row r="169" spans="2:5" ht="14.25" customHeight="1"/>
    <row r="170" spans="2:5" ht="14.25" customHeight="1"/>
    <row r="171" spans="2:5" ht="14.25" customHeight="1"/>
    <row r="172" spans="2:5" ht="14.25" customHeight="1"/>
    <row r="173" spans="2:5" ht="14.25" customHeight="1"/>
    <row r="175" spans="2:5" ht="14.25" customHeight="1"/>
    <row r="176" spans="2:5" ht="14.25" customHeight="1"/>
    <row r="177" spans="2:2" ht="14.25" customHeight="1"/>
    <row r="179" spans="2:2" ht="14.25" customHeight="1"/>
    <row r="180" spans="2:2" ht="14.25" customHeight="1"/>
    <row r="181" spans="2:2" ht="14.25" customHeight="1"/>
    <row r="182" spans="2:2" ht="14.25" customHeight="1"/>
    <row r="183" spans="2:2" ht="14.25" customHeight="1"/>
    <row r="184" spans="2:2" ht="14.25" customHeight="1"/>
    <row r="185" spans="2:2" ht="14.25" customHeight="1"/>
    <row r="187" spans="2:2" ht="14.25" customHeight="1"/>
    <row r="188" spans="2:2" ht="14.25" customHeight="1">
      <c r="B188" s="8" t="s">
        <v>30</v>
      </c>
    </row>
    <row r="189" spans="2:2" ht="14.25" customHeight="1">
      <c r="B189" s="8" t="s">
        <v>31</v>
      </c>
    </row>
    <row r="190" spans="2:2" ht="14.25" customHeight="1"/>
  </sheetData>
  <mergeCells count="1">
    <mergeCell ref="B1:D1"/>
  </mergeCells>
  <phoneticPr fontId="23" type="noConversion"/>
  <pageMargins left="0.3" right="0.3" top="0.4" bottom="0.4" header="0.511811023622047" footer="0.511811023622047"/>
  <pageSetup paperSize="9" scale="67" fitToHeight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I36"/>
  <sheetViews>
    <sheetView view="pageBreakPreview" zoomScaleNormal="100" workbookViewId="0">
      <selection activeCell="B23" sqref="B23:I23"/>
    </sheetView>
  </sheetViews>
  <sheetFormatPr defaultColWidth="8.6640625" defaultRowHeight="14.4"/>
  <cols>
    <col min="1" max="1" width="2" customWidth="1"/>
    <col min="2" max="2" width="9.21875" customWidth="1"/>
    <col min="3" max="3" width="19.77734375" customWidth="1"/>
    <col min="4" max="8" width="13" customWidth="1"/>
    <col min="9" max="9" width="6" customWidth="1"/>
    <col min="10" max="10" width="2" customWidth="1"/>
  </cols>
  <sheetData>
    <row r="2" spans="2:9" ht="31.5" customHeight="1">
      <c r="B2" s="97" t="s">
        <v>133</v>
      </c>
      <c r="C2" s="66"/>
      <c r="D2" s="66"/>
      <c r="E2" s="66"/>
      <c r="F2" s="66"/>
      <c r="G2" s="66"/>
      <c r="H2" s="66"/>
      <c r="I2" s="66"/>
    </row>
    <row r="3" spans="2:9" ht="18" customHeight="1" thickBot="1">
      <c r="B3" s="84" t="s">
        <v>134</v>
      </c>
      <c r="C3" s="85"/>
      <c r="D3" s="85"/>
      <c r="E3" s="85"/>
      <c r="F3" s="85"/>
      <c r="G3" s="85"/>
      <c r="H3" s="85"/>
      <c r="I3" s="85"/>
    </row>
    <row r="5" spans="2:9" ht="49.5" customHeight="1">
      <c r="B5" s="91" t="s">
        <v>135</v>
      </c>
      <c r="C5" s="66"/>
      <c r="D5" s="66"/>
      <c r="E5" s="66"/>
      <c r="F5" s="66"/>
      <c r="G5" s="66"/>
      <c r="H5" s="66"/>
      <c r="I5" s="66"/>
    </row>
    <row r="7" spans="2:9" ht="25.5" customHeight="1">
      <c r="B7" s="86" t="s">
        <v>136</v>
      </c>
      <c r="C7" s="87"/>
      <c r="D7" s="87"/>
      <c r="E7" s="87"/>
      <c r="F7" s="87"/>
      <c r="G7" s="87"/>
      <c r="H7" s="87"/>
      <c r="I7" s="87"/>
    </row>
    <row r="8" spans="2:9" ht="42" customHeight="1">
      <c r="B8" s="99" t="s">
        <v>137</v>
      </c>
      <c r="C8" s="66"/>
      <c r="D8" s="66"/>
      <c r="E8" s="66"/>
      <c r="F8" s="66"/>
      <c r="G8" s="66"/>
      <c r="H8" s="66"/>
      <c r="I8" s="66"/>
    </row>
    <row r="10" spans="2:9" ht="25.5" customHeight="1">
      <c r="B10" s="86" t="s">
        <v>138</v>
      </c>
      <c r="C10" s="87"/>
      <c r="D10" s="87"/>
      <c r="E10" s="87"/>
      <c r="F10" s="87"/>
      <c r="G10" s="87"/>
      <c r="H10" s="87"/>
      <c r="I10" s="87"/>
    </row>
    <row r="11" spans="2:9" ht="21.75" customHeight="1">
      <c r="B11" s="90" t="s">
        <v>139</v>
      </c>
      <c r="C11" s="66"/>
      <c r="D11" s="66"/>
      <c r="E11" s="66"/>
      <c r="F11" s="66"/>
      <c r="G11" s="66"/>
      <c r="H11" s="66"/>
      <c r="I11" s="66"/>
    </row>
    <row r="12" spans="2:9" ht="37.5" customHeight="1">
      <c r="B12" s="33" t="s">
        <v>140</v>
      </c>
      <c r="C12" s="34" t="s">
        <v>92</v>
      </c>
      <c r="D12" s="88" t="s">
        <v>141</v>
      </c>
      <c r="E12" s="66"/>
      <c r="F12" s="66"/>
      <c r="G12" s="66"/>
      <c r="H12" s="66"/>
      <c r="I12" s="66"/>
    </row>
    <row r="13" spans="2:9" ht="37.5" customHeight="1">
      <c r="B13" s="33" t="s">
        <v>142</v>
      </c>
      <c r="C13" s="34" t="s">
        <v>143</v>
      </c>
      <c r="D13" s="94" t="s">
        <v>144</v>
      </c>
      <c r="E13" s="95"/>
      <c r="F13" s="95"/>
      <c r="G13" s="95"/>
      <c r="H13" s="95"/>
      <c r="I13" s="95"/>
    </row>
    <row r="14" spans="2:9" ht="37.5" customHeight="1">
      <c r="B14" s="33" t="s">
        <v>145</v>
      </c>
      <c r="C14" s="34" t="s">
        <v>96</v>
      </c>
      <c r="D14" s="88" t="s">
        <v>146</v>
      </c>
      <c r="E14" s="66"/>
      <c r="F14" s="66"/>
      <c r="G14" s="66"/>
      <c r="H14" s="66"/>
      <c r="I14" s="66"/>
    </row>
    <row r="15" spans="2:9" ht="37.5" customHeight="1">
      <c r="B15" s="33" t="s">
        <v>147</v>
      </c>
      <c r="C15" s="35" t="s">
        <v>98</v>
      </c>
      <c r="D15" s="88" t="s">
        <v>148</v>
      </c>
      <c r="E15" s="66"/>
      <c r="F15" s="66"/>
      <c r="G15" s="66"/>
      <c r="H15" s="66"/>
      <c r="I15" s="66"/>
    </row>
    <row r="16" spans="2:9" ht="37.5" customHeight="1">
      <c r="B16" s="33" t="s">
        <v>149</v>
      </c>
      <c r="C16" s="34" t="s">
        <v>150</v>
      </c>
      <c r="D16" s="88" t="s">
        <v>151</v>
      </c>
      <c r="E16" s="66"/>
      <c r="F16" s="66"/>
      <c r="G16" s="66"/>
      <c r="H16" s="66"/>
      <c r="I16" s="66"/>
    </row>
    <row r="17" spans="2:9" ht="37.5" customHeight="1">
      <c r="B17" s="33" t="s">
        <v>152</v>
      </c>
      <c r="C17" s="34" t="s">
        <v>153</v>
      </c>
      <c r="D17" s="88" t="s">
        <v>154</v>
      </c>
      <c r="E17" s="66"/>
      <c r="F17" s="66"/>
      <c r="G17" s="66"/>
      <c r="H17" s="66"/>
      <c r="I17" s="66"/>
    </row>
    <row r="18" spans="2:9" ht="37.5" customHeight="1">
      <c r="B18" s="33" t="s">
        <v>155</v>
      </c>
      <c r="C18" s="34" t="s">
        <v>156</v>
      </c>
      <c r="D18" s="88" t="s">
        <v>157</v>
      </c>
      <c r="E18" s="66"/>
      <c r="F18" s="66"/>
      <c r="G18" s="66"/>
      <c r="H18" s="66"/>
      <c r="I18" s="66"/>
    </row>
    <row r="19" spans="2:9" ht="25.5" customHeight="1">
      <c r="B19" s="100" t="s">
        <v>158</v>
      </c>
      <c r="C19" s="87"/>
      <c r="D19" s="87"/>
      <c r="E19" s="87"/>
      <c r="F19" s="87"/>
      <c r="G19" s="87"/>
      <c r="H19" s="87"/>
      <c r="I19" s="87"/>
    </row>
    <row r="20" spans="2:9" ht="43.5" customHeight="1">
      <c r="B20" s="90" t="s">
        <v>159</v>
      </c>
      <c r="C20" s="66"/>
      <c r="D20" s="66"/>
      <c r="E20" s="66"/>
      <c r="F20" s="66"/>
      <c r="G20" s="66"/>
      <c r="H20" s="66"/>
      <c r="I20" s="66"/>
    </row>
    <row r="22" spans="2:9" ht="25.5" customHeight="1">
      <c r="B22" s="86" t="s">
        <v>160</v>
      </c>
      <c r="C22" s="87"/>
      <c r="D22" s="87"/>
      <c r="E22" s="87"/>
      <c r="F22" s="87"/>
      <c r="G22" s="87"/>
      <c r="H22" s="87"/>
      <c r="I22" s="87"/>
    </row>
    <row r="23" spans="2:9" ht="31.5" customHeight="1">
      <c r="B23" s="98" t="s">
        <v>161</v>
      </c>
      <c r="C23" s="95"/>
      <c r="D23" s="95"/>
      <c r="E23" s="95"/>
      <c r="F23" s="95"/>
      <c r="G23" s="95"/>
      <c r="H23" s="95"/>
      <c r="I23" s="95"/>
    </row>
    <row r="24" spans="2:9" ht="30" customHeight="1">
      <c r="B24" s="33" t="s">
        <v>140</v>
      </c>
      <c r="C24" s="34" t="s">
        <v>162</v>
      </c>
      <c r="D24" s="89" t="s">
        <v>163</v>
      </c>
      <c r="E24" s="66"/>
      <c r="F24" s="66"/>
      <c r="G24" s="66"/>
      <c r="H24" s="66"/>
      <c r="I24" s="66"/>
    </row>
    <row r="25" spans="2:9" ht="33" customHeight="1">
      <c r="B25" s="33" t="s">
        <v>142</v>
      </c>
      <c r="C25" s="34" t="s">
        <v>164</v>
      </c>
      <c r="D25" s="89" t="s">
        <v>165</v>
      </c>
      <c r="E25" s="66"/>
      <c r="F25" s="66"/>
      <c r="G25" s="66"/>
      <c r="H25" s="66"/>
      <c r="I25" s="66"/>
    </row>
    <row r="26" spans="2:9" ht="52.05" customHeight="1">
      <c r="B26" s="33" t="s">
        <v>145</v>
      </c>
      <c r="C26" s="34" t="s">
        <v>166</v>
      </c>
      <c r="D26" s="89" t="s">
        <v>167</v>
      </c>
      <c r="E26" s="66"/>
      <c r="F26" s="66"/>
      <c r="G26" s="66"/>
      <c r="H26" s="66"/>
      <c r="I26" s="66"/>
    </row>
    <row r="27" spans="2:9" ht="30" customHeight="1">
      <c r="B27" s="33" t="s">
        <v>147</v>
      </c>
      <c r="C27" s="34" t="s">
        <v>168</v>
      </c>
      <c r="D27" s="89" t="s">
        <v>169</v>
      </c>
      <c r="E27" s="66"/>
      <c r="F27" s="66"/>
      <c r="G27" s="66"/>
      <c r="H27" s="66"/>
      <c r="I27" s="66"/>
    </row>
    <row r="28" spans="2:9" ht="45" customHeight="1">
      <c r="B28" s="33" t="s">
        <v>149</v>
      </c>
      <c r="C28" s="34" t="s">
        <v>170</v>
      </c>
      <c r="D28" s="89" t="s">
        <v>171</v>
      </c>
      <c r="E28" s="66"/>
      <c r="F28" s="66"/>
      <c r="G28" s="66"/>
      <c r="H28" s="66"/>
      <c r="I28" s="66"/>
    </row>
    <row r="29" spans="2:9" ht="30" customHeight="1">
      <c r="B29" s="33" t="s">
        <v>152</v>
      </c>
      <c r="C29" s="34" t="s">
        <v>172</v>
      </c>
      <c r="D29" s="89" t="s">
        <v>173</v>
      </c>
      <c r="E29" s="66"/>
      <c r="F29" s="66"/>
      <c r="G29" s="66"/>
      <c r="H29" s="66"/>
      <c r="I29" s="66"/>
    </row>
    <row r="30" spans="2:9" ht="15" customHeight="1" thickBot="1"/>
    <row r="31" spans="2:9" ht="7.5" customHeight="1">
      <c r="B31" s="36"/>
      <c r="C31" s="36"/>
      <c r="D31" s="36"/>
      <c r="E31" s="36"/>
      <c r="F31" s="36"/>
      <c r="G31" s="36"/>
      <c r="H31" s="36"/>
      <c r="I31" s="36"/>
    </row>
    <row r="32" spans="2:9" ht="36" customHeight="1">
      <c r="B32" s="96" t="s">
        <v>174</v>
      </c>
      <c r="C32" s="66"/>
      <c r="D32" s="66"/>
      <c r="E32" s="66"/>
      <c r="F32" s="66"/>
      <c r="G32" s="66"/>
      <c r="H32" s="66"/>
      <c r="I32" s="66"/>
    </row>
    <row r="34" spans="2:9" ht="42" customHeight="1">
      <c r="B34" s="37" t="s">
        <v>123</v>
      </c>
      <c r="C34" s="92" t="str">
        <f>계약서!C11</f>
        <v>안종식</v>
      </c>
      <c r="D34" s="93"/>
      <c r="E34" s="93"/>
      <c r="F34" s="93"/>
      <c r="G34" s="93"/>
      <c r="H34" s="93"/>
      <c r="I34" s="38" t="s">
        <v>124</v>
      </c>
    </row>
    <row r="36" spans="2:9" ht="42" customHeight="1">
      <c r="B36" s="37" t="s">
        <v>125</v>
      </c>
      <c r="C36" s="92" t="s">
        <v>67</v>
      </c>
      <c r="D36" s="93"/>
      <c r="E36" s="93"/>
      <c r="F36" s="93"/>
      <c r="G36" s="93"/>
      <c r="H36" s="93"/>
      <c r="I36" s="38" t="s">
        <v>124</v>
      </c>
    </row>
  </sheetData>
  <mergeCells count="27">
    <mergeCell ref="C36:H36"/>
    <mergeCell ref="D28:I28"/>
    <mergeCell ref="B11:I11"/>
    <mergeCell ref="B2:I2"/>
    <mergeCell ref="D18:I18"/>
    <mergeCell ref="D12:I12"/>
    <mergeCell ref="B23:I23"/>
    <mergeCell ref="B8:I8"/>
    <mergeCell ref="D25:I25"/>
    <mergeCell ref="D15:I15"/>
    <mergeCell ref="D24:I24"/>
    <mergeCell ref="D14:I14"/>
    <mergeCell ref="D29:I29"/>
    <mergeCell ref="B10:I10"/>
    <mergeCell ref="B19:I19"/>
    <mergeCell ref="C34:H34"/>
    <mergeCell ref="D27:I27"/>
    <mergeCell ref="D13:I13"/>
    <mergeCell ref="B7:I7"/>
    <mergeCell ref="D17:I17"/>
    <mergeCell ref="B32:I32"/>
    <mergeCell ref="B3:I3"/>
    <mergeCell ref="B22:I22"/>
    <mergeCell ref="D16:I16"/>
    <mergeCell ref="D26:I26"/>
    <mergeCell ref="B20:I20"/>
    <mergeCell ref="B5:I5"/>
  </mergeCells>
  <phoneticPr fontId="23" type="noConversion"/>
  <printOptions horizontalCentered="1"/>
  <pageMargins left="0.5" right="0.5" top="0.5" bottom="0.5" header="0.511811023622047" footer="0.511811023622047"/>
  <pageSetup paperSize="9"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계약리스트</vt:lpstr>
      <vt:lpstr>계약서</vt:lpstr>
      <vt:lpstr>이용약관</vt:lpstr>
      <vt:lpstr>별지_구상금</vt:lpstr>
      <vt:lpstr>계약서!Print_Area</vt:lpstr>
      <vt:lpstr>별지_구상금!Print_Area</vt:lpstr>
      <vt:lpstr>이용약관!Print_Area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유주 박</cp:lastModifiedBy>
  <cp:revision>0</cp:revision>
  <cp:lastPrinted>2026-05-12T00:54:39Z</cp:lastPrinted>
  <dcterms:created xsi:type="dcterms:W3CDTF">2026-04-23T08:36:35Z</dcterms:created>
  <dcterms:modified xsi:type="dcterms:W3CDTF">2026-06-06T08:54:48Z</dcterms:modified>
  <dc:language>en-US</dc:language>
</cp:coreProperties>
</file>