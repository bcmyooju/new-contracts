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75940A30-3C64-4536-B8FD-AA5CE9FB9B1C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2" l="1"/>
  <c r="B19" i="2" s="1"/>
  <c r="C50" i="2"/>
  <c r="H49" i="2"/>
  <c r="C49" i="2"/>
  <c r="I23" i="2"/>
  <c r="F23" i="2"/>
  <c r="C23" i="2"/>
  <c r="F22" i="2"/>
  <c r="C22" i="2"/>
  <c r="C18" i="2"/>
  <c r="C17" i="2"/>
  <c r="I16" i="2"/>
  <c r="F16" i="2"/>
  <c r="C16" i="2"/>
  <c r="I15" i="2"/>
  <c r="F15" i="2"/>
  <c r="C15" i="2"/>
  <c r="C11" i="2"/>
  <c r="I10" i="2"/>
  <c r="F10" i="2"/>
  <c r="C10" i="2"/>
  <c r="I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<sst xmlns="http://schemas.openxmlformats.org/spreadsheetml/2006/main" count="274" uniqueCount="255">
  <si>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</si>
  <si>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</si>
  <si>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</si>
  <si>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</si>
  <si>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</si>
  <si>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</si>
  <si>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</si>
  <si>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</si>
  <si>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</si>
  <si>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</si>
  <si>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</si>
  <si>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</si>
  <si>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</si>
  <si>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</si>
  <si>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</si>
  <si>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</si>
  <si>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</si>
  <si>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</si>
  <si>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</si>
  <si>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</si>
  <si>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</si>
  <si>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</si>
  <si>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</si>
  <si>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</si>
  <si>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</si>
  <si>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</si>
  <si>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</si>
  <si>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</si>
  <si>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</si>
  <si>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</si>
  <si>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</si>
  <si>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</si>
  <si>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</si>
  <si>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맑은 고딕"/>
        <family val="3"/>
        <charset val="129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</si>
  <si>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</si>
  <si>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</si>
  <si>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</si>
  <si>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</si>
  <si>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</si>
  <si>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맑은 고딕"/>
        <family val="3"/>
        <charset val="129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</si>
  <si>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</si>
  <si>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</si>
  <si>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</si>
  <si>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</si>
  <si>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</si>
  <si>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</si>
  <si>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</si>
  <si>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</si>
  <si>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맑은 고딕"/>
        <family val="3"/>
        <charset val="129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</si>
  <si>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맑은 고딕"/>
        <family val="3"/>
        <charset val="129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</si>
  <si>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</si>
  <si>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</si>
  <si>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</si>
  <si>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</si>
  <si>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</si>
  <si>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</si>
  <si>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</si>
  <si>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이륜차 할부판매 계약서</t>
  </si>
  <si>
    <t>한국모터사이클리스 유한회사</t>
  </si>
  <si>
    <t>■ 차량 정보</t>
  </si>
  <si>
    <t>정비여부</t>
  </si>
  <si>
    <t>미포함</t>
  </si>
  <si>
    <t>성명</t>
  </si>
  <si>
    <t>주민등록번호</t>
  </si>
  <si>
    <t>연락처</t>
  </si>
  <si>
    <t>이메일</t>
  </si>
  <si>
    <t>주소</t>
  </si>
  <si>
    <t>업체명</t>
  </si>
  <si>
    <t>사업자번호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</si>
  <si>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</si>
  <si>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</si>
  <si>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</si>
  <si>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</si>
  <si>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</si>
  <si>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</si>
  <si>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t>할부판매
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</si>
  <si>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맑은 고딕"/>
        <family val="3"/>
        <charset val="129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맑은 고딕"/>
        <family val="3"/>
        <charset val="129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</si>
  <si>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</si>
  <si>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</si>
  <si>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맑은 고딕"/>
        <family val="3"/>
        <charset val="129"/>
      </rPr>
      <t>)</t>
    </r>
  </si>
  <si>
    <t>상호</t>
  </si>
  <si>
    <t>대표이사</t>
  </si>
  <si>
    <t>김현수</t>
  </si>
  <si>
    <t>고객센터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</si>
  <si>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</si>
  <si>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</si>
  <si>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</si>
  <si>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</si>
  <si>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</si>
  <si>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맑은 고딕"/>
        <family val="3"/>
        <charset val="129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</si>
  <si>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</si>
  <si>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맑은 고딕"/>
        <family val="3"/>
        <charset val="129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맑은 고딕"/>
        <family val="3"/>
        <charset val="129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</si>
  <si>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</si>
  <si>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맑은 고딕"/>
        <family val="3"/>
        <charset val="129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</si>
  <si>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</si>
  <si>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</si>
  <si>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</si>
  <si>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맑은 고딕"/>
        <family val="3"/>
        <charset val="129"/>
      </rPr>
      <t>)</t>
    </r>
  </si>
  <si>
    <t>■ 계약 체결</t>
  </si>
  <si>
    <r>
      <rPr>
        <b/>
        <sz val="9"/>
        <color rgb="FF1F3864"/>
        <rFont val="DejaVu Sans"/>
        <family val="2"/>
      </rPr>
      <t xml:space="preserve">계약자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라이더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</si>
  <si>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</si>
  <si>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연대보증인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사업장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</si>
  <si>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</si>
  <si>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t>공급자</t>
  </si>
  <si>
    <r>
      <rPr>
        <b/>
        <sz val="14"/>
        <color rgb="FFFFFFFF"/>
        <rFont val="맑은 고딕"/>
        <family val="3"/>
        <charset val="129"/>
      </rPr>
      <t>[</t>
    </r>
    <r>
      <rPr>
        <b/>
        <sz val="14"/>
        <color rgb="FFFFFFFF"/>
        <rFont val="DejaVu Sans"/>
        <family val="2"/>
      </rPr>
      <t>별지</t>
    </r>
    <r>
      <rPr>
        <b/>
        <sz val="14"/>
        <color rgb="FFFFFFFF"/>
        <rFont val="맑은 고딕"/>
        <family val="3"/>
        <charset val="129"/>
      </rPr>
      <t xml:space="preserve">] </t>
    </r>
    <r>
      <rPr>
        <b/>
        <sz val="14"/>
        <color rgb="FFFFFFFF"/>
        <rFont val="DejaVu Sans"/>
        <family val="2"/>
      </rPr>
      <t>이륜차 할부판매 계약 이용약관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</si>
  <si>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목적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</si>
  <si>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이 약관은 한국모터사이클리스 유한회사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 xml:space="preserve">이하 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회사</t>
    </r>
    <r>
      <rPr>
        <sz val="9"/>
        <rFont val="맑은 고딕"/>
        <family val="3"/>
        <charset val="129"/>
      </rPr>
      <t>")</t>
    </r>
    <r>
      <rPr>
        <sz val="9"/>
        <rFont val="DejaVu Sans"/>
        <family val="2"/>
      </rPr>
      <t>와 본 계약을 체결한 계약자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라이더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 xml:space="preserve">이하 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계약자</t>
    </r>
    <r>
      <rPr>
        <sz val="9"/>
        <rFont val="맑은 고딕"/>
        <family val="3"/>
        <charset val="129"/>
      </rPr>
      <t xml:space="preserve">") </t>
    </r>
    <r>
      <rPr>
        <sz val="9"/>
        <rFont val="DejaVu Sans"/>
        <family val="2"/>
      </rPr>
      <t>간의 이륜차 할부판매에 관한 권리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의무를 규정함을 목적으로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</si>
  <si>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용어의 정의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</si>
  <si>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① "</t>
    </r>
    <r>
      <rPr>
        <sz val="9"/>
        <rFont val="DejaVu Sans"/>
        <family val="2"/>
      </rPr>
      <t>할부판매 계약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요청한 기종의 이륜차를 회사가 판매하고 계약자가 그 대금을 일정 기간에 걸쳐 분할 지급하는 매매계약을 말한다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</si>
  <si>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② "</t>
    </r>
    <r>
      <rPr>
        <sz val="9"/>
        <rFont val="DejaVu Sans"/>
        <family val="2"/>
      </rPr>
      <t>이륜차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회사가 계약자의 요청에 따라 본 계약서에 특정한 이륜차를 말하며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인도 시 부착된 부속품 및 장착물을 포함한다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</si>
  <si>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③ "</t>
    </r>
    <r>
      <rPr>
        <sz val="9"/>
        <rFont val="DejaVu Sans"/>
        <family val="2"/>
      </rPr>
      <t>계약기간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본 계약에 따라 이륜차를 인도받아 사용하는 기간을 말한다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</si>
  <si>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④ "</t>
    </r>
    <r>
      <rPr>
        <sz val="9"/>
        <rFont val="DejaVu Sans"/>
        <family val="2"/>
      </rPr>
      <t>보증금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할부금 지급 및 본 계약상 채무이행을 담보하기 위해 계약자가 회사에 납부하는 금원을 말하며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계약기간 만료 시 계약자가 모든 채무를 이행 완료한 경우 반환한다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</si>
  <si>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⑤ "</t>
    </r>
    <r>
      <rPr>
        <sz val="9"/>
        <rFont val="DejaVu Sans"/>
        <family val="2"/>
      </rPr>
      <t>계약자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라이더</t>
    </r>
    <r>
      <rPr>
        <sz val="9"/>
        <rFont val="맑은 고딕"/>
        <family val="3"/>
        <charset val="129"/>
      </rPr>
      <t>)"</t>
    </r>
    <r>
      <rPr>
        <sz val="9"/>
        <rFont val="DejaVu Sans"/>
        <family val="2"/>
      </rPr>
      <t>는 본 계약 제</t>
    </r>
    <r>
      <rPr>
        <sz val="9"/>
        <rFont val="맑은 고딕"/>
        <family val="3"/>
        <charset val="129"/>
      </rPr>
      <t>1</t>
    </r>
    <r>
      <rPr>
        <sz val="9"/>
        <rFont val="DejaVu Sans"/>
        <family val="2"/>
      </rPr>
      <t xml:space="preserve">면에 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계약자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라이더</t>
    </r>
    <r>
      <rPr>
        <sz val="9"/>
        <rFont val="맑은 고딕"/>
        <family val="3"/>
        <charset val="129"/>
      </rPr>
      <t>)"</t>
    </r>
    <r>
      <rPr>
        <sz val="9"/>
        <rFont val="DejaVu Sans"/>
        <family val="2"/>
      </rPr>
      <t>로 기재된 라이더 본인을 말하며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본 계약상 주채무자이다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</si>
  <si>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⑥ "</t>
    </r>
    <r>
      <rPr>
        <sz val="9"/>
        <rFont val="DejaVu Sans"/>
        <family val="2"/>
      </rPr>
      <t>연대보증인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사업장</t>
    </r>
    <r>
      <rPr>
        <sz val="9"/>
        <rFont val="맑은 고딕"/>
        <family val="3"/>
        <charset val="129"/>
      </rPr>
      <t>)"</t>
    </r>
    <r>
      <rPr>
        <sz val="9"/>
        <rFont val="DejaVu Sans"/>
        <family val="2"/>
      </rPr>
      <t>은 본 계약 제</t>
    </r>
    <r>
      <rPr>
        <sz val="9"/>
        <rFont val="맑은 고딕"/>
        <family val="3"/>
        <charset val="129"/>
      </rPr>
      <t>1</t>
    </r>
    <r>
      <rPr>
        <sz val="9"/>
        <rFont val="DejaVu Sans"/>
        <family val="2"/>
      </rPr>
      <t>면에 기재된 사업장 및 그 대표자를 말하며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계약자와 연대하여 본 계약상 채무를 부담함과 동시에 세금계산서 수취 대상을 겸한다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</si>
  <si>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⑦ "</t>
    </r>
    <r>
      <rPr>
        <sz val="9"/>
        <rFont val="DejaVu Sans"/>
        <family val="2"/>
      </rPr>
      <t>위약금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계약자의 귀책사유로 주문 취소 또는 중도 해지 시 회사에 지급하여야 하는 금액을 말한다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</si>
  <si>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⑧ "</t>
    </r>
    <r>
      <rPr>
        <sz val="9"/>
        <rFont val="DejaVu Sans"/>
        <family val="2"/>
      </rPr>
      <t>지연손해금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할부금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위약금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과태료 등의 납부를 지체한 경우 발생하는 추가 비용을 말한다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</si>
  <si>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⑨ "</t>
    </r>
    <r>
      <rPr>
        <sz val="9"/>
        <rFont val="DejaVu Sans"/>
        <family val="2"/>
      </rPr>
      <t>계약이관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본 계약상의 권리와 의무를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승계하는 것을 말한다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</si>
  <si>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3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서류 제출 및 보완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</si>
  <si>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본 계약 체결에 필요한 서류를 회사에 제출하여야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추후 보완 요구에도 성실히 응하여야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</si>
  <si>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제출된 서류는 어떠한 경우에도 반환하지 아니한다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</si>
  <si>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4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소유권 유보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</si>
  <si>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본 계약에 따른 이륜차의 소유권은 계약자가 모든 채무를 전액 이행할 때까지 회사에 유보된다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</si>
  <si>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계약자가 계약기간 동안 할부금을 성실히 납부하고 본 계약상 모든 채무를 완전히 이행한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회사는 지체 없이 이륜차의 소유권을 계약자에게 이전한다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</si>
  <si>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5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계약자의 책임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</si>
  <si>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선량한 관리자의 주의로 이륜차를 유지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관리하여야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이륜차의 하자담보책임 및 운행 중 발생하는 모든 사고에 대해 책임을 부담한다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회사가 소유권을 보유하더라도 운행자성이 없으므로 인적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물적 관리책임은 전적으로 계약자에게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</si>
  <si>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계약자는 계약 기간 중 임의로 다른 부착물을 장착하거나 이륜차의 구조를 변경할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</si>
  <si>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이륜차의 소유권은 회사에 있으며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사용수익권과 운행이익권을 가진다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제</t>
    </r>
    <r>
      <rPr>
        <sz val="9"/>
        <rFont val="맑은 고딕"/>
        <family val="3"/>
        <charset val="129"/>
      </rPr>
      <t>16</t>
    </r>
    <r>
      <rPr>
        <sz val="9"/>
        <rFont val="DejaVu Sans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제</t>
    </r>
    <r>
      <rPr>
        <sz val="9"/>
        <rFont val="맑은 고딕"/>
        <family val="3"/>
        <charset val="129"/>
      </rPr>
      <t>17</t>
    </r>
    <r>
      <rPr>
        <sz val="9"/>
        <rFont val="DejaVu Sans"/>
        <family val="2"/>
      </rPr>
      <t>조에 따라 계약이 해지된 경우 계약자는 즉시 운행을 중단하고 이륜차를 반환하여야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</si>
  <si>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계약자는 인수형 할부판매라 하더라도 계약기간 만료 및 약정 금액 완납 전에는 이륜차의 소유권을 주장할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</si>
  <si>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자가 이륜차에 대하여 권리를 주장하거나 보전처분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강제집행 등으로 회사의 소유권을 침해할 위험이 있는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이륜차가 회사의 소유임을 주장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입증하여 침해를 방지하고 즉시 그 사실을 회사에 통지하여야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</si>
  <si>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⑥ 계약자는 이륜차를 인도받은 시점부터 반환 시까지 도난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멸실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 등 정상적 기능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외형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점유를 손상시키는 일체의 사고에 대한 책임을 부담한다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</si>
  <si>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⑦ 이륜차 도난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멸실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 시 계약자는 지체 없이 회사에 통보하고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자신의 비용으로 다음 중 하나를 이행하여야 한다</t>
    </r>
    <r>
      <rPr>
        <sz val="9"/>
        <rFont val="맑은 고딕"/>
        <family val="3"/>
        <charset val="129"/>
      </rPr>
      <t xml:space="preserve">. (1) </t>
    </r>
    <r>
      <rPr>
        <sz val="9"/>
        <rFont val="DejaVu Sans"/>
        <family val="2"/>
      </rPr>
      <t>이륜차를 원상태로 완전 복구</t>
    </r>
    <r>
      <rPr>
        <sz val="9"/>
        <rFont val="맑은 고딕"/>
        <family val="3"/>
        <charset val="129"/>
      </rPr>
      <t xml:space="preserve">, (2) </t>
    </r>
    <r>
      <rPr>
        <sz val="9"/>
        <rFont val="DejaVu Sans"/>
        <family val="2"/>
      </rPr>
      <t>동일 모델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사양으로 교체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</si>
  <si>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⑧ 계약자는 계약 개시 시점에 차량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일체의 부속품을 인수하므로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 종료 시까지 관련 도난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멸실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훼손에 대한 모든 책임을 부담한다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</si>
  <si>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6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이륜차의 인도 및 계약자 확인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</si>
  <si>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 개시일은 계약자가 이륜차를 인도받은 날로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</si>
  <si>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회사는 계약자가 인수증을 발급하거나 협력업체를 통해 직접 수령한 경우 해당 이륜차의 인도가 완료된 것으로 본다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</si>
  <si>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이륜차 인도 이후에는 계약자는 이륜차의 하자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결함을 이유로 할부금 지급의무를 거부할 수 없다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</si>
  <si>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7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보증금 및 계약금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</si>
  <si>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계약 체결 시 회사가 지정하는 수납 대행사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포어스바이크 유한회사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의 계좌로 보증금을 지급하여야 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 xml:space="preserve">사전 동의를 받아 보증금 지급이 지연된 경우 회사는 최대 </t>
    </r>
    <r>
      <rPr>
        <sz val="9"/>
        <rFont val="맑은 고딕"/>
        <family val="3"/>
        <charset val="129"/>
      </rPr>
      <t>7</t>
    </r>
    <r>
      <rPr>
        <sz val="9"/>
        <rFont val="DejaVu Sans"/>
        <family val="2"/>
      </rPr>
      <t>일의 유예기간을 둘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</si>
  <si>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전항의 유예기간 내 지급이 이루어지지 않을 경우 본 계약은 자동 해지되며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 xml:space="preserve">계약자는 즉시 이륜차를 반환함과 동시에 </t>
    </r>
    <r>
      <rPr>
        <sz val="9"/>
        <rFont val="맑은 고딕"/>
        <family val="3"/>
        <charset val="129"/>
      </rPr>
      <t xml:space="preserve">(1) </t>
    </r>
    <r>
      <rPr>
        <sz val="9"/>
        <rFont val="DejaVu Sans"/>
        <family val="2"/>
      </rPr>
      <t>인도일부터 반환일까지의 일할 사용료</t>
    </r>
    <r>
      <rPr>
        <sz val="9"/>
        <rFont val="맑은 고딕"/>
        <family val="3"/>
        <charset val="129"/>
      </rPr>
      <t xml:space="preserve">, (2) </t>
    </r>
    <r>
      <rPr>
        <sz val="9"/>
        <rFont val="DejaVu Sans"/>
        <family val="2"/>
      </rPr>
      <t>이륜차의 감가손실액</t>
    </r>
    <r>
      <rPr>
        <sz val="9"/>
        <rFont val="맑은 고딕"/>
        <family val="3"/>
        <charset val="129"/>
      </rPr>
      <t xml:space="preserve">, (3) </t>
    </r>
    <r>
      <rPr>
        <sz val="9"/>
        <rFont val="DejaVu Sans"/>
        <family val="2"/>
      </rPr>
      <t>차량 등록비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번호판 비용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보험료 등 회사가 이미 지출한 부대비용 일체를 회사에 배상하여야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</si>
  <si>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보증금은 계약기간 만료 및 계약자가 모든 채무를 이행한 경우 수납대행사를 통해 반환한다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다만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미납 과태료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수리비 등이 확인될 수 있으므로 계약기간 만료일로부터 </t>
    </r>
    <r>
      <rPr>
        <sz val="9"/>
        <rFont val="맑은 고딕"/>
        <family val="3"/>
        <charset val="129"/>
      </rPr>
      <t>1</t>
    </r>
    <r>
      <rPr>
        <sz val="9"/>
        <rFont val="DejaVu Sans"/>
        <family val="2"/>
      </rPr>
      <t>개월이 경과한 이후에 반환한다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</si>
  <si>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반환된 이륜차 상태에 따라 보증금에서 수리비를 공제하며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수리비가 보증금을 초과하면 계약자는 차액을 추가 납부하여야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</si>
  <si>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미납 과태료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범칙금은 보증금에서 공제하고 잔액을 반환하며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초과분은 계약자가 추가 납부하여야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</si>
  <si>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⑥ 계약이 중도 해지된 경우 계약자는 어떠한 사유로도 납부한 보증금 및 계약금을 반환받을 수 없다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</si>
  <si>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8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할부금 및 기타 지급금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</si>
  <si>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계약서에 기재된 할부금 및 운행 관련 제 비용을 공휴일과 무관하게 정해진 결제일에 수납대행사 계좌로 납부하여야 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실제 납부는 반드시 계약자 본인 명의의 계좌에서 이루어져야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</si>
  <si>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결제방법이란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회사가 안내한 수납대행사 은행계좌로 한국은행 발행 통화를 지급하거나 결제 수단을 통해 납부하는 것을 의미한다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</si>
  <si>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매도인의 가격 인상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정부 정책 등 불가피한 사정으로 할부금이 변동될 경우 회사는 계약자에게 개별 통지하며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이륜차 출고 이전까지 계약을 취소할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</si>
  <si>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이륜차의 도난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멸실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훼손으로 운행이 불가능한 사유가 발생하더라도 계약자는 할부금 지급의무를 거부할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</si>
  <si>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납부주기 변경으로 할부금이 조정되는 경우 최초 계약 당시의 단가표 기준에 따라 산정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적용한다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</si>
  <si>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⑥ 회사는 연체된 할부금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위약금 등 본 계약상 채권의 회수 및 추심 업무를 수납대행사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포어스바이크 유한회사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에 위임하며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수납대행사는 회사를 대리하여 계약자에게 독촉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추심할 수 있다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</si>
  <si>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9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지연손해금 및 반환지연금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</si>
  <si>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계약자가 약정 금액을 기한 내에 이행하지 않는 경우 위약금이 발생하며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 xml:space="preserve">계약자는 회사의 청구일로부터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일 이내에 지급하여야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</si>
  <si>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지연손해금 계산식</t>
    </r>
    <r>
      <rPr>
        <sz val="9"/>
        <rFont val="맑은 고딕"/>
        <family val="3"/>
        <charset val="129"/>
      </rPr>
      <t xml:space="preserve">: </t>
    </r>
    <r>
      <rPr>
        <sz val="9"/>
        <rFont val="DejaVu Sans"/>
        <family val="2"/>
      </rPr>
      <t xml:space="preserve">지연손해금 </t>
    </r>
    <r>
      <rPr>
        <sz val="9"/>
        <rFont val="맑은 고딕"/>
        <family val="3"/>
        <charset val="129"/>
      </rPr>
      <t xml:space="preserve">= </t>
    </r>
    <r>
      <rPr>
        <sz val="9"/>
        <rFont val="DejaVu Sans"/>
        <family val="2"/>
      </rPr>
      <t xml:space="preserve">연체금액 </t>
    </r>
    <r>
      <rPr>
        <sz val="9"/>
        <rFont val="맑은 고딕"/>
        <family val="3"/>
        <charset val="129"/>
      </rPr>
      <t xml:space="preserve">× </t>
    </r>
    <r>
      <rPr>
        <sz val="9"/>
        <rFont val="DejaVu Sans"/>
        <family val="2"/>
      </rPr>
      <t xml:space="preserve">경과일수 </t>
    </r>
    <r>
      <rPr>
        <sz val="9"/>
        <rFont val="맑은 고딕"/>
        <family val="3"/>
        <charset val="129"/>
      </rPr>
      <t xml:space="preserve">× </t>
    </r>
    <r>
      <rPr>
        <sz val="9"/>
        <rFont val="DejaVu Sans"/>
        <family val="2"/>
      </rPr>
      <t xml:space="preserve">연 </t>
    </r>
    <r>
      <rPr>
        <sz val="9"/>
        <rFont val="맑은 고딕"/>
        <family val="3"/>
        <charset val="129"/>
      </rPr>
      <t>20%</t>
    </r>
  </si>
  <si>
    <r>
      <rPr>
        <sz val="9"/>
        <rFont val="DejaVu Sans"/>
        <family val="2"/>
      </rPr>
      <t>③ 반환지연금은 계약 만료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해지에도 불구하고 계약자가 이륜차를 반환하지 않고 점유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사용을 계속하는 경우 발생하며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계산식은 다음과 같다</t>
    </r>
    <r>
      <rPr>
        <sz val="9"/>
        <rFont val="맑은 고딕"/>
        <family val="3"/>
        <charset val="129"/>
      </rPr>
      <t xml:space="preserve">: </t>
    </r>
    <r>
      <rPr>
        <sz val="9"/>
        <rFont val="DejaVu Sans"/>
        <family val="2"/>
      </rPr>
      <t xml:space="preserve">반환지연금 </t>
    </r>
    <r>
      <rPr>
        <sz val="9"/>
        <rFont val="맑은 고딕"/>
        <family val="3"/>
        <charset val="129"/>
      </rPr>
      <t>= 1</t>
    </r>
    <r>
      <rPr>
        <sz val="9"/>
        <rFont val="DejaVu Sans"/>
        <family val="2"/>
      </rPr>
      <t xml:space="preserve">일 사용료 </t>
    </r>
    <r>
      <rPr>
        <sz val="9"/>
        <rFont val="맑은 고딕"/>
        <family val="3"/>
        <charset val="129"/>
      </rPr>
      <t xml:space="preserve">× </t>
    </r>
    <r>
      <rPr>
        <sz val="9"/>
        <rFont val="DejaVu Sans"/>
        <family val="2"/>
      </rPr>
      <t xml:space="preserve">경과일수 </t>
    </r>
    <r>
      <rPr>
        <sz val="9"/>
        <rFont val="맑은 고딕"/>
        <family val="3"/>
        <charset val="129"/>
      </rPr>
      <t xml:space="preserve">× </t>
    </r>
    <r>
      <rPr>
        <sz val="9"/>
        <rFont val="DejaVu Sans"/>
        <family val="2"/>
      </rPr>
      <t xml:space="preserve">연 </t>
    </r>
    <r>
      <rPr>
        <sz val="9"/>
        <rFont val="맑은 고딕"/>
        <family val="3"/>
        <charset val="129"/>
      </rPr>
      <t>20%</t>
    </r>
  </si>
  <si>
    <r>
      <rPr>
        <sz val="9"/>
        <rFont val="DejaVu Sans"/>
        <family val="2"/>
      </rPr>
      <t>④ 지연손해금과 반환지연금은 회사의 손해배상청구와 별도로 부과될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</si>
  <si>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연체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미납이 발생하는 경우 회사는 계약자의 별도 동의 없이 해당 채무를 신용정보집중기관에 등록하거나 신용정보업체에 채권추심을 의뢰할 수 있다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</si>
  <si>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10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연대보증인의 책임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</si>
  <si>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연대보증인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사업장 및 대표자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은 할부금 지급채무를 포함하여 계약자가 회사에 대하여 본 계약과 관련하여 부담하는 일체의 채무를 보증하며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 및 상호 간에 연대하여 그 채무를 이행한다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</si>
  <si>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계약자가 회사의 동의 없이 본 계약상 채무를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인수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승계시킨 경우에도 연대보증인은 채무가 전액 변제될 때까지 보증채무를 부담한다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</si>
  <si>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연대보증인은 계약자의 미변제 채무가 남아 있는 경우 계약자의 채무를 회사보다 먼저 변제받을 권리를 행사할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</si>
  <si>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보험 연령 변경 등 일부 계약 내용이 변경되는 경우 연대보증인이 별도로 서명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날인하지 않더라도 그 변경에 동의한 것으로 본다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단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변경 내용이 연대보증인에게 불리한 경우 계약자는 이를 즉시 연대보증인에게 통지하여야 하며</t>
    </r>
    <r>
      <rPr>
        <sz val="9"/>
        <rFont val="맑은 고딕"/>
        <family val="3"/>
        <charset val="129"/>
      </rPr>
      <t>, 14</t>
    </r>
    <r>
      <rPr>
        <sz val="9"/>
        <rFont val="DejaVu Sans"/>
        <family val="2"/>
      </rPr>
      <t>일 이내 이의 제기 시 회사는 새로운 보증인의 추가 또는 교체를 요구할 수 있다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연대보증인은 미성년자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배우자 등 불법 강제보증인으로 할 수 없다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</si>
  <si>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11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계약의 이관 및 승계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</si>
  <si>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회사의 사전 승인 없이 본 계약상의 권리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의무를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임의로 승계할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</si>
  <si>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계약자가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승계하고자 하는 경우 인적사항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신용상태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영업상황 등 필요 정보를 제공하여야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회사는 심사기준에 부합하지 않으면 거절할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</si>
  <si>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회사의 승인 없이 계약자가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이륜차의 실질적 사용수익권을 넘긴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승인 전까지 할부금 지급의무 및 기타 채무를 계속 이행하여야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</si>
  <si>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계약이관을 하기 위해서는 할부금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수리비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위약금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과태료 등 일체의 미납금이 없어야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</si>
  <si>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승계받고자 하는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자가 계약이관서에 서명함으로써 절차는 완료된 것으로 본다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</si>
  <si>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12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차량 위치정보 등 제공 동의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</si>
  <si>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해당 이륜차에는 도난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멸실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분실 위험 방지 및 대처를 위하여 위치정보를 수집할 수 있는 장치가 부착되어 있으며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이를 인지하고 동의한다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</si>
  <si>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계약자는 실제 운전자 및 운행자로부터 위치정보 수집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이용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제공에 대한 동의를 받아야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 요청 시 동의서 및 관련 위치정보를 지체 없이 제출하여야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</si>
  <si>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계약자는 위치정보 장치를 임의로 변경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제거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</si>
  <si>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회사는 계약자의 채무불이행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 해지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회수 절차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보험사고 처리 등 본 계약 이행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관리에 필요한 범위 내에서만 위치정보를 활용한다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</si>
  <si>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13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이륜차 유지비용 및 제세공과금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</si>
  <si>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관련 법령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이륜차 검사 포함</t>
    </r>
    <r>
      <rPr>
        <sz val="9"/>
        <rFont val="맑은 고딕"/>
        <family val="3"/>
        <charset val="129"/>
      </rPr>
      <t xml:space="preserve">), </t>
    </r>
    <r>
      <rPr>
        <sz val="9"/>
        <rFont val="DejaVu Sans"/>
        <family val="2"/>
      </rPr>
      <t>관할관청의 지침 및 회사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매도인의 지시를 준수하여야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</si>
  <si>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회사는 계약기간 중 언제든 계약자의 본 계약 준수 여부를 점검할 수 있으며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성실히 협조하여야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</si>
  <si>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이륜차 보관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사용 등으로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손해가 발생한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회사의 고의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과실이 없는 한 그 책임은 계약자가 부담한다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이륜차 운행 중 사고에 대한 보험 가입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처리 책임은 전적으로 계약자에게 있으며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계약자의 귀책사유로 보험처리가 불가하거나 보험금으로 충당되지 않는 손해는 계약자가 부담한다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</si>
  <si>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이륜차의 등록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유지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등록말소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폐차 등과 관련하여 할부금에 포함되지 않은 비용 및 제세공과금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과태료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범칙금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벌과금 등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은 전적으로 계약자가 부담한다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</si>
  <si>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14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금지행위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</si>
  <si>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계약자는 다음의 행위를 하여서는 아니된다</t>
    </r>
    <r>
      <rPr>
        <sz val="9"/>
        <rFont val="맑은 고딕"/>
        <family val="3"/>
        <charset val="129"/>
      </rPr>
      <t xml:space="preserve">: (1) </t>
    </r>
    <r>
      <rPr>
        <sz val="9"/>
        <rFont val="DejaVu Sans"/>
        <family val="2"/>
      </rPr>
      <t>이륜차를 양도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전대하는 행위 및 본 계약상 권리를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양도하는 행위</t>
    </r>
    <r>
      <rPr>
        <sz val="9"/>
        <rFont val="맑은 고딕"/>
        <family val="3"/>
        <charset val="129"/>
      </rPr>
      <t xml:space="preserve">, (2) </t>
    </r>
    <r>
      <rPr>
        <sz val="9"/>
        <rFont val="DejaVu Sans"/>
        <family val="2"/>
      </rPr>
      <t>보험에서 인정하는 사용자 이외의 자에게 이륜차를 사용하게 하는 행위</t>
    </r>
    <r>
      <rPr>
        <sz val="9"/>
        <rFont val="맑은 고딕"/>
        <family val="3"/>
        <charset val="129"/>
      </rPr>
      <t xml:space="preserve">, (3) </t>
    </r>
    <r>
      <rPr>
        <sz val="9"/>
        <rFont val="DejaVu Sans"/>
        <family val="2"/>
      </rPr>
      <t>이륜차의 규격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성능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기능을 임의로 변경하거나 번호판을 훼손하는 행위</t>
    </r>
    <r>
      <rPr>
        <sz val="9"/>
        <rFont val="맑은 고딕"/>
        <family val="3"/>
        <charset val="129"/>
      </rPr>
      <t xml:space="preserve">, (4) </t>
    </r>
    <r>
      <rPr>
        <sz val="9"/>
        <rFont val="DejaVu Sans"/>
        <family val="2"/>
      </rPr>
      <t>이륜차를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담보 목적으로 제공하는 등 회사의 소유권을 침해할 수 있는 행위</t>
    </r>
    <r>
      <rPr>
        <sz val="9"/>
        <rFont val="맑은 고딕"/>
        <family val="3"/>
        <charset val="129"/>
      </rPr>
      <t xml:space="preserve">, (5) </t>
    </r>
    <r>
      <rPr>
        <sz val="9"/>
        <rFont val="DejaVu Sans"/>
        <family val="2"/>
      </rPr>
      <t>이륜차 부착 표지를 제거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훼손하거나 내용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위치를 변경하는 행위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</si>
  <si>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15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3</t>
    </r>
    <r>
      <rPr>
        <b/>
        <sz val="10"/>
        <color rgb="FF1F3864"/>
        <rFont val="DejaVu Sans"/>
        <family val="2"/>
      </rPr>
      <t>자에 대한 면책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</si>
  <si>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 기간 종료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해지 여부와 무관하게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이륜차를 인수한 날부터 반환일까지의 기간 동안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자가 회사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소유자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를 상대로 인적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물적 손해배상을 청구하는 경우 계약자는 자신의 비용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책임으로 회사를 면책시켜야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</si>
  <si>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회사가 소유자라는 이유로 직접 손해배상을 한 경우 계약자는 회사가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자에게 지급한 금액과 관련 제비용을 즉시 상환하여야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</si>
  <si>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회사가 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 청구에 방어를 한 경우 계약자는 방어 관련 지출된 소송비용 등 일체를 부담하여야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</si>
  <si>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16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계약자에 의한 중도 해지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</si>
  <si>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 xml:space="preserve">① 계약자가 본 계약을 중도 해지하고자 하는 경우 해지 예정일로부터 최소 </t>
    </r>
    <r>
      <rPr>
        <sz val="9"/>
        <rFont val="맑은 고딕"/>
        <family val="3"/>
        <charset val="129"/>
      </rPr>
      <t>10</t>
    </r>
    <r>
      <rPr>
        <sz val="9"/>
        <rFont val="DejaVu Sans"/>
        <family val="2"/>
      </rPr>
      <t>일 전에 회사에 사전 통보하여야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</si>
  <si>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회사의 중대한 귀책사유가 아닌 경우 계약자는 제</t>
    </r>
    <r>
      <rPr>
        <sz val="9"/>
        <rFont val="맑은 고딕"/>
        <family val="3"/>
        <charset val="129"/>
      </rPr>
      <t>9</t>
    </r>
    <r>
      <rPr>
        <sz val="9"/>
        <rFont val="DejaVu Sans"/>
        <family val="2"/>
      </rPr>
      <t>조 및 계약에서 정한 위약금을 회사에 지급하여야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</si>
  <si>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계약자는 해지 예정일까지 회사가 지정하는 장소에 이륜차를 반환하여야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관련하여 발생하는 비용은 계약자가 부담한다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</si>
  <si>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최종 해지일은 이륜차가 회사에 반환된 날을 기준으로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회사의 평가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정산 절차에 성실히 협조하여야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</si>
  <si>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17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계약의 해지 사유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</si>
  <si>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다음 각 호에 해당하는 경우 계약자는 사전 통지나 최고 없이 기한이익을 상실하며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회사는 유보된 소유권에 근거하여 차량 인도를 청구한다</t>
    </r>
    <r>
      <rPr>
        <sz val="9"/>
        <rFont val="맑은 고딕"/>
        <family val="3"/>
        <charset val="129"/>
      </rPr>
      <t xml:space="preserve">: (1) </t>
    </r>
    <r>
      <rPr>
        <sz val="9"/>
        <rFont val="DejaVu Sans"/>
        <family val="2"/>
      </rPr>
      <t>이륜차 무단 양도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전대</t>
    </r>
    <r>
      <rPr>
        <sz val="9"/>
        <rFont val="맑은 고딕"/>
        <family val="3"/>
        <charset val="129"/>
      </rPr>
      <t xml:space="preserve">, (2) </t>
    </r>
    <r>
      <rPr>
        <sz val="9"/>
        <rFont val="DejaVu Sans"/>
        <family val="2"/>
      </rPr>
      <t>법령 위반 사용 또는 보험 인정 사용자 이외의 자에게 사용하게 하는 행위</t>
    </r>
    <r>
      <rPr>
        <sz val="9"/>
        <rFont val="맑은 고딕"/>
        <family val="3"/>
        <charset val="129"/>
      </rPr>
      <t xml:space="preserve">, (3) </t>
    </r>
    <r>
      <rPr>
        <sz val="9"/>
        <rFont val="DejaVu Sans"/>
        <family val="2"/>
      </rPr>
      <t>정해진 입금일에 할부금 미납 및 보증금 이상 연체</t>
    </r>
    <r>
      <rPr>
        <sz val="9"/>
        <rFont val="맑은 고딕"/>
        <family val="3"/>
        <charset val="129"/>
      </rPr>
      <t xml:space="preserve">, (4) </t>
    </r>
    <r>
      <rPr>
        <sz val="9"/>
        <rFont val="DejaVu Sans"/>
        <family val="2"/>
      </rPr>
      <t>통지받은 수리비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과태료 등을 정당한 사유 없이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일 이내 미납</t>
    </r>
    <r>
      <rPr>
        <sz val="9"/>
        <rFont val="맑은 고딕"/>
        <family val="3"/>
        <charset val="129"/>
      </rPr>
      <t xml:space="preserve">, (5) </t>
    </r>
    <r>
      <rPr>
        <sz val="9"/>
        <rFont val="DejaVu Sans"/>
        <family val="2"/>
      </rPr>
      <t>무면허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음주운전 등 사용자 귀책사유로 배상금이 청구된 사실을 통보받은 후 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일 이내 미납</t>
    </r>
    <r>
      <rPr>
        <sz val="9"/>
        <rFont val="맑은 고딕"/>
        <family val="3"/>
        <charset val="129"/>
      </rPr>
      <t xml:space="preserve">, (6) </t>
    </r>
    <r>
      <rPr>
        <sz val="9"/>
        <rFont val="DejaVu Sans"/>
        <family val="2"/>
      </rPr>
      <t>제</t>
    </r>
    <r>
      <rPr>
        <sz val="9"/>
        <rFont val="맑은 고딕"/>
        <family val="3"/>
        <charset val="129"/>
      </rPr>
      <t>3</t>
    </r>
    <r>
      <rPr>
        <sz val="9"/>
        <rFont val="DejaVu Sans"/>
        <family val="2"/>
      </rPr>
      <t>자 담보 제공 등 회사의 소유권 침해행위</t>
    </r>
    <r>
      <rPr>
        <sz val="9"/>
        <rFont val="맑은 고딕"/>
        <family val="3"/>
        <charset val="129"/>
      </rPr>
      <t xml:space="preserve">, (7) </t>
    </r>
    <r>
      <rPr>
        <sz val="9"/>
        <rFont val="DejaVu Sans"/>
        <family val="2"/>
      </rPr>
      <t>규격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성능 무단 변경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부착 표지 임의 제거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훼손</t>
    </r>
    <r>
      <rPr>
        <sz val="9"/>
        <rFont val="맑은 고딕"/>
        <family val="3"/>
        <charset val="129"/>
      </rPr>
      <t xml:space="preserve">, (8) </t>
    </r>
    <r>
      <rPr>
        <sz val="9"/>
        <rFont val="DejaVu Sans"/>
        <family val="2"/>
      </rPr>
      <t>위치정보 수집 장치 훼손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은닉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</si>
  <si>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18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해지위약금 등의 부과방법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</si>
  <si>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위약금 산식</t>
    </r>
    <r>
      <rPr>
        <sz val="9"/>
        <rFont val="맑은 고딕"/>
        <family val="3"/>
        <charset val="129"/>
      </rPr>
      <t xml:space="preserve">: </t>
    </r>
    <r>
      <rPr>
        <sz val="9"/>
        <rFont val="DejaVu Sans"/>
        <family val="2"/>
      </rPr>
      <t xml:space="preserve">위약금 </t>
    </r>
    <r>
      <rPr>
        <sz val="9"/>
        <rFont val="맑은 고딕"/>
        <family val="3"/>
        <charset val="129"/>
      </rPr>
      <t xml:space="preserve">= </t>
    </r>
    <r>
      <rPr>
        <sz val="9"/>
        <rFont val="DejaVu Sans"/>
        <family val="2"/>
      </rPr>
      <t xml:space="preserve">보증금 </t>
    </r>
    <r>
      <rPr>
        <sz val="9"/>
        <rFont val="맑은 고딕"/>
        <family val="3"/>
        <charset val="129"/>
      </rPr>
      <t>+ (</t>
    </r>
    <r>
      <rPr>
        <sz val="9"/>
        <rFont val="DejaVu Sans"/>
        <family val="2"/>
      </rPr>
      <t xml:space="preserve">잔여기간에 대한 총 할부금 </t>
    </r>
    <r>
      <rPr>
        <sz val="9"/>
        <rFont val="맑은 고딕"/>
        <family val="3"/>
        <charset val="129"/>
      </rPr>
      <t xml:space="preserve">× 20%). </t>
    </r>
    <r>
      <rPr>
        <sz val="9"/>
        <rFont val="DejaVu Sans"/>
        <family val="2"/>
      </rPr>
      <t>계약자는 이 위약금을 계약 해지일까지 회사에 지급하여야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</si>
  <si>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선납한 보증금은 어떠한 경우에도 반환되지 않는다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</si>
  <si>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반환된 이륜차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부착물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키 부속품 일체에 파손이 있는 경우 계약자는 원상복구 수리비를 회사의 청구일로부터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일 이내에 지급하여야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</si>
  <si>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19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이륜차 반환 및 회수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</si>
  <si>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제</t>
    </r>
    <r>
      <rPr>
        <sz val="9"/>
        <rFont val="맑은 고딕"/>
        <family val="3"/>
        <charset val="129"/>
      </rPr>
      <t>16</t>
    </r>
    <r>
      <rPr>
        <sz val="9"/>
        <rFont val="DejaVu Sans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제</t>
    </r>
    <r>
      <rPr>
        <sz val="9"/>
        <rFont val="맑은 고딕"/>
        <family val="3"/>
        <charset val="129"/>
      </rPr>
      <t>17</t>
    </r>
    <r>
      <rPr>
        <sz val="9"/>
        <rFont val="DejaVu Sans"/>
        <family val="2"/>
      </rPr>
      <t>조에 따라 계약이 해지되는 경우 계약자는 즉시 회사가 지정하는 장소로 이륜차를 반환하여야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</si>
  <si>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계약자가 반환을 지연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거부하는 경우 회사는 이륜차를 임의로 회수할 수 있으며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계약자는 이에 대해 민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형사상 어떠한 이의도 제기할 수 없다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</si>
  <si>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회수에 소요된 일체의 비용은 계약자가 부담한다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</si>
  <si>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계약자는 계약 해지일부터 이륜차 최종 반환일까지의 기간에 대한 손해배상금을 회사에 지급하여야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</si>
  <si>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20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계약만료 후 처리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</si>
  <si>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계약만료일 이후 이륜차를 운행하여서는 아니되며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만료 후 임의 운행으로 발생하는 사고에 회사는 민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형사상 책임을 지지 않는다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</si>
  <si>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 xml:space="preserve">② 인수형 계약의 경우 계약자는 </t>
    </r>
    <r>
      <rPr>
        <sz val="9"/>
        <rFont val="맑은 고딕"/>
        <family val="3"/>
        <charset val="129"/>
      </rPr>
      <t xml:space="preserve">(1) </t>
    </r>
    <r>
      <rPr>
        <sz val="9"/>
        <rFont val="DejaVu Sans"/>
        <family val="2"/>
      </rPr>
      <t>계약자 명의 이전 시 보험가입증명서와 신분증을 회사에 제출</t>
    </r>
    <r>
      <rPr>
        <sz val="9"/>
        <rFont val="맑은 고딕"/>
        <family val="3"/>
        <charset val="129"/>
      </rPr>
      <t xml:space="preserve">, (2) </t>
    </r>
    <r>
      <rPr>
        <sz val="9"/>
        <rFont val="DejaVu Sans"/>
        <family val="2"/>
      </rPr>
      <t>사용폐지 시 계약만료일 익일에 번호판을 등기우편으로 회사에 발송 중 하나를 선택해야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</si>
  <si>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인수형 계약에서 미납금이 있는 경우</t>
    </r>
    <r>
      <rPr>
        <sz val="9"/>
        <rFont val="맑은 고딕"/>
        <family val="3"/>
        <charset val="129"/>
      </rPr>
      <t xml:space="preserve">: </t>
    </r>
    <r>
      <rPr>
        <sz val="9"/>
        <rFont val="DejaVu Sans"/>
        <family val="2"/>
      </rPr>
      <t>명의이전 시 취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등록세는 계약자 부담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신고는 회사 대행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보증금 공제 또는 영수증 발송</t>
    </r>
    <r>
      <rPr>
        <sz val="9"/>
        <rFont val="맑은 고딕"/>
        <family val="3"/>
        <charset val="129"/>
      </rPr>
      <t xml:space="preserve">); </t>
    </r>
    <r>
      <rPr>
        <sz val="9"/>
        <rFont val="DejaVu Sans"/>
        <family val="2"/>
      </rPr>
      <t>계약만료일까지 모든 금액 완납하여야 인수 가능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만료일</t>
    </r>
    <r>
      <rPr>
        <sz val="9"/>
        <rFont val="맑은 고딕"/>
        <family val="3"/>
        <charset val="129"/>
      </rPr>
      <t xml:space="preserve">(D) </t>
    </r>
    <r>
      <rPr>
        <sz val="9"/>
        <rFont val="DejaVu Sans"/>
        <family val="2"/>
      </rPr>
      <t xml:space="preserve">이후 </t>
    </r>
    <r>
      <rPr>
        <sz val="9"/>
        <rFont val="맑은 고딕"/>
        <family val="3"/>
        <charset val="129"/>
      </rPr>
      <t>D+3</t>
    </r>
    <r>
      <rPr>
        <sz val="9"/>
        <rFont val="DejaVu Sans"/>
        <family val="2"/>
      </rPr>
      <t>일까지 미납 시 회수 진행</t>
    </r>
    <r>
      <rPr>
        <sz val="9"/>
        <rFont val="맑은 고딕"/>
        <family val="3"/>
        <charset val="129"/>
      </rPr>
      <t>, D+15</t>
    </r>
    <r>
      <rPr>
        <sz val="9"/>
        <rFont val="DejaVu Sans"/>
        <family val="2"/>
      </rPr>
      <t>일까지 미완납 시 기한이익 상실 및 회사의 자체 처분 가능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처분대금은 미납금 상환에 우선 충당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</si>
  <si>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반납형 계약의 경우 계약자는 계약만료일 익일에 이륜차를 회사에 반환하여야 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회사는 수리견적을 작성하고 수리비를 보증금에서 차감한 후 남은 금액을 계약자에게 지급한다</t>
    </r>
    <r>
      <rPr>
        <sz val="9"/>
        <rFont val="맑은 고딕"/>
        <family val="3"/>
        <charset val="129"/>
      </rPr>
      <t xml:space="preserve">. </t>
    </r>
    <r>
      <rPr>
        <sz val="9"/>
        <rFont val="DejaVu Sans"/>
        <family val="2"/>
      </rPr>
      <t>수리비가 보증금을 초과하는 경우 차액을 계약자가 납부한다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</si>
  <si>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명의이전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폐지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반납 절차는 계약만료일 익일에 완료되어야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지체되는 경우 계약자는 제</t>
    </r>
    <r>
      <rPr>
        <sz val="9"/>
        <rFont val="맑은 고딕"/>
        <family val="3"/>
        <charset val="129"/>
      </rPr>
      <t>9</t>
    </r>
    <r>
      <rPr>
        <sz val="9"/>
        <rFont val="DejaVu Sans"/>
        <family val="2"/>
      </rPr>
      <t>조에 따라 계산된 손해배상금 및 부당사용이익을 회사에 납부하여야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</si>
  <si>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21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계약만료 전 할부금 완납 시 절차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</si>
  <si>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계약자는 계약만료일까지 이륜차를 운행할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</si>
  <si>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계약 만료 전 할부금을 모두 완납하여 계약이 종료되는 경우 계약자는 제</t>
    </r>
    <r>
      <rPr>
        <sz val="9"/>
        <rFont val="맑은 고딕"/>
        <family val="3"/>
        <charset val="129"/>
      </rPr>
      <t>20</t>
    </r>
    <r>
      <rPr>
        <sz val="9"/>
        <rFont val="DejaVu Sans"/>
        <family val="2"/>
      </rPr>
      <t>조에서 정한 절차를 진행하여야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</si>
  <si>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계약자의 요청에 따라 계약만료일보다 일찍 명의이전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사용폐지를 진행하는 경우 보험환급금 등 추가 환급은 청구할 수 없다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</si>
  <si>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22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변제충당 순서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</si>
  <si>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계약자가 납입한 금액이 납입일 현재 채무 전액을 충당하기에 부족한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회사는 납기일 기준으로 먼저 도래한 채무액부터 우선 충당한다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</si>
  <si>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위 ①에도 불구하고 연체이자가 있는 경우 연체이자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지연손해금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위약금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원금의 순으로 충당한다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</si>
  <si>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각 계약자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라이더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별 납부금은 해당 계약자 본인 명의 계좌로부터 입금된 금원에 한하여 충당되며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타 계약자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라이더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의 입금은 타인의 채무에 충당되지 아니한다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</si>
  <si>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23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세금계산서 발급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</si>
  <si>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세금계산서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또는 현금영수증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는 회사 명의로 발행하며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본 계약서에 기재된 연대보증인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사업장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의 사업자등록번호를 기준으로 발급한다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</si>
  <si>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차량 이관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사업자 변경 등으로 계산서 발행 대상이 변경되는 경우 계약자는 익월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일까지 회사에 통지하여야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</si>
  <si>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계약자는 주소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전화번호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상호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사업자등록번호 등 세금계산서 발행에 영향을 미치는 사항에 변경이 발생한 경우 즉시 회사에 통지하여야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</si>
  <si>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계약자의 통지의무 해태로 발생하는 불이익은 계약자가 부담한다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</si>
  <si>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24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적용범위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</si>
  <si>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① 본 계약서의 이륜차에 관하여 할부금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수리비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위약금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과태료 등 미납금이 발생한 경우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회사와 체결한 다른 이륜차 계약의 처분에도 영향을 미칠 수 있다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</si>
  <si>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반대로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계약자가 회사와 체결한 다른 이륜차 계약에서 미납금이 발생한 경우에도 본 계약서 이륜차의 처분에 영향을 미칠 수 있다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</si>
  <si>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25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약관에 정하지 않은 사항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</si>
  <si>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본 계약에서 정하지 아니한 사항에 관하여는 관계 법령 및 회사의 관련 규정을 따른다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</si>
  <si>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제</t>
    </r>
    <r>
      <rPr>
        <b/>
        <sz val="10"/>
        <color rgb="FF1F3864"/>
        <rFont val="맑은 고딕"/>
        <family val="3"/>
        <charset val="129"/>
      </rPr>
      <t>26</t>
    </r>
    <r>
      <rPr>
        <b/>
        <sz val="10"/>
        <color rgb="FF1F3864"/>
        <rFont val="DejaVu Sans"/>
        <family val="2"/>
      </rPr>
      <t xml:space="preserve">조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준거법 및 관할</t>
    </r>
    <r>
      <rPr>
        <b/>
        <sz val="10"/>
        <color rgb="FF1F3864"/>
        <rFont val="맑은 고딕"/>
        <family val="3"/>
        <charset val="129"/>
      </rPr>
      <t>)</t>
    </r>
  </si>
  <si>
    <r>
      <rPr>
        <sz val="9"/>
        <rFont val="DejaVu Sans"/>
        <family val="2"/>
      </rPr>
      <t>본 계약은 대한민국 법률에 따라 해석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적용하며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본 계약과 관련하여 분쟁이 발생하는 경우 회사 본점 소재지를 관할하는 법원을 전속 관할 법원으로 한다</t>
    </r>
    <r>
      <rPr>
        <sz val="9"/>
        <rFont val="맑은 고딕"/>
        <family val="3"/>
        <charset val="129"/>
      </rPr>
      <t>.</t>
    </r>
  </si>
  <si>
    <r>
      <rPr>
        <b/>
        <sz val="10"/>
        <color rgb="FFC00000"/>
        <rFont val="맑은 고딕"/>
        <family val="3"/>
        <charset val="129"/>
      </rPr>
      <t>[</t>
    </r>
    <r>
      <rPr>
        <b/>
        <sz val="10"/>
        <color rgb="FFC00000"/>
        <rFont val="DejaVu Sans"/>
        <family val="2"/>
      </rPr>
      <t xml:space="preserve">첨부 </t>
    </r>
    <r>
      <rPr>
        <b/>
        <sz val="10"/>
        <color rgb="FFC00000"/>
        <rFont val="맑은 고딕"/>
        <family val="3"/>
        <charset val="129"/>
      </rPr>
      <t xml:space="preserve">1] </t>
    </r>
    <r>
      <rPr>
        <b/>
        <sz val="10"/>
        <color rgb="FFC00000"/>
        <rFont val="DejaVu Sans"/>
        <family val="2"/>
      </rPr>
      <t>차량 평가 및 감가기준</t>
    </r>
  </si>
  <si>
    <r>
      <rPr>
        <sz val="9"/>
        <rFont val="DejaVu Sans"/>
        <family val="2"/>
      </rPr>
      <t xml:space="preserve">평가 항목 </t>
    </r>
    <r>
      <rPr>
        <sz val="9"/>
        <rFont val="맑은 고딕"/>
        <family val="3"/>
        <charset val="129"/>
      </rPr>
      <t xml:space="preserve">/ </t>
    </r>
    <r>
      <rPr>
        <sz val="9"/>
        <rFont val="DejaVu Sans"/>
        <family val="2"/>
      </rPr>
      <t>감가율</t>
    </r>
  </si>
  <si>
    <r>
      <rPr>
        <sz val="9"/>
        <rFont val="DejaVu Sans"/>
        <family val="2"/>
      </rPr>
      <t xml:space="preserve">커버류 교체 또는 수리 필요 </t>
    </r>
    <r>
      <rPr>
        <sz val="9"/>
        <rFont val="맑은 고딕"/>
        <family val="3"/>
        <charset val="129"/>
      </rPr>
      <t>/ 4% (</t>
    </r>
    <r>
      <rPr>
        <sz val="9"/>
        <rFont val="DejaVu Sans"/>
        <family val="2"/>
      </rPr>
      <t>부위당</t>
    </r>
    <r>
      <rPr>
        <sz val="9"/>
        <rFont val="맑은 고딕"/>
        <family val="3"/>
        <charset val="129"/>
      </rPr>
      <t>)</t>
    </r>
  </si>
  <si>
    <r>
      <rPr>
        <sz val="9"/>
        <rFont val="DejaVu Sans"/>
        <family val="2"/>
      </rPr>
      <t xml:space="preserve">차대 교체 또는 수리 필요 </t>
    </r>
    <r>
      <rPr>
        <sz val="9"/>
        <rFont val="맑은 고딕"/>
        <family val="3"/>
        <charset val="129"/>
      </rPr>
      <t>/ 6% (</t>
    </r>
    <r>
      <rPr>
        <sz val="9"/>
        <rFont val="DejaVu Sans"/>
        <family val="2"/>
      </rPr>
      <t>부위당</t>
    </r>
    <r>
      <rPr>
        <sz val="9"/>
        <rFont val="맑은 고딕"/>
        <family val="3"/>
        <charset val="129"/>
      </rPr>
      <t>)</t>
    </r>
  </si>
  <si>
    <r>
      <rPr>
        <sz val="9"/>
        <rFont val="DejaVu Sans"/>
        <family val="2"/>
      </rPr>
      <t xml:space="preserve">도장 및 판금 상태 </t>
    </r>
    <r>
      <rPr>
        <sz val="9"/>
        <rFont val="맑은 고딕"/>
        <family val="3"/>
        <charset val="129"/>
      </rPr>
      <t>/ 30</t>
    </r>
    <r>
      <rPr>
        <sz val="9"/>
        <rFont val="DejaVu Sans"/>
        <family val="2"/>
      </rPr>
      <t xml:space="preserve">만원 </t>
    </r>
    <r>
      <rPr>
        <sz val="9"/>
        <rFont val="맑은 고딕"/>
        <family val="3"/>
        <charset val="129"/>
      </rPr>
      <t>~ 50</t>
    </r>
    <r>
      <rPr>
        <sz val="9"/>
        <rFont val="DejaVu Sans"/>
        <family val="2"/>
      </rPr>
      <t>만원</t>
    </r>
  </si>
  <si>
    <r>
      <rPr>
        <b/>
        <sz val="10"/>
        <color rgb="FFC00000"/>
        <rFont val="맑은 고딕"/>
        <family val="3"/>
        <charset val="129"/>
      </rPr>
      <t>[</t>
    </r>
    <r>
      <rPr>
        <b/>
        <sz val="10"/>
        <color rgb="FFC00000"/>
        <rFont val="DejaVu Sans"/>
        <family val="2"/>
      </rPr>
      <t xml:space="preserve">첨부 </t>
    </r>
    <r>
      <rPr>
        <b/>
        <sz val="10"/>
        <color rgb="FFC00000"/>
        <rFont val="맑은 고딕"/>
        <family val="3"/>
        <charset val="129"/>
      </rPr>
      <t xml:space="preserve">2] </t>
    </r>
    <r>
      <rPr>
        <b/>
        <sz val="10"/>
        <color rgb="FFC00000"/>
        <rFont val="DejaVu Sans"/>
        <family val="2"/>
      </rPr>
      <t>자동계좌이체 약관</t>
    </r>
  </si>
  <si>
    <r>
      <rPr>
        <sz val="9"/>
        <rFont val="DejaVu Sans"/>
        <family val="2"/>
      </rPr>
      <t>① 신청인 및 예금주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 xml:space="preserve">이하 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계약자</t>
    </r>
    <r>
      <rPr>
        <sz val="9"/>
        <rFont val="맑은 고딕"/>
        <family val="3"/>
        <charset val="129"/>
      </rPr>
      <t>")</t>
    </r>
    <r>
      <rPr>
        <sz val="9"/>
        <rFont val="DejaVu Sans"/>
        <family val="2"/>
      </rPr>
      <t>는 약정 납부일을 기준으로 포어스바이크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주</t>
    </r>
    <r>
      <rPr>
        <sz val="9"/>
        <rFont val="맑은 고딕"/>
        <family val="3"/>
        <charset val="129"/>
      </rPr>
      <t>)(</t>
    </r>
    <r>
      <rPr>
        <sz val="9"/>
        <rFont val="DejaVu Sans"/>
        <family val="2"/>
      </rPr>
      <t xml:space="preserve">이하 </t>
    </r>
    <r>
      <rPr>
        <sz val="9"/>
        <rFont val="맑은 고딕"/>
        <family val="3"/>
        <charset val="129"/>
      </rPr>
      <t>"</t>
    </r>
    <r>
      <rPr>
        <sz val="9"/>
        <rFont val="DejaVu Sans"/>
        <family val="2"/>
      </rPr>
      <t>수납사</t>
    </r>
    <r>
      <rPr>
        <sz val="9"/>
        <rFont val="맑은 고딕"/>
        <family val="3"/>
        <charset val="129"/>
      </rPr>
      <t>")</t>
    </r>
    <r>
      <rPr>
        <sz val="9"/>
        <rFont val="DejaVu Sans"/>
        <family val="2"/>
      </rPr>
      <t>가 지정하는 계좌이체일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휴일인 경우 익영업일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에 수납사가 청구하는 금액을 자동이체 계좌로 신청한 금융기관 계좌에서 출금하여 납부할 것을 확인한다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</si>
  <si>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② 자동납부를 위해 지정계좌 예금을 출금하는 경우 예금약관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계약서 규정에도 예금청구서나 수표 없이 자동계좌이체 처리절차에 의하여 출금 처리되며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금융기관 출금 마감 시간 내 입금된 금액에 한하여 출금 처리된다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</si>
  <si>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③ 지정계좌의 예금잔액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자동대출 약관이 있는 경우 대출한도 포함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이 이체일 현재 청구금액보다 부족하거나 예금 지급제한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약정대출 연체 등으로 대체 납부가 불가능한 경우의 손해는 계약자의 책임으로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</si>
  <si>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④ 이체일에 동일 수종의 자동계좌이체 청구가 있는 경우의 출금 우선순위는 금융기관이 이미 약관에 따라 계약자와 약정한 바에 따른다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</si>
  <si>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⑤ 자동이체 일자는 수납사의 사정에 따라 변경될 수 있으나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사전에 계약자에게 통지하며 계약자가 불리하지 않도록 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</si>
  <si>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⑥ 계약자의 사정으로 예금계좌 변경 또는 자동납부 해지를 원하는 경우 금융기관 소정 양식에 의한 자동납부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해지</t>
    </r>
    <r>
      <rPr>
        <sz val="9"/>
        <rFont val="맑은 고딕"/>
        <family val="3"/>
        <charset val="129"/>
      </rPr>
      <t>)</t>
    </r>
    <r>
      <rPr>
        <sz val="9"/>
        <rFont val="DejaVu Sans"/>
        <family val="2"/>
      </rPr>
      <t>신청서와 통장 사본을 제출하여야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미제출로 발생하는 손해는 계약자 책임이다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</si>
  <si>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⑦ 자동납부 신청에 의한 지정계좌 출금은 수납사의 청구대로 출금하되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청구금액에 이의가 있는 경우 계약자와 수납사가 협의하여 조정한다</t>
    </r>
    <r>
      <rPr>
        <sz val="9"/>
        <rFont val="맑은 고딕"/>
        <family val="3"/>
        <charset val="129"/>
      </rPr>
      <t>.</t>
    </r>
  </si>
  <si>
    <r>
      <rPr>
        <sz val="9"/>
        <rFont val="DejaVu Sans"/>
        <family val="2"/>
      </rPr>
      <t>⑧ 이 약관에서 정하지 않은 사항은 금융기관의 자동이체납부약관에서 정하는 바에 따른다</t>
    </r>
    <r>
      <rPr>
        <sz val="9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</si>
  <si>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이용약관의 내용에 대하여 전부 설명 듣고 확인하였습니다</t>
    </r>
    <r>
      <rPr>
        <b/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</si>
  <si>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계약자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라이더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서명 또는 인</t>
    </r>
    <r>
      <rPr>
        <sz val="10"/>
        <rFont val="맑은 고딕"/>
        <family val="3"/>
        <charset val="129"/>
      </rPr>
      <t xml:space="preserve">:                             </t>
    </r>
    <r>
      <rPr>
        <sz val="10"/>
        <rFont val="DejaVu Sans"/>
        <family val="2"/>
      </rPr>
      <t>연대보증인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사업장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서명 또는 인</t>
    </r>
    <r>
      <rPr>
        <sz val="10"/>
        <rFont val="맑은 고딕"/>
        <family val="3"/>
        <charset val="129"/>
      </rPr>
      <t xml:space="preserve">:                             </t>
    </r>
    <r>
      <rPr>
        <sz val="10"/>
        <rFont val="DejaVu Sans"/>
        <family val="2"/>
      </rPr>
      <t>일자</t>
    </r>
    <r>
      <rPr>
        <sz val="10"/>
        <rFont val="맑은 고딕"/>
        <family val="3"/>
        <charset val="129"/>
      </rPr>
      <t xml:space="preserve">:                 </t>
    </r>
  </si>
  <si>
    <t>104-86-62883</t>
    <phoneticPr fontId="31" type="noConversion"/>
  </si>
  <si>
    <t>강원특별자치도 춘천시 춘천로 188, 201호, 211호-에이66호</t>
    <phoneticPr fontId="31" type="noConversion"/>
  </si>
  <si>
    <t>010-2730-7845</t>
    <phoneticPr fontId="31" type="noConversion"/>
  </si>
  <si>
    <r>
      <t>1. 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대금(할부금·보증금·부대비용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등)의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세금계산서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업무는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대행하며,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불가합니다.</t>
    </r>
    <phoneticPr fontId="31" type="noConversion"/>
  </si>
  <si>
    <r>
      <t>2. 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아니하며, 위약금과는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회수비용(출장비·운송비·원상복구비)은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부담합니다.</t>
    </r>
    <phoneticPr fontId="31" type="noConversion"/>
  </si>
  <si>
    <r>
      <t>3. 보증금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미지급으로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(1) 인도일부터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반환일까지의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일할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사용료, (2) 감가손실액, (3) 등록비·번호판·보험료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지출한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부대비용을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배상합니다.</t>
    </r>
    <phoneticPr fontId="31" type="noConversion"/>
  </si>
  <si>
    <r>
      <t>4. 배달통·슬라이더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비품은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안내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장소로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반납하여야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합니다.</t>
    </r>
    <phoneticPr fontId="31" type="noConversion"/>
  </si>
  <si>
    <r>
      <t>5. 세금계산서는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명의로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발행되며, 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기재된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연대보증인(사업장)의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사업자등록번호를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기준으로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발급됩니다.</t>
    </r>
    <phoneticPr fontId="31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</si>
  <si>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할부판매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별지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31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</si>
  <si>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: 라이더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31" type="noConversion"/>
  </si>
  <si>
    <t>기업은행 929-028519-04-010</t>
  </si>
  <si>
    <r>
      <rPr>
        <sz val="9"/>
        <color rgb="FF1F3864"/>
        <rFont val="맑은 고딕"/>
        <family val="3"/>
        <charset val="129"/>
      </rPr>
      <t>상기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"개인(신용)정보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수집·이용·제공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동의", "금융거래정보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제공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동의", "업무위탁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동의"에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대하여</t>
    </r>
    <r>
      <rPr>
        <sz val="9"/>
        <color rgb="FF1F3864"/>
        <rFont val="Arial"/>
        <family val="2"/>
      </rPr>
      <t xml:space="preserve">       </t>
    </r>
    <r>
      <rPr>
        <b/>
        <sz val="15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동의안함</t>
    </r>
    <r>
      <rPr>
        <b/>
        <sz val="9"/>
        <color rgb="FF1F3864"/>
        <rFont val="Arial"/>
        <family val="2"/>
      </rPr>
      <t xml:space="preserve">       </t>
    </r>
    <r>
      <rPr>
        <b/>
        <sz val="15"/>
        <color rgb="FF1F3864"/>
        <rFont val="DejaVu Sans"/>
        <family val="2"/>
        <charset val="129"/>
      </rPr>
      <t xml:space="preserve">□ </t>
    </r>
    <r>
      <rPr>
        <b/>
        <sz val="9"/>
        <color rgb="FF1F3864"/>
        <rFont val="맑은 고딕"/>
        <family val="3"/>
        <charset val="129"/>
      </rPr>
      <t>전부 동의함</t>
    </r>
    <r>
      <rPr>
        <b/>
        <sz val="9"/>
        <color rgb="FF1F3864"/>
        <rFont val="Arial"/>
        <family val="2"/>
      </rPr>
      <t xml:space="preserve"> </t>
    </r>
    <phoneticPr fontId="31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</si>
  <si>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계약자</t>
    </r>
    <phoneticPr fontId="31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</si>
  <si>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연대보증인</t>
    </r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</si>
</sst>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i/>
      <sz val="8"/>
      <color rgb="FF595959"/>
      <name val="DejaVu Sans"/>
      <family val="2"/>
    </font>
    <font>
      <i/>
      <sz val="8"/>
      <color rgb="FF595959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b/>
      <sz val="10"/>
      <color rgb="FF1F3864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sz val="9"/>
      <name val="DejaVu Sans"/>
      <family val="2"/>
    </font>
    <font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C00000"/>
      <name val="DejaVu Sans"/>
      <family val="2"/>
    </font>
    <font>
      <b/>
      <sz val="10"/>
      <name val="DejaVu Sans"/>
      <family val="2"/>
    </font>
    <font>
      <b/>
      <sz val="10"/>
      <name val="맑은 고딕"/>
      <family val="3"/>
      <charset val="129"/>
    </font>
    <font>
      <sz val="10"/>
      <name val="DejaVu Sans"/>
      <family val="2"/>
    </font>
    <font>
      <sz val="8"/>
      <name val="돋움"/>
      <family val="3"/>
      <charset val="129"/>
    </font>
    <font>
      <b/>
      <sz val="11"/>
      <color rgb="FFFFFFFF"/>
      <name val="Segoe UI Symbol"/>
      <family val="2"/>
    </font>
    <font>
      <sz val="8"/>
      <color rgb="FF404040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sz val="9"/>
      <color rgb="FF1F3864"/>
      <name val="맑은 고딕"/>
      <family val="3"/>
      <charset val="129"/>
    </font>
    <font>
      <sz val="9"/>
      <color rgb="FF1F3864"/>
      <name val="Arial"/>
      <family val="2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  <font>
      <i/>
      <sz val="8"/>
      <color rgb="FF595959"/>
      <name val="Arial"/>
      <family val="2"/>
    </font>
    <font>
      <i/>
      <sz val="8"/>
      <color rgb="FF595959"/>
      <name val="DejaVu Sans"/>
      <family val="3"/>
      <charset val="129"/>
    </font>
    <font>
      <b/>
      <sz val="15"/>
      <color rgb="FF1F3864"/>
      <name val="DejaVu Sans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1F3864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0" fillId="5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 indent="1"/>
    </xf>
    <xf numFmtId="0" fontId="17" fillId="7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indent="1"/>
    </xf>
    <xf numFmtId="0" fontId="24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left" vertical="center" wrapText="1" indent="1"/>
    </xf>
    <xf numFmtId="0" fontId="34" fillId="8" borderId="8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 indent="1"/>
    </xf>
    <xf numFmtId="0" fontId="20" fillId="5" borderId="1" xfId="0" applyFont="1" applyFill="1" applyBorder="1" applyAlignment="1">
      <alignment horizontal="left" vertical="center" wrapText="1" indent="1"/>
    </xf>
    <xf numFmtId="0" fontId="41" fillId="7" borderId="1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zoomScaleNormal="10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8.6640625" defaultRowHeight="14.4"/>
  <cols>
    <col min="1" max="30" width="18" customWidth="1"/>
  </cols>
  <sheetData>
    <row r="1" spans="1:30" ht="30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</row>
    <row r="2" spans="1:30" ht="31.2">
      <c r="A2" s="15">
        <v>1</v>
      </c>
      <c r="B2" s="15" t="s">
        <v>30</v>
      </c>
      <c r="C2" s="15" t="s">
        <v>31</v>
      </c>
      <c r="D2" s="15" t="s">
        <v>32</v>
      </c>
      <c r="E2" s="16" t="s">
        <v>33</v>
      </c>
      <c r="F2" s="16" t="s">
        <v>34</v>
      </c>
      <c r="G2" s="15">
        <v>12000</v>
      </c>
      <c r="H2" s="15">
        <v>365</v>
      </c>
      <c r="I2" s="15">
        <v>300000</v>
      </c>
      <c r="J2" s="16" t="s">
        <v>35</v>
      </c>
      <c r="K2" s="15" t="s">
        <v>36</v>
      </c>
      <c r="L2" s="15" t="s">
        <v>37</v>
      </c>
      <c r="M2" s="15" t="s">
        <v>38</v>
      </c>
      <c r="N2" s="16" t="s">
        <v>39</v>
      </c>
      <c r="O2" s="16" t="s">
        <v>40</v>
      </c>
      <c r="P2" s="15" t="s">
        <v>41</v>
      </c>
      <c r="Q2" s="16" t="s">
        <v>42</v>
      </c>
      <c r="R2" s="15" t="s">
        <v>43</v>
      </c>
      <c r="S2" s="15" t="s">
        <v>44</v>
      </c>
      <c r="T2" s="16" t="s">
        <v>45</v>
      </c>
      <c r="U2" s="15" t="s">
        <v>46</v>
      </c>
      <c r="V2" s="15" t="s">
        <v>47</v>
      </c>
      <c r="W2" s="16" t="s">
        <v>48</v>
      </c>
      <c r="X2" s="16" t="s">
        <v>49</v>
      </c>
      <c r="Y2" s="15" t="s">
        <v>50</v>
      </c>
      <c r="Z2" s="16" t="s">
        <v>51</v>
      </c>
      <c r="AA2" s="16" t="s">
        <v>52</v>
      </c>
      <c r="AB2" s="16" t="s">
        <v>53</v>
      </c>
      <c r="AC2" s="16" t="s">
        <v>54</v>
      </c>
      <c r="AD2" s="16" t="s">
        <v>55</v>
      </c>
    </row>
  </sheetData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tabSelected="1" topLeftCell="A17" zoomScaleNormal="100" workbookViewId="0">
      <selection activeCell="M32" sqref="M32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0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8" t="s">
        <v>56</v>
      </c>
    </row>
    <row r="2" spans="1:12" ht="48" customHeight="1">
      <c r="A2" s="17"/>
      <c r="B2" s="13" t="s">
        <v>57</v>
      </c>
      <c r="C2" s="13"/>
      <c r="D2" s="13"/>
      <c r="E2" s="13"/>
      <c r="F2" s="13"/>
      <c r="G2" s="13"/>
      <c r="H2" s="13"/>
      <c r="I2" s="13"/>
      <c r="J2" s="13"/>
      <c r="K2" s="17"/>
      <c r="L2" s="19">
        <v>1</v>
      </c>
    </row>
    <row r="3" spans="1:12" ht="24" customHeight="1">
      <c r="A3" s="17"/>
      <c r="B3" s="12" t="s">
        <v>58</v>
      </c>
      <c r="C3" s="12"/>
      <c r="D3" s="12"/>
      <c r="E3" s="12"/>
      <c r="F3" s="11" t="s">
        <v>0</v>
      </c>
      <c r="G3" s="11"/>
      <c r="H3" s="11"/>
      <c r="I3" s="10" t="str">
        <f>IFERROR(TEXT($L$2,"0000"),"")</f>
        <v>0001</v>
      </c>
      <c r="J3" s="10"/>
      <c r="K3" s="17"/>
      <c r="L3" s="17"/>
    </row>
    <row r="4" spans="1:12" ht="7.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5.5" customHeight="1">
      <c r="A5" s="17"/>
      <c r="B5" s="9" t="s">
        <v>59</v>
      </c>
      <c r="C5" s="9"/>
      <c r="D5" s="9"/>
      <c r="E5" s="9"/>
      <c r="F5" s="9"/>
      <c r="G5" s="9"/>
      <c r="H5" s="9"/>
      <c r="I5" s="9"/>
      <c r="J5" s="9"/>
      <c r="K5" s="17"/>
      <c r="L5" s="17"/>
    </row>
    <row r="6" spans="1:12" ht="21.75" customHeight="1">
      <c r="A6" s="17"/>
      <c r="B6" s="20" t="s">
        <v>2</v>
      </c>
      <c r="C6" s="8" t="str">
        <f>IFERROR(IF(VLOOKUP($L$2,계약리스트!$A$2:$AD$10000,3,0)="","",VLOOKUP($L$2,계약리스트!$A$2:$AD$10000,3,0)),"")</f>
        <v>PCX125</v>
      </c>
      <c r="D6" s="8"/>
      <c r="E6" s="20" t="s">
        <v>4</v>
      </c>
      <c r="F6" s="8" t="str">
        <f>IFERROR(IF(VLOOKUP($L$2,계약리스트!$A$2:$AD$10000,5,0)="","",VLOOKUP($L$2,계약리스트!$A$2:$AD$10000,5,0)),"")</f>
        <v>서울바1234</v>
      </c>
      <c r="G6" s="8"/>
      <c r="H6" s="20" t="s">
        <v>5</v>
      </c>
      <c r="I6" s="8" t="str">
        <f>IFERROR(IF(VLOOKUP($L$2,계약리스트!$A$2:$AD$10000,6,0)="","",VLOOKUP($L$2,계약리스트!$A$2:$AD$10000,6,0)),"")</f>
        <v>블랙</v>
      </c>
      <c r="J6" s="8"/>
      <c r="K6" s="17"/>
      <c r="L6" s="17"/>
    </row>
    <row r="7" spans="1:12" ht="21.75" customHeight="1">
      <c r="A7" s="17"/>
      <c r="B7" s="20" t="s">
        <v>3</v>
      </c>
      <c r="C7" s="8" t="str">
        <f>IFERROR(IF(VLOOKUP($L$2,계약리스트!$A$2:$AD$10000,4,0)="","",VLOOKUP($L$2,계약리스트!$A$2:$AD$10000,4,0)),"")</f>
        <v>MLHJF81H2ST000001</v>
      </c>
      <c r="D7" s="8"/>
      <c r="E7" s="20" t="s">
        <v>60</v>
      </c>
      <c r="F7" s="7" t="s">
        <v>61</v>
      </c>
      <c r="G7" s="7"/>
      <c r="H7" s="20" t="s">
        <v>1</v>
      </c>
      <c r="I7" s="8" t="str">
        <f>IFERROR(IF(VLOOKUP($L$2,계약리스트!$A$2:$AD$10000,2,0)="","",VLOOKUP($L$2,계약리스트!$A$2:$AD$10000,2,0)),"")</f>
        <v>2026-04-23</v>
      </c>
      <c r="J7" s="8"/>
      <c r="K7" s="17"/>
      <c r="L7" s="17"/>
    </row>
    <row r="8" spans="1:12" ht="7.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ht="25.5" customHeight="1">
      <c r="A9" s="17"/>
      <c r="B9" s="9" t="s">
        <v>253</v>
      </c>
      <c r="C9" s="9"/>
      <c r="D9" s="9"/>
      <c r="E9" s="9"/>
      <c r="F9" s="9"/>
      <c r="G9" s="9"/>
      <c r="H9" s="9"/>
      <c r="I9" s="9"/>
      <c r="J9" s="9"/>
      <c r="K9" s="17"/>
      <c r="L9" s="17"/>
    </row>
    <row r="10" spans="1:12" ht="21.75" customHeight="1">
      <c r="A10" s="17"/>
      <c r="B10" s="20" t="s">
        <v>62</v>
      </c>
      <c r="C10" s="8" t="str">
        <f>IFERROR(IF(VLOOKUP($L$2,계약리스트!$A$2:$AD$10000,10,0)="","",VLOOKUP($L$2,계약리스트!$A$2:$AD$10000,10,0)),"")</f>
        <v>홍길동</v>
      </c>
      <c r="D10" s="8"/>
      <c r="E10" s="20" t="s">
        <v>63</v>
      </c>
      <c r="F10" s="8" t="str">
        <f>IFERROR(IF(VLOOKUP($L$2,계약리스트!$A$2:$AD$10000,11,0)="","",VLOOKUP($L$2,계약리스트!$A$2:$AD$10000,11,0)),"")</f>
        <v>900101-1234567</v>
      </c>
      <c r="G10" s="8"/>
      <c r="H10" s="20" t="s">
        <v>64</v>
      </c>
      <c r="I10" s="8" t="str">
        <f>IFERROR(IF(VLOOKUP($L$2,계약리스트!$A$2:$AD$10000,12,0)="","",VLOOKUP($L$2,계약리스트!$A$2:$AD$10000,12,0)),"")</f>
        <v>010-1234-5678</v>
      </c>
      <c r="J10" s="8"/>
      <c r="K10" s="17"/>
      <c r="L10" s="17"/>
    </row>
    <row r="11" spans="1:12" ht="21.75" customHeight="1">
      <c r="A11" s="17"/>
      <c r="B11" s="20" t="s">
        <v>66</v>
      </c>
      <c r="C11" s="7" t="str">
        <f>IFERROR(IF(VLOOKUP($L$2,계약리스트!$A$2:$AD$10000,14,0)="","",VLOOKUP($L$2,계약리스트!$A$2:$AD$10000,14,0)),"")</f>
        <v>서울시 강남구 테헤란로 123</v>
      </c>
      <c r="D11" s="7"/>
      <c r="E11" s="7"/>
      <c r="F11" s="7"/>
      <c r="G11" s="7"/>
      <c r="H11" s="7"/>
      <c r="I11" s="7"/>
      <c r="J11" s="7"/>
      <c r="K11" s="17"/>
      <c r="L11" s="17"/>
    </row>
    <row r="12" spans="1:12" ht="19.5" customHeight="1">
      <c r="A12" s="17"/>
      <c r="B12" s="40" t="s">
        <v>250</v>
      </c>
      <c r="C12" s="6"/>
      <c r="D12" s="6"/>
      <c r="E12" s="6"/>
      <c r="F12" s="6"/>
      <c r="G12" s="6"/>
      <c r="H12" s="6"/>
      <c r="I12" s="6"/>
      <c r="J12" s="6"/>
      <c r="K12" s="17"/>
      <c r="L12" s="17"/>
    </row>
    <row r="13" spans="1:12" ht="7.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25.5" customHeight="1">
      <c r="A14" s="17"/>
      <c r="B14" s="9" t="s">
        <v>254</v>
      </c>
      <c r="C14" s="9"/>
      <c r="D14" s="9"/>
      <c r="E14" s="9"/>
      <c r="F14" s="9"/>
      <c r="G14" s="9"/>
      <c r="H14" s="9"/>
      <c r="I14" s="9"/>
      <c r="J14" s="9"/>
      <c r="K14" s="17"/>
      <c r="L14" s="17"/>
    </row>
    <row r="15" spans="1:12" ht="21.75" customHeight="1">
      <c r="A15" s="17"/>
      <c r="B15" s="20" t="s">
        <v>67</v>
      </c>
      <c r="C15" s="8" t="str">
        <f>IFERROR(IF(VLOOKUP($L$2,계약리스트!$A$2:$AD$10000,18,0)="","",VLOOKUP($L$2,계약리스트!$A$2:$AD$10000,18,0)),"")</f>
        <v>(주)퀵배달</v>
      </c>
      <c r="D15" s="8"/>
      <c r="E15" s="20" t="s">
        <v>68</v>
      </c>
      <c r="F15" s="8" t="str">
        <f>IFERROR(IF(VLOOKUP($L$2,계약리스트!$A$2:$AD$10000,19,0)="","",VLOOKUP($L$2,계약리스트!$A$2:$AD$10000,19,0)),"")</f>
        <v>123-45-67890</v>
      </c>
      <c r="G15" s="8"/>
      <c r="H15" s="20" t="s">
        <v>65</v>
      </c>
      <c r="I15" s="8" t="str">
        <f>IFERROR(IF(VLOOKUP($L$2,계약리스트!$A$2:$AD$10000,25,0)="","",VLOOKUP($L$2,계약리스트!$A$2:$AD$10000,25,0)),"")</f>
        <v>biz@example.com</v>
      </c>
      <c r="J15" s="8"/>
      <c r="K15" s="17"/>
      <c r="L15" s="17"/>
    </row>
    <row r="16" spans="1:12" ht="21.75" customHeight="1">
      <c r="A16" s="17"/>
      <c r="B16" s="20" t="s">
        <v>69</v>
      </c>
      <c r="C16" s="8" t="str">
        <f>IFERROR(IF(VLOOKUP($L$2,계약리스트!$A$2:$AD$10000,20,0)="","",VLOOKUP($L$2,계약리스트!$A$2:$AD$10000,20,0)),"")</f>
        <v>김대표</v>
      </c>
      <c r="D16" s="8"/>
      <c r="E16" s="20" t="s">
        <v>70</v>
      </c>
      <c r="F16" s="8" t="str">
        <f>IFERROR(IF(VLOOKUP($L$2,계약리스트!$A$2:$AD$10000,21,0)="","",VLOOKUP($L$2,계약리스트!$A$2:$AD$10000,21,0)),"")</f>
        <v>700101-1234567</v>
      </c>
      <c r="G16" s="8"/>
      <c r="H16" s="20" t="s">
        <v>71</v>
      </c>
      <c r="I16" s="8" t="str">
        <f>IFERROR(IF(VLOOKUP($L$2,계약리스트!$A$2:$AD$10000,22,0)="","",VLOOKUP($L$2,계약리스트!$A$2:$AD$10000,22,0)),"")</f>
        <v>010-9876-5432</v>
      </c>
      <c r="J16" s="8"/>
      <c r="K16" s="17"/>
      <c r="L16" s="17"/>
    </row>
    <row r="17" spans="1:12" ht="21.75" customHeight="1">
      <c r="A17" s="17"/>
      <c r="B17" s="20" t="s">
        <v>72</v>
      </c>
      <c r="C17" s="7" t="str">
        <f>IFERROR(IF(VLOOKUP($L$2,계약리스트!$A$2:$AD$10000,23,0)="","",VLOOKUP($L$2,계약리스트!$A$2:$AD$10000,23,0)),"")</f>
        <v>서울시 강남구 봉은사로 100</v>
      </c>
      <c r="D17" s="7"/>
      <c r="E17" s="7"/>
      <c r="F17" s="7"/>
      <c r="G17" s="7"/>
      <c r="H17" s="7"/>
      <c r="I17" s="7"/>
      <c r="J17" s="7"/>
      <c r="K17" s="17"/>
      <c r="L17" s="17"/>
    </row>
    <row r="18" spans="1:12" ht="21.75" customHeight="1">
      <c r="A18" s="17"/>
      <c r="B18" s="20" t="s">
        <v>73</v>
      </c>
      <c r="C18" s="7" t="str">
        <f>IFERROR(IF(VLOOKUP($L$2,계약리스트!$A$2:$AD$10000,24,0)="","",VLOOKUP($L$2,계약리스트!$A$2:$AD$10000,24,0)),"")</f>
        <v>서울시 송파구 잠실동 200</v>
      </c>
      <c r="D18" s="7"/>
      <c r="E18" s="7"/>
      <c r="F18" s="7"/>
      <c r="G18" s="7"/>
      <c r="H18" s="7"/>
      <c r="I18" s="7"/>
      <c r="J18" s="7"/>
      <c r="K18" s="17"/>
      <c r="L18" s="17"/>
    </row>
    <row r="19" spans="1:12" ht="21.75" customHeight="1">
      <c r="A19" s="17"/>
      <c r="B19" s="40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6"/>
      <c r="D19" s="6"/>
      <c r="E19" s="6"/>
      <c r="F19" s="6"/>
      <c r="G19" s="6"/>
      <c r="H19" s="6"/>
      <c r="I19" s="6"/>
      <c r="J19" s="6"/>
      <c r="K19" s="17"/>
      <c r="L19" s="17"/>
    </row>
    <row r="20" spans="1:12" ht="7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25.5" customHeight="1">
      <c r="A21" s="17"/>
      <c r="B21" s="9" t="s">
        <v>74</v>
      </c>
      <c r="C21" s="9"/>
      <c r="D21" s="9"/>
      <c r="E21" s="9"/>
      <c r="F21" s="9"/>
      <c r="G21" s="9"/>
      <c r="H21" s="9"/>
      <c r="I21" s="9"/>
      <c r="J21" s="9"/>
      <c r="K21" s="17"/>
      <c r="L21" s="17"/>
    </row>
    <row r="22" spans="1:12" ht="21.75" customHeight="1">
      <c r="A22" s="17"/>
      <c r="B22" s="20" t="s">
        <v>25</v>
      </c>
      <c r="C22" s="8" t="str">
        <f>IFERROR(IF(VLOOKUP($L$2,계약리스트!$A$2:$AD$10000,26,0)="","",VLOOKUP($L$2,계약리스트!$A$2:$AD$10000,26,0)),"")</f>
        <v>할부 판매</v>
      </c>
      <c r="D22" s="8"/>
      <c r="E22" s="20" t="s">
        <v>26</v>
      </c>
      <c r="F22" s="8" t="str">
        <f>IFERROR(IF(VLOOKUP($L$2,계약리스트!$A$2:$AD$10000,27,0)="","",VLOOKUP($L$2,계약리스트!$A$2:$AD$10000,27,0)),"")</f>
        <v>인수형</v>
      </c>
      <c r="G22" s="8"/>
      <c r="H22" s="20" t="s">
        <v>75</v>
      </c>
      <c r="I22" s="8" t="str">
        <f>IFERROR(VLOOKUP($L$2,계약리스트!$A$2:$AD$10000,8,0)&amp;"일","")</f>
        <v>365일</v>
      </c>
      <c r="J22" s="8"/>
      <c r="K22" s="17"/>
      <c r="L22" s="17"/>
    </row>
    <row r="23" spans="1:12" ht="21.75" customHeight="1">
      <c r="A23" s="17"/>
      <c r="B23" s="20" t="s">
        <v>76</v>
      </c>
      <c r="C23" s="8" t="str">
        <f>IFERROR(TEXT(VLOOKUP($L$2,계약리스트!$A$2:$AD$10000,7,0),"#,##0")&amp;" 원","")</f>
        <v>12,000 원</v>
      </c>
      <c r="D23" s="8"/>
      <c r="E23" s="20" t="s">
        <v>8</v>
      </c>
      <c r="F23" s="8" t="str">
        <f>IFERROR(TEXT(VLOOKUP($L$2,계약리스트!$A$2:$AD$10000,9,0),"#,##0")&amp;" 원","")</f>
        <v>300,000 원</v>
      </c>
      <c r="G23" s="8"/>
      <c r="H23" s="20" t="s">
        <v>29</v>
      </c>
      <c r="I23" s="8" t="str">
        <f>IFERROR(IF(VLOOKUP($L$2,계약리스트!$A$2:$AD$10000,30,0)="","",VLOOKUP($L$2,계약리스트!$A$2:$AD$10000,30,0)),"")</f>
        <v>월2회(15일, 말일)</v>
      </c>
      <c r="J23" s="8"/>
      <c r="K23" s="17"/>
      <c r="L23" s="17"/>
    </row>
    <row r="24" spans="1:12" ht="21.75" customHeight="1">
      <c r="A24" s="17"/>
      <c r="B24" s="20" t="s">
        <v>27</v>
      </c>
      <c r="C24" s="8" t="s">
        <v>53</v>
      </c>
      <c r="D24" s="8"/>
      <c r="E24" s="20" t="s">
        <v>77</v>
      </c>
      <c r="F24" s="7" t="s">
        <v>78</v>
      </c>
      <c r="G24" s="7"/>
      <c r="H24" s="7"/>
      <c r="I24" s="7"/>
      <c r="J24" s="7"/>
      <c r="K24" s="17"/>
      <c r="L24" s="17"/>
    </row>
    <row r="25" spans="1:12" ht="21.75" customHeight="1">
      <c r="A25" s="17"/>
      <c r="B25" s="20" t="s">
        <v>28</v>
      </c>
      <c r="C25" s="7" t="s">
        <v>251</v>
      </c>
      <c r="D25" s="7"/>
      <c r="E25" s="7"/>
      <c r="F25" s="7"/>
      <c r="G25" s="7"/>
      <c r="H25" s="7"/>
      <c r="I25" s="7"/>
      <c r="J25" s="7"/>
      <c r="K25" s="17"/>
      <c r="L25" s="17"/>
    </row>
    <row r="26" spans="1:12" ht="7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25.5" customHeight="1">
      <c r="A27" s="17"/>
      <c r="B27" s="9" t="s">
        <v>79</v>
      </c>
      <c r="C27" s="9"/>
      <c r="D27" s="9"/>
      <c r="E27" s="9"/>
      <c r="F27" s="9"/>
      <c r="G27" s="9"/>
      <c r="H27" s="9"/>
      <c r="I27" s="9"/>
      <c r="J27" s="9"/>
      <c r="K27" s="17"/>
      <c r="L27" s="17"/>
    </row>
    <row r="28" spans="1:12" ht="21.75" customHeight="1">
      <c r="A28" s="17"/>
      <c r="B28" s="20" t="s">
        <v>80</v>
      </c>
      <c r="C28" s="7" t="s">
        <v>58</v>
      </c>
      <c r="D28" s="7"/>
      <c r="E28" s="20" t="s">
        <v>68</v>
      </c>
      <c r="F28" s="8" t="s">
        <v>241</v>
      </c>
      <c r="G28" s="8"/>
      <c r="H28" s="20" t="s">
        <v>81</v>
      </c>
      <c r="I28" s="7" t="s">
        <v>82</v>
      </c>
      <c r="J28" s="7"/>
      <c r="K28" s="17"/>
      <c r="L28" s="17"/>
    </row>
    <row r="29" spans="1:12" ht="21.75" customHeight="1">
      <c r="A29" s="17"/>
      <c r="B29" s="20" t="s">
        <v>66</v>
      </c>
      <c r="C29" s="8" t="s">
        <v>242</v>
      </c>
      <c r="D29" s="7"/>
      <c r="E29" s="7"/>
      <c r="F29" s="7"/>
      <c r="G29" s="20" t="s">
        <v>83</v>
      </c>
      <c r="H29" s="8" t="s">
        <v>243</v>
      </c>
      <c r="I29" s="8"/>
      <c r="J29" s="8"/>
      <c r="K29" s="17"/>
      <c r="L29" s="17"/>
    </row>
    <row r="30" spans="1:12" ht="7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5.5" customHeight="1">
      <c r="A31" s="17"/>
      <c r="B31" s="9" t="s">
        <v>84</v>
      </c>
      <c r="C31" s="9"/>
      <c r="D31" s="9"/>
      <c r="E31" s="9"/>
      <c r="F31" s="9"/>
      <c r="G31" s="9"/>
      <c r="H31" s="9"/>
      <c r="I31" s="9"/>
      <c r="J31" s="9"/>
      <c r="K31" s="17"/>
      <c r="L31" s="17"/>
    </row>
    <row r="32" spans="1:12" ht="27.75" customHeight="1">
      <c r="A32" s="17"/>
      <c r="B32" s="5" t="s">
        <v>244</v>
      </c>
      <c r="C32" s="5"/>
      <c r="D32" s="5"/>
      <c r="E32" s="5"/>
      <c r="F32" s="5"/>
      <c r="G32" s="5"/>
      <c r="H32" s="5"/>
      <c r="I32" s="5"/>
      <c r="J32" s="5"/>
      <c r="K32" s="17"/>
      <c r="L32" s="17"/>
    </row>
    <row r="33" spans="1:12" ht="27.75" customHeight="1">
      <c r="A33" s="17"/>
      <c r="B33" s="4" t="s">
        <v>245</v>
      </c>
      <c r="C33" s="4"/>
      <c r="D33" s="4"/>
      <c r="E33" s="4"/>
      <c r="F33" s="4"/>
      <c r="G33" s="4"/>
      <c r="H33" s="4"/>
      <c r="I33" s="4"/>
      <c r="J33" s="4"/>
      <c r="K33" s="17"/>
      <c r="L33" s="17"/>
    </row>
    <row r="34" spans="1:12" ht="27.75" customHeight="1">
      <c r="A34" s="17"/>
      <c r="B34" s="5" t="s">
        <v>246</v>
      </c>
      <c r="C34" s="5"/>
      <c r="D34" s="5"/>
      <c r="E34" s="5"/>
      <c r="F34" s="5"/>
      <c r="G34" s="5"/>
      <c r="H34" s="5"/>
      <c r="I34" s="5"/>
      <c r="J34" s="5"/>
      <c r="K34" s="17"/>
      <c r="L34" s="17"/>
    </row>
    <row r="35" spans="1:12" ht="27.75" customHeight="1">
      <c r="A35" s="17"/>
      <c r="B35" s="4" t="s">
        <v>247</v>
      </c>
      <c r="C35" s="4"/>
      <c r="D35" s="4"/>
      <c r="E35" s="4"/>
      <c r="F35" s="4"/>
      <c r="G35" s="4"/>
      <c r="H35" s="4"/>
      <c r="I35" s="4"/>
      <c r="J35" s="4"/>
      <c r="K35" s="17"/>
      <c r="L35" s="17"/>
    </row>
    <row r="36" spans="1:12" ht="27.75" customHeight="1">
      <c r="A36" s="17"/>
      <c r="B36" s="5" t="s">
        <v>248</v>
      </c>
      <c r="C36" s="5"/>
      <c r="D36" s="5"/>
      <c r="E36" s="5"/>
      <c r="F36" s="5"/>
      <c r="G36" s="5"/>
      <c r="H36" s="5"/>
      <c r="I36" s="5"/>
      <c r="J36" s="5"/>
      <c r="K36" s="17"/>
      <c r="L36" s="17"/>
    </row>
    <row r="37" spans="1:12" ht="7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5.5" customHeight="1">
      <c r="A38" s="17"/>
      <c r="B38" s="29" t="s">
        <v>85</v>
      </c>
      <c r="C38" s="30"/>
      <c r="D38" s="30"/>
      <c r="E38" s="30"/>
      <c r="F38" s="30"/>
      <c r="G38" s="30"/>
      <c r="H38" s="30"/>
      <c r="I38" s="30"/>
      <c r="J38" s="31"/>
      <c r="K38" s="17"/>
      <c r="L38" s="17"/>
    </row>
    <row r="39" spans="1:12" ht="27.75" customHeight="1">
      <c r="A39" s="17"/>
      <c r="B39" s="32" t="s">
        <v>86</v>
      </c>
      <c r="C39" s="3"/>
      <c r="D39" s="2" t="s">
        <v>87</v>
      </c>
      <c r="E39" s="2"/>
      <c r="F39" s="2"/>
      <c r="G39" s="2"/>
      <c r="H39" s="2"/>
      <c r="I39" s="2"/>
      <c r="J39" s="33"/>
      <c r="K39" s="17"/>
      <c r="L39" s="17"/>
    </row>
    <row r="40" spans="1:12" ht="27.75" customHeight="1">
      <c r="A40" s="17"/>
      <c r="B40" s="32" t="s">
        <v>88</v>
      </c>
      <c r="C40" s="3"/>
      <c r="D40" s="2" t="s">
        <v>89</v>
      </c>
      <c r="E40" s="2"/>
      <c r="F40" s="2"/>
      <c r="G40" s="2"/>
      <c r="H40" s="2"/>
      <c r="I40" s="2"/>
      <c r="J40" s="33"/>
      <c r="K40" s="17"/>
      <c r="L40" s="17"/>
    </row>
    <row r="41" spans="1:12" ht="27.75" customHeight="1">
      <c r="A41" s="17"/>
      <c r="B41" s="32" t="s">
        <v>90</v>
      </c>
      <c r="C41" s="3"/>
      <c r="D41" s="2" t="s">
        <v>91</v>
      </c>
      <c r="E41" s="2"/>
      <c r="F41" s="2"/>
      <c r="G41" s="2"/>
      <c r="H41" s="2"/>
      <c r="I41" s="2"/>
      <c r="J41" s="33"/>
      <c r="K41" s="17"/>
      <c r="L41" s="17"/>
    </row>
    <row r="42" spans="1:12" ht="27.75" customHeight="1">
      <c r="A42" s="17"/>
      <c r="B42" s="32" t="s">
        <v>92</v>
      </c>
      <c r="C42" s="3"/>
      <c r="D42" s="2" t="s">
        <v>93</v>
      </c>
      <c r="E42" s="2"/>
      <c r="F42" s="2"/>
      <c r="G42" s="2"/>
      <c r="H42" s="2"/>
      <c r="I42" s="2"/>
      <c r="J42" s="33"/>
      <c r="K42" s="17"/>
      <c r="L42" s="17"/>
    </row>
    <row r="43" spans="1:12" ht="27.75" customHeight="1">
      <c r="A43" s="17"/>
      <c r="B43" s="32" t="s">
        <v>94</v>
      </c>
      <c r="C43" s="3"/>
      <c r="D43" s="2" t="s">
        <v>95</v>
      </c>
      <c r="E43" s="2"/>
      <c r="F43" s="2"/>
      <c r="G43" s="2"/>
      <c r="H43" s="2"/>
      <c r="I43" s="2"/>
      <c r="J43" s="33"/>
      <c r="K43" s="17"/>
      <c r="L43" s="17"/>
    </row>
    <row r="44" spans="1:12" ht="27.75" customHeight="1">
      <c r="A44" s="17"/>
      <c r="B44" s="32" t="s">
        <v>96</v>
      </c>
      <c r="C44" s="3"/>
      <c r="D44" s="2" t="s">
        <v>97</v>
      </c>
      <c r="E44" s="2"/>
      <c r="F44" s="2"/>
      <c r="G44" s="2"/>
      <c r="H44" s="2"/>
      <c r="I44" s="2"/>
      <c r="J44" s="33"/>
      <c r="K44" s="17"/>
      <c r="L44" s="17"/>
    </row>
    <row r="45" spans="1:12" ht="25.5" customHeight="1">
      <c r="A45" s="17"/>
      <c r="B45" s="34" t="s">
        <v>252</v>
      </c>
      <c r="C45" s="35"/>
      <c r="D45" s="35"/>
      <c r="E45" s="35"/>
      <c r="F45" s="35"/>
      <c r="G45" s="35"/>
      <c r="H45" s="35"/>
      <c r="I45" s="35"/>
      <c r="J45" s="36"/>
      <c r="K45" s="17"/>
      <c r="L45" s="17"/>
    </row>
    <row r="46" spans="1:12" ht="12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25.5" customHeight="1">
      <c r="A47" s="17"/>
      <c r="B47" s="9" t="s">
        <v>98</v>
      </c>
      <c r="C47" s="9"/>
      <c r="D47" s="9"/>
      <c r="E47" s="9"/>
      <c r="F47" s="9"/>
      <c r="G47" s="9"/>
      <c r="H47" s="9"/>
      <c r="I47" s="9"/>
      <c r="J47" s="9"/>
      <c r="K47" s="17"/>
      <c r="L47" s="17"/>
    </row>
    <row r="48" spans="1:12" ht="31.5" customHeight="1">
      <c r="A48" s="17"/>
      <c r="B48" s="37" t="s">
        <v>249</v>
      </c>
      <c r="C48" s="1"/>
      <c r="D48" s="1"/>
      <c r="E48" s="1"/>
      <c r="F48" s="1"/>
      <c r="G48" s="1"/>
      <c r="H48" s="1"/>
      <c r="I48" s="1"/>
      <c r="J48" s="1"/>
      <c r="K48" s="17"/>
      <c r="L48" s="17"/>
    </row>
    <row r="49" spans="1:12" ht="48" customHeight="1">
      <c r="A49" s="17"/>
      <c r="B49" s="20" t="s">
        <v>99</v>
      </c>
      <c r="C49" s="38" t="str">
        <f>IFERROR(IF(VLOOKUP($L$2,계약리스트!$A$2:$AD$10000,10,0)="","",VLOOKUP($L$2,계약리스트!$A$2:$AD$10000,10,0)),"")</f>
        <v>홍길동</v>
      </c>
      <c r="D49" s="38"/>
      <c r="E49" s="38"/>
      <c r="F49" s="21" t="s">
        <v>100</v>
      </c>
      <c r="G49" s="20" t="s">
        <v>101</v>
      </c>
      <c r="H49" s="38" t="str">
        <f>IFERROR(IF(VLOOKUP($L$2,계약리스트!$A$2:$AD$10000,18,0)="","",VLOOKUP($L$2,계약리스트!$A$2:$AD$10000,18,0)),"")</f>
        <v>(주)퀵배달</v>
      </c>
      <c r="I49" s="38"/>
      <c r="J49" s="21" t="s">
        <v>100</v>
      </c>
      <c r="K49" s="17"/>
      <c r="L49" s="17"/>
    </row>
    <row r="50" spans="1:12" ht="24" customHeight="1">
      <c r="A50" s="17"/>
      <c r="B50" s="20" t="s">
        <v>102</v>
      </c>
      <c r="C50" s="38" t="str">
        <f>IFERROR(TEXT(VLOOKUP($L$2,계약리스트!$A$2:$AD$10000,2,0),"yyyy년 m월 d일"),"")</f>
        <v>2026년 4월 23일</v>
      </c>
      <c r="D50" s="38"/>
      <c r="E50" s="38"/>
      <c r="F50" s="3" t="s">
        <v>103</v>
      </c>
      <c r="G50" s="3"/>
      <c r="H50" s="39" t="s">
        <v>58</v>
      </c>
      <c r="I50" s="39"/>
      <c r="J50" s="21" t="s">
        <v>100</v>
      </c>
      <c r="K50" s="17"/>
      <c r="L50" s="17"/>
    </row>
    <row r="51" spans="1:12" ht="15.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5.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5.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5.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5.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15.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15.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5.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 ht="15.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15.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2" ht="15.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 ht="15.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1:12" ht="15.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15.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1:12" ht="15.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2" ht="15.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1:12" ht="15.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5.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15.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15.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5.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 ht="15.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1:12" ht="15.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 ht="15.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15.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 ht="15.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1:12" ht="15.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12" ht="15.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12" ht="15.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2" ht="15.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 ht="15.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ht="15.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5.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ht="15.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5.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ht="15.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ht="15.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ht="15.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ht="15.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ht="15.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5.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ht="15.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ht="15.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ht="15.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12" ht="15.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ht="15.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1:12" ht="15.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ht="15.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</sheetData>
  <mergeCells count="70">
    <mergeCell ref="B47:J47"/>
    <mergeCell ref="B48:J48"/>
    <mergeCell ref="C49:E49"/>
    <mergeCell ref="H49:I49"/>
    <mergeCell ref="C50:E50"/>
    <mergeCell ref="F50:G50"/>
    <mergeCell ref="H50:I50"/>
    <mergeCell ref="B43:C43"/>
    <mergeCell ref="D43:J43"/>
    <mergeCell ref="B44:C44"/>
    <mergeCell ref="D44:J44"/>
    <mergeCell ref="B45:J45"/>
    <mergeCell ref="B40:C40"/>
    <mergeCell ref="D40:J40"/>
    <mergeCell ref="B41:C41"/>
    <mergeCell ref="D41:J41"/>
    <mergeCell ref="B42:C42"/>
    <mergeCell ref="D42:J42"/>
    <mergeCell ref="B34:J34"/>
    <mergeCell ref="B35:J35"/>
    <mergeCell ref="B36:J36"/>
    <mergeCell ref="B38:J38"/>
    <mergeCell ref="B39:C39"/>
    <mergeCell ref="D39:J39"/>
    <mergeCell ref="C29:F29"/>
    <mergeCell ref="H29:J29"/>
    <mergeCell ref="B31:J31"/>
    <mergeCell ref="B32:J32"/>
    <mergeCell ref="B33:J33"/>
    <mergeCell ref="C25:J25"/>
    <mergeCell ref="B27:J27"/>
    <mergeCell ref="C28:D28"/>
    <mergeCell ref="F28:G28"/>
    <mergeCell ref="I28:J28"/>
    <mergeCell ref="C23:D23"/>
    <mergeCell ref="F23:G23"/>
    <mergeCell ref="I23:J23"/>
    <mergeCell ref="C24:D24"/>
    <mergeCell ref="F24:J24"/>
    <mergeCell ref="C17:J17"/>
    <mergeCell ref="C18:J18"/>
    <mergeCell ref="B19:J19"/>
    <mergeCell ref="B21:J21"/>
    <mergeCell ref="C22:D22"/>
    <mergeCell ref="F22:G22"/>
    <mergeCell ref="I22:J22"/>
    <mergeCell ref="C15:D15"/>
    <mergeCell ref="F15:G15"/>
    <mergeCell ref="I15:J15"/>
    <mergeCell ref="C16:D16"/>
    <mergeCell ref="F16:G16"/>
    <mergeCell ref="I16:J16"/>
    <mergeCell ref="C11:J11"/>
    <mergeCell ref="B12:J12"/>
    <mergeCell ref="B14:J14"/>
    <mergeCell ref="B9:J9"/>
    <mergeCell ref="C10:D10"/>
    <mergeCell ref="F10:G10"/>
    <mergeCell ref="I10:J10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1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169"/>
  <sheetViews>
    <sheetView topLeftCell="A159" zoomScaleNormal="100" workbookViewId="0">
      <selection activeCell="B14" sqref="B14"/>
    </sheetView>
  </sheetViews>
  <sheetFormatPr defaultColWidth="8.6640625" defaultRowHeight="14.4"/>
  <cols>
    <col min="1" max="1" width="2" customWidth="1"/>
    <col min="2" max="2" width="110" customWidth="1"/>
    <col min="3" max="3" width="2" customWidth="1"/>
  </cols>
  <sheetData>
    <row r="1" spans="2:2" ht="31.5" customHeight="1">
      <c r="B1" s="22" t="s">
        <v>104</v>
      </c>
    </row>
    <row r="3" spans="2:2" ht="21.75" customHeight="1">
      <c r="B3" s="23" t="s">
        <v>105</v>
      </c>
    </row>
    <row r="4" spans="2:2" ht="31.5" customHeight="1">
      <c r="B4" s="24" t="s">
        <v>106</v>
      </c>
    </row>
    <row r="6" spans="2:2" ht="21.75" customHeight="1">
      <c r="B6" s="23" t="s">
        <v>107</v>
      </c>
    </row>
    <row r="7" spans="2:2" ht="31.5" customHeight="1">
      <c r="B7" s="25" t="s">
        <v>108</v>
      </c>
    </row>
    <row r="8" spans="2:2" ht="31.5" customHeight="1">
      <c r="B8" s="25" t="s">
        <v>109</v>
      </c>
    </row>
    <row r="9" spans="2:2" ht="15.75" customHeight="1">
      <c r="B9" s="25" t="s">
        <v>110</v>
      </c>
    </row>
    <row r="10" spans="2:2" ht="31.5" customHeight="1">
      <c r="B10" s="25" t="s">
        <v>111</v>
      </c>
    </row>
    <row r="11" spans="2:2" ht="31.5" customHeight="1">
      <c r="B11" s="25" t="s">
        <v>112</v>
      </c>
    </row>
    <row r="12" spans="2:2" ht="31.5" customHeight="1">
      <c r="B12" s="25" t="s">
        <v>113</v>
      </c>
    </row>
    <row r="13" spans="2:2" ht="31.5" customHeight="1">
      <c r="B13" s="25" t="s">
        <v>114</v>
      </c>
    </row>
    <row r="14" spans="2:2" ht="31.5" customHeight="1">
      <c r="B14" s="25" t="s">
        <v>115</v>
      </c>
    </row>
    <row r="15" spans="2:2" ht="15.75" customHeight="1">
      <c r="B15" s="25" t="s">
        <v>116</v>
      </c>
    </row>
    <row r="17" spans="2:2" ht="21.75" customHeight="1">
      <c r="B17" s="23" t="s">
        <v>117</v>
      </c>
    </row>
    <row r="18" spans="2:2" ht="31.5" customHeight="1">
      <c r="B18" s="24" t="s">
        <v>118</v>
      </c>
    </row>
    <row r="19" spans="2:2" ht="15.75" customHeight="1">
      <c r="B19" s="24" t="s">
        <v>119</v>
      </c>
    </row>
    <row r="21" spans="2:2" ht="21.75" customHeight="1">
      <c r="B21" s="23" t="s">
        <v>120</v>
      </c>
    </row>
    <row r="22" spans="2:2" ht="15.75" customHeight="1">
      <c r="B22" s="24" t="s">
        <v>121</v>
      </c>
    </row>
    <row r="23" spans="2:2" ht="31.5" customHeight="1">
      <c r="B23" s="24" t="s">
        <v>122</v>
      </c>
    </row>
    <row r="25" spans="2:2" ht="21.75" customHeight="1">
      <c r="B25" s="23" t="s">
        <v>123</v>
      </c>
    </row>
    <row r="26" spans="2:2" ht="48" customHeight="1">
      <c r="B26" s="24" t="s">
        <v>124</v>
      </c>
    </row>
    <row r="27" spans="2:2" ht="15.75" customHeight="1">
      <c r="B27" s="24" t="s">
        <v>125</v>
      </c>
    </row>
    <row r="28" spans="2:2" ht="31.5" customHeight="1">
      <c r="B28" s="24" t="s">
        <v>126</v>
      </c>
    </row>
    <row r="29" spans="2:2" ht="31.5" customHeight="1">
      <c r="B29" s="24" t="s">
        <v>127</v>
      </c>
    </row>
    <row r="30" spans="2:2" ht="48" customHeight="1">
      <c r="B30" s="24" t="s">
        <v>128</v>
      </c>
    </row>
    <row r="31" spans="2:2" ht="31.5" customHeight="1">
      <c r="B31" s="24" t="s">
        <v>129</v>
      </c>
    </row>
    <row r="32" spans="2:2" ht="31.5" customHeight="1">
      <c r="B32" s="24" t="s">
        <v>130</v>
      </c>
    </row>
    <row r="33" spans="2:2" ht="31.5" customHeight="1">
      <c r="B33" s="24" t="s">
        <v>131</v>
      </c>
    </row>
    <row r="35" spans="2:2" ht="21.75" customHeight="1">
      <c r="B35" s="23" t="s">
        <v>132</v>
      </c>
    </row>
    <row r="36" spans="2:2" ht="15.75" customHeight="1">
      <c r="B36" s="24" t="s">
        <v>133</v>
      </c>
    </row>
    <row r="37" spans="2:2" ht="31.5" customHeight="1">
      <c r="B37" s="24" t="s">
        <v>134</v>
      </c>
    </row>
    <row r="38" spans="2:2" ht="15.75" customHeight="1">
      <c r="B38" s="24" t="s">
        <v>135</v>
      </c>
    </row>
    <row r="40" spans="2:2" ht="21.75" customHeight="1">
      <c r="B40" s="23" t="s">
        <v>136</v>
      </c>
    </row>
    <row r="41" spans="2:2" ht="48" customHeight="1">
      <c r="B41" s="24" t="s">
        <v>137</v>
      </c>
    </row>
    <row r="42" spans="2:2" ht="48" customHeight="1">
      <c r="B42" s="24" t="s">
        <v>138</v>
      </c>
    </row>
    <row r="43" spans="2:2" ht="48" customHeight="1">
      <c r="B43" s="24" t="s">
        <v>139</v>
      </c>
    </row>
    <row r="44" spans="2:2" ht="31.5" customHeight="1">
      <c r="B44" s="24" t="s">
        <v>140</v>
      </c>
    </row>
    <row r="45" spans="2:2" ht="31.5" customHeight="1">
      <c r="B45" s="24" t="s">
        <v>141</v>
      </c>
    </row>
    <row r="46" spans="2:2" ht="31.5" customHeight="1">
      <c r="B46" s="24" t="s">
        <v>142</v>
      </c>
    </row>
    <row r="48" spans="2:2" ht="21.75" customHeight="1">
      <c r="B48" s="23" t="s">
        <v>143</v>
      </c>
    </row>
    <row r="49" spans="2:2" ht="31.5" customHeight="1">
      <c r="B49" s="24" t="s">
        <v>144</v>
      </c>
    </row>
    <row r="50" spans="2:2" ht="31.5" customHeight="1">
      <c r="B50" s="24" t="s">
        <v>145</v>
      </c>
    </row>
    <row r="51" spans="2:2" ht="31.5" customHeight="1">
      <c r="B51" s="24" t="s">
        <v>146</v>
      </c>
    </row>
    <row r="52" spans="2:2" ht="31.5" customHeight="1">
      <c r="B52" s="24" t="s">
        <v>147</v>
      </c>
    </row>
    <row r="53" spans="2:2" ht="15.75" customHeight="1">
      <c r="B53" s="24" t="s">
        <v>148</v>
      </c>
    </row>
    <row r="54" spans="2:2" ht="31.5" customHeight="1">
      <c r="B54" s="24" t="s">
        <v>149</v>
      </c>
    </row>
    <row r="56" spans="2:2" ht="21.75" customHeight="1">
      <c r="B56" s="23" t="s">
        <v>150</v>
      </c>
    </row>
    <row r="57" spans="2:2" ht="31.5" customHeight="1">
      <c r="B57" s="24" t="s">
        <v>151</v>
      </c>
    </row>
    <row r="58" spans="2:2" ht="15.75" customHeight="1">
      <c r="B58" s="24" t="s">
        <v>152</v>
      </c>
    </row>
    <row r="59" spans="2:2" ht="31.5" customHeight="1">
      <c r="B59" s="24" t="s">
        <v>153</v>
      </c>
    </row>
    <row r="60" spans="2:2" ht="15.75" customHeight="1">
      <c r="B60" s="24" t="s">
        <v>154</v>
      </c>
    </row>
    <row r="61" spans="2:2" ht="31.5" customHeight="1">
      <c r="B61" s="24" t="s">
        <v>155</v>
      </c>
    </row>
    <row r="63" spans="2:2" ht="21.75" customHeight="1">
      <c r="B63" s="23" t="s">
        <v>156</v>
      </c>
    </row>
    <row r="64" spans="2:2" ht="31.5" customHeight="1">
      <c r="B64" s="24" t="s">
        <v>157</v>
      </c>
    </row>
    <row r="65" spans="2:2" ht="31.5" customHeight="1">
      <c r="B65" s="24" t="s">
        <v>158</v>
      </c>
    </row>
    <row r="66" spans="2:2" ht="31.5" customHeight="1">
      <c r="B66" s="24" t="s">
        <v>159</v>
      </c>
    </row>
    <row r="67" spans="2:2" ht="63.75" customHeight="1">
      <c r="B67" s="24" t="s">
        <v>160</v>
      </c>
    </row>
    <row r="69" spans="2:2" ht="21.75" customHeight="1">
      <c r="B69" s="23" t="s">
        <v>161</v>
      </c>
    </row>
    <row r="70" spans="2:2" ht="15.75" customHeight="1">
      <c r="B70" s="24" t="s">
        <v>162</v>
      </c>
    </row>
    <row r="71" spans="2:2" ht="31.5" customHeight="1">
      <c r="B71" s="24" t="s">
        <v>163</v>
      </c>
    </row>
    <row r="72" spans="2:2" ht="31.5" customHeight="1">
      <c r="B72" s="24" t="s">
        <v>164</v>
      </c>
    </row>
    <row r="73" spans="2:2" ht="15.75" customHeight="1">
      <c r="B73" s="24" t="s">
        <v>165</v>
      </c>
    </row>
    <row r="74" spans="2:2" ht="15.75" customHeight="1">
      <c r="B74" s="24" t="s">
        <v>166</v>
      </c>
    </row>
    <row r="76" spans="2:2" ht="21.75" customHeight="1">
      <c r="B76" s="23" t="s">
        <v>167</v>
      </c>
    </row>
    <row r="77" spans="2:2" ht="31.5" customHeight="1">
      <c r="B77" s="24" t="s">
        <v>168</v>
      </c>
    </row>
    <row r="78" spans="2:2" ht="31.5" customHeight="1">
      <c r="B78" s="24" t="s">
        <v>169</v>
      </c>
    </row>
    <row r="79" spans="2:2" ht="15.75" customHeight="1">
      <c r="B79" s="24" t="s">
        <v>170</v>
      </c>
    </row>
    <row r="80" spans="2:2" ht="31.5" customHeight="1">
      <c r="B80" s="24" t="s">
        <v>171</v>
      </c>
    </row>
    <row r="82" spans="2:2" ht="21.75" customHeight="1">
      <c r="B82" s="23" t="s">
        <v>172</v>
      </c>
    </row>
    <row r="83" spans="2:2" ht="31.5" customHeight="1">
      <c r="B83" s="24" t="s">
        <v>173</v>
      </c>
    </row>
    <row r="84" spans="2:2" ht="31.5" customHeight="1">
      <c r="B84" s="24" t="s">
        <v>174</v>
      </c>
    </row>
    <row r="85" spans="2:2" ht="48" customHeight="1">
      <c r="B85" s="24" t="s">
        <v>175</v>
      </c>
    </row>
    <row r="86" spans="2:2" ht="31.5" customHeight="1">
      <c r="B86" s="24" t="s">
        <v>176</v>
      </c>
    </row>
    <row r="88" spans="2:2" ht="21.75" customHeight="1">
      <c r="B88" s="23" t="s">
        <v>177</v>
      </c>
    </row>
    <row r="89" spans="2:2" ht="79.5" customHeight="1">
      <c r="B89" s="24" t="s">
        <v>178</v>
      </c>
    </row>
    <row r="91" spans="2:2" ht="21.75" customHeight="1">
      <c r="B91" s="23" t="s">
        <v>179</v>
      </c>
    </row>
    <row r="92" spans="2:2" ht="48" customHeight="1">
      <c r="B92" s="24" t="s">
        <v>180</v>
      </c>
    </row>
    <row r="93" spans="2:2" ht="31.5" customHeight="1">
      <c r="B93" s="24" t="s">
        <v>181</v>
      </c>
    </row>
    <row r="94" spans="2:2" ht="31.5" customHeight="1">
      <c r="B94" s="24" t="s">
        <v>182</v>
      </c>
    </row>
    <row r="96" spans="2:2" ht="21.75" customHeight="1">
      <c r="B96" s="23" t="s">
        <v>183</v>
      </c>
    </row>
    <row r="97" spans="2:2" ht="31.5" customHeight="1">
      <c r="B97" s="24" t="s">
        <v>184</v>
      </c>
    </row>
    <row r="98" spans="2:2" ht="31.5" customHeight="1">
      <c r="B98" s="24" t="s">
        <v>185</v>
      </c>
    </row>
    <row r="99" spans="2:2" ht="31.5" customHeight="1">
      <c r="B99" s="24" t="s">
        <v>186</v>
      </c>
    </row>
    <row r="100" spans="2:2" ht="31.5" customHeight="1">
      <c r="B100" s="24" t="s">
        <v>187</v>
      </c>
    </row>
    <row r="102" spans="2:2" ht="21.75" customHeight="1">
      <c r="B102" s="23" t="s">
        <v>188</v>
      </c>
    </row>
    <row r="103" spans="2:2" ht="111.75" customHeight="1">
      <c r="B103" s="24" t="s">
        <v>189</v>
      </c>
    </row>
    <row r="105" spans="2:2" ht="21.75" customHeight="1">
      <c r="B105" s="23" t="s">
        <v>190</v>
      </c>
    </row>
    <row r="106" spans="2:2" ht="31.5" customHeight="1">
      <c r="B106" s="24" t="s">
        <v>191</v>
      </c>
    </row>
    <row r="107" spans="2:2" ht="15.75" customHeight="1">
      <c r="B107" s="24" t="s">
        <v>192</v>
      </c>
    </row>
    <row r="108" spans="2:2" ht="31.5" customHeight="1">
      <c r="B108" s="24" t="s">
        <v>193</v>
      </c>
    </row>
    <row r="110" spans="2:2" ht="21.75" customHeight="1">
      <c r="B110" s="23" t="s">
        <v>194</v>
      </c>
    </row>
    <row r="111" spans="2:2" ht="31.5" customHeight="1">
      <c r="B111" s="24" t="s">
        <v>195</v>
      </c>
    </row>
    <row r="112" spans="2:2" ht="31.5" customHeight="1">
      <c r="B112" s="24" t="s">
        <v>196</v>
      </c>
    </row>
    <row r="113" spans="2:2" ht="15.75" customHeight="1">
      <c r="B113" s="24" t="s">
        <v>197</v>
      </c>
    </row>
    <row r="114" spans="2:2" ht="31.5" customHeight="1">
      <c r="B114" s="24" t="s">
        <v>198</v>
      </c>
    </row>
    <row r="116" spans="2:2" ht="21.75" customHeight="1">
      <c r="B116" s="23" t="s">
        <v>199</v>
      </c>
    </row>
    <row r="117" spans="2:2" ht="31.5" customHeight="1">
      <c r="B117" s="24" t="s">
        <v>200</v>
      </c>
    </row>
    <row r="118" spans="2:2" ht="48" customHeight="1">
      <c r="B118" s="24" t="s">
        <v>201</v>
      </c>
    </row>
    <row r="119" spans="2:2" ht="63.75" customHeight="1">
      <c r="B119" s="24" t="s">
        <v>202</v>
      </c>
    </row>
    <row r="120" spans="2:2" ht="48" customHeight="1">
      <c r="B120" s="24" t="s">
        <v>203</v>
      </c>
    </row>
    <row r="121" spans="2:2" ht="31.5" customHeight="1">
      <c r="B121" s="24" t="s">
        <v>204</v>
      </c>
    </row>
    <row r="123" spans="2:2" ht="21.75" customHeight="1">
      <c r="B123" s="23" t="s">
        <v>205</v>
      </c>
    </row>
    <row r="124" spans="2:2" ht="15.75" customHeight="1">
      <c r="B124" s="24" t="s">
        <v>206</v>
      </c>
    </row>
    <row r="125" spans="2:2" ht="31.5" customHeight="1">
      <c r="B125" s="24" t="s">
        <v>207</v>
      </c>
    </row>
    <row r="126" spans="2:2" ht="31.5" customHeight="1">
      <c r="B126" s="24" t="s">
        <v>208</v>
      </c>
    </row>
    <row r="128" spans="2:2" ht="21.75" customHeight="1">
      <c r="B128" s="23" t="s">
        <v>209</v>
      </c>
    </row>
    <row r="129" spans="2:2" ht="31.5" customHeight="1">
      <c r="B129" s="24" t="s">
        <v>210</v>
      </c>
    </row>
    <row r="130" spans="2:2" ht="31.5" customHeight="1">
      <c r="B130" s="24" t="s">
        <v>211</v>
      </c>
    </row>
    <row r="131" spans="2:2" ht="31.5" customHeight="1">
      <c r="B131" s="24" t="s">
        <v>212</v>
      </c>
    </row>
    <row r="133" spans="2:2" ht="21.75" customHeight="1">
      <c r="B133" s="23" t="s">
        <v>213</v>
      </c>
    </row>
    <row r="134" spans="2:2" ht="31.5" customHeight="1">
      <c r="B134" s="24" t="s">
        <v>214</v>
      </c>
    </row>
    <row r="135" spans="2:2" ht="31.5" customHeight="1">
      <c r="B135" s="24" t="s">
        <v>215</v>
      </c>
    </row>
    <row r="136" spans="2:2" ht="31.5" customHeight="1">
      <c r="B136" s="24" t="s">
        <v>216</v>
      </c>
    </row>
    <row r="137" spans="2:2" ht="15.75" customHeight="1">
      <c r="B137" s="24" t="s">
        <v>217</v>
      </c>
    </row>
    <row r="139" spans="2:2" ht="21.75" customHeight="1">
      <c r="B139" s="23" t="s">
        <v>218</v>
      </c>
    </row>
    <row r="140" spans="2:2" ht="31.5" customHeight="1">
      <c r="B140" s="24" t="s">
        <v>219</v>
      </c>
    </row>
    <row r="141" spans="2:2" ht="31.5" customHeight="1">
      <c r="B141" s="24" t="s">
        <v>220</v>
      </c>
    </row>
    <row r="143" spans="2:2" ht="21.75" customHeight="1">
      <c r="B143" s="23" t="s">
        <v>221</v>
      </c>
    </row>
    <row r="144" spans="2:2" ht="15.75" customHeight="1">
      <c r="B144" s="24" t="s">
        <v>222</v>
      </c>
    </row>
    <row r="146" spans="2:2" ht="21.75" customHeight="1">
      <c r="B146" s="23" t="s">
        <v>223</v>
      </c>
    </row>
    <row r="147" spans="2:2" ht="31.5" customHeight="1">
      <c r="B147" s="24" t="s">
        <v>224</v>
      </c>
    </row>
    <row r="151" spans="2:2" ht="21.75" customHeight="1">
      <c r="B151" s="26" t="s">
        <v>225</v>
      </c>
    </row>
    <row r="152" spans="2:2" ht="15.75" customHeight="1">
      <c r="B152" s="24" t="s">
        <v>226</v>
      </c>
    </row>
    <row r="153" spans="2:2" ht="15.75" customHeight="1">
      <c r="B153" s="24" t="s">
        <v>227</v>
      </c>
    </row>
    <row r="154" spans="2:2" ht="15.75" customHeight="1">
      <c r="B154" s="24" t="s">
        <v>228</v>
      </c>
    </row>
    <row r="155" spans="2:2" ht="15.75" customHeight="1">
      <c r="B155" s="24" t="s">
        <v>229</v>
      </c>
    </row>
    <row r="157" spans="2:2" ht="21.75" customHeight="1">
      <c r="B157" s="26" t="s">
        <v>230</v>
      </c>
    </row>
    <row r="158" spans="2:2" ht="48" customHeight="1">
      <c r="B158" s="24" t="s">
        <v>231</v>
      </c>
    </row>
    <row r="159" spans="2:2" ht="48" customHeight="1">
      <c r="B159" s="24" t="s">
        <v>232</v>
      </c>
    </row>
    <row r="160" spans="2:2" ht="48" customHeight="1">
      <c r="B160" s="24" t="s">
        <v>233</v>
      </c>
    </row>
    <row r="161" spans="2:2" ht="31.5" customHeight="1">
      <c r="B161" s="24" t="s">
        <v>234</v>
      </c>
    </row>
    <row r="162" spans="2:2" ht="31.5" customHeight="1">
      <c r="B162" s="24" t="s">
        <v>235</v>
      </c>
    </row>
    <row r="163" spans="2:2" ht="31.5" customHeight="1">
      <c r="B163" s="24" t="s">
        <v>236</v>
      </c>
    </row>
    <row r="164" spans="2:2" ht="31.5" customHeight="1">
      <c r="B164" s="24" t="s">
        <v>237</v>
      </c>
    </row>
    <row r="165" spans="2:2" ht="15.75" customHeight="1">
      <c r="B165" s="24" t="s">
        <v>238</v>
      </c>
    </row>
    <row r="168" spans="2:2" ht="21.75" customHeight="1">
      <c r="B168" s="27" t="s">
        <v>239</v>
      </c>
    </row>
    <row r="169" spans="2:2" ht="31.5" customHeight="1">
      <c r="B169" s="28" t="s">
        <v>240</v>
      </c>
    </row>
  </sheetData>
  <phoneticPr fontId="31" type="noConversion"/>
  <pageMargins left="0.3" right="0.3" top="0.4" bottom="0.4" header="0.511811023622047" footer="0.511811023622047"/>
  <pageSetup paperSize="9" scale="8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계약리스트</vt:lpstr>
      <vt:lpstr>계약서</vt:lpstr>
      <vt:lpstr>이용약관</vt:lpstr>
      <vt:lpstr>계약서!Print_Area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2026-04-23T08:42:48Z</cp:lastPrinted>
  <dcterms:created xsi:type="dcterms:W3CDTF">2026-04-23T08:36:35Z</dcterms:created>
  <dcterms:modified xsi:type="dcterms:W3CDTF">2026-04-24T01:30:07Z</dcterms:modified>
  <dc:language>en-US</dc:language>
</cp:coreProperties>
</file>